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S_USFQ\CAPSTON\RAG\eval\pilot\results\20260922_064359\"/>
    </mc:Choice>
  </mc:AlternateContent>
  <xr:revisionPtr revIDLastSave="0" documentId="8_{6BE13285-1A3D-4D27-B2A3-6571F8E0C729}" xr6:coauthVersionLast="47" xr6:coauthVersionMax="47" xr10:uidLastSave="{00000000-0000-0000-0000-000000000000}"/>
  <bookViews>
    <workbookView xWindow="-120" yWindow="-120" windowWidth="20730" windowHeight="11760" activeTab="1" xr2:uid="{00000000-000D-0000-FFFF-FFFF00000000}"/>
  </bookViews>
  <sheets>
    <sheet name="Guia" sheetId="5" r:id="rId1"/>
    <sheet name="Calificacion" sheetId="1" r:id="rId2"/>
    <sheet name="Resumen" sheetId="6" r:id="rId3"/>
    <sheet name="Config" sheetId="4" r:id="rId4"/>
    <sheet name="LLM_ToggleThink" sheetId="7" r:id="rId5"/>
    <sheet name="Prompts" sheetId="3" r:id="rId6"/>
    <sheet name="Contextos" sheetId="2" r:id="rId7"/>
  </sheets>
  <definedNames>
    <definedName name="_xlnm._FilterDatabase" localSheetId="6" hidden="1">Contextos!$A$1:$M$66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6" l="1"/>
  <c r="B12" i="6"/>
  <c r="C11" i="6"/>
  <c r="B11" i="6"/>
  <c r="C10" i="6"/>
  <c r="B10" i="6"/>
  <c r="C9" i="6"/>
  <c r="B9" i="6"/>
  <c r="C8" i="6"/>
  <c r="B8" i="6"/>
  <c r="B5" i="6"/>
  <c r="B4" i="6"/>
  <c r="C3" i="6"/>
  <c r="B3" i="6"/>
  <c r="C2" i="6"/>
  <c r="B2" i="6"/>
</calcChain>
</file>

<file path=xl/sharedStrings.xml><?xml version="1.0" encoding="utf-8"?>
<sst xmlns="http://schemas.openxmlformats.org/spreadsheetml/2006/main" count="1258" uniqueCount="609">
  <si>
    <t>id</t>
  </si>
  <si>
    <t>modo</t>
  </si>
  <si>
    <t>idioma</t>
  </si>
  <si>
    <t>N0 corpus (auto)</t>
  </si>
  <si>
    <t>pregunta</t>
  </si>
  <si>
    <t>respuesta de referencia</t>
  </si>
  <si>
    <t>parte NO respondible</t>
  </si>
  <si>
    <t>RESPUESTA DEL SISTEMA</t>
  </si>
  <si>
    <t>N1 gold en top-k (auto)</t>
  </si>
  <si>
    <t>N1 rango (auto)</t>
  </si>
  <si>
    <t>N1 attack_ids recuperados (auto)</t>
  </si>
  <si>
    <t>N2 respuesta (0/1/2)</t>
  </si>
  <si>
    <t>N3 citas (0/1/2)</t>
  </si>
  <si>
    <t>DIAGNOSTICO</t>
  </si>
  <si>
    <t>comentario</t>
  </si>
  <si>
    <t>gold_point_ids esperados (auto)</t>
  </si>
  <si>
    <t>point_ids recuperados (auto)</t>
  </si>
  <si>
    <t>p01</t>
  </si>
  <si>
    <t>RAG</t>
  </si>
  <si>
    <t>completa</t>
  </si>
  <si>
    <t>¿Qué mitigaciones propone ATT&amp;CK para la sub-técnica T1059.001 PowerShell y en qué consiste cada una?</t>
  </si>
  <si>
    <t>ATT&amp;CK lista cinco mitigaciones para T1059.001: M1038 Execution Prevention (control de aplicaciones y PowerShell Constrained Language Mode), M1045 Code Signing (política de ejecución sólo de scripts firmados), M1026 Privileged Account Management (restringir la ejecución a administradores; JEA para limitar comandos), M1049 Antivirus/Antimalware (cuarentena automática de archivos sospechosos) y M1042 Disable or Remove Feature or Program (eliminar PowerShell donde no se necesite y deshabilitar/restringir WinRM).</t>
  </si>
  <si>
    <t>-</t>
  </si>
  <si>
    <t>No se proporciona información en los contextos pasados sobre mitigaciones específicas para la sub-técnica T1059.001 PowerShell. Por lo tanto, no se puede responder a la pregunta con base en los datos ofrecidos.</t>
  </si>
  <si>
    <t>NO</t>
  </si>
  <si>
    <t>T1059.001, S1193, G0099, T1059, S0393</t>
  </si>
  <si>
    <t>1a6dadb3-8062-5fe2-893a-16bb2f3f9595
124ac693-8c28-5a9f-9362-e91899a4361d</t>
  </si>
  <si>
    <t>[1] 0a79d1de-5953-5bf1-91d8-c87bbbf93bc8
[2] 4890209d-7610-5835-817d-6f8eb92c4ff3
[3] a2e64c2d-7e66-5e5a-86df-0543d7957b56
[4] 12155368-afb0-5e72-bdbd-189ee840f96e
[5] 3176af7f-1b20-500d-8754-9e2746f08472</t>
  </si>
  <si>
    <t>LLM</t>
  </si>
  <si>
    <t>La sub-técnica **T1059.001** de ATT&amp;CK se refiere a **"Command and Scripting Interpreter"** con el enfoque específico de **PowerShell** (uso de PowerShell para ejecutar comandos y scripts). Aunque ATT&amp;CK no proporciona una lista detallada de "mitigaciones" en el sentido de soluciones técnicas específicas para cada sub-técnica, sí ofrece **recomendaciones de mitigación** basadas en buenas prácticas de seguridad y en el contexto de detección y prevención.
A continuación, se presentan las **mitigaciones propuestas o recomendadas** para T1059.001 (PowerShell), junto con una explicación de cada una:
---
### 1. **Restricción de ejecución de PowerShell**
- **Qué consiste**: Limitar el uso de PowerShell a entornos de ejecución seguros (por ejemplo, solo en modo "Restricted" o "RemoteSigned") y evitar que se ejecute scripts no firmados.
- **Por qué ayuda**: El modo "Restricted" bloquea la ejecución de scripts, lo que impide que un atacante ejecute código malicioso a través de PowerShell.
- **Ejemplo**: Configurar el registro de Windows para que PowerShell solo permita comandos interactivos y no scripts.
---
### 2. **Uso de firmas digitales y validación de scripts**
- **Qué consiste**: Requerir que los scripts PowerShell estén firmados por un certificado de firma válida antes de que se ejecuten.
- **Por qué ayuda**: Los scripts firmados son más fáciles de verificar y reducen el riesgo de ejecutar código malicioso.
- **Ejemplo**: Configurar el sistema para que solo se permita la ejecución de scripts firmados (usando el parámetro `-ExecutionPolicy` en PowerShell).
---
### 3. **Monitoreo y auditoría de comandos PowerShell**
- **Qué consiste**: Implementar herramientas de detección que monitoren los comandos ejecutados en PowerShell (por ejemplo, registros de eventos del sistema).
- **Por qué ayuda**: Permite detectar comportamientos sospechosos, como comandos que no son típicos de uso normal.
- **Ejemplo**: Usar herramientas como **Windows Event Logs (Event ID 4688)** o **SIEM** (como Splunk, QRadar) para analizar comandos ejecutados.
---
### 或 4. **Detección de comportamientos anómalos**
- **Qué consiste**: Aplicar análisis de comportamiento para detectar actividades inusuales, como la ejecución de comandos en horarios fuera de lo normal o en entornos no autorizados.
- **Por qué ayuda**: Aunque el atacante pueda ejecutar PowerShell, su comportamiento puede ser detectado como anómalo.
- **Ejemplo**: Detección de comandos como `Invoke-Expression`, `IEX`, o `System.Net.WebClient` que se usan comúnmente en ataques.
---
### 5. **Control de acceso y políticas de grupo (Group Policy)**
- **Qué consiste**: Aplicar políticas de grupo que limiten el acceso a PowerShell y a los permisos de ejecución.
- **Por qué ayuda**: Reduce el riesgo de que usuarios no autorizados o maliciosos puedan ejecutar PowerShell.
- **Ejemplo**: Configurar políticas de grupo para que solo los usuarios autorizados puedan ejecutar PowerShell.
---
### 6. **Uso de alternativas seguras a PowerShell**
- **Qué consiste**: En entornos críticos, usar herramientas más seguras como **Windows Command Prompt**, **batch files**, o **PowerShell con ejecución restringida**.
- **Por qué ayuda**: Reduce la superficie de ataque al evitar el uso de PowerShell en entornos sensibles.
---
### Nota importante:
ATT&amp;CK no proporciona una lista oficial de "mitigaciones" como un documento técnico detallado. Las mencionadas anteriormente son **recomendaciones basadas en buenas prácticas de seguridad** y en el marco de la estrategia de mitigación de la sub-técnica T1059.001.
---
✅ **Resumen**:
| Mitigación | Descripción |
|----------|-------------|
| Restricción de ejecución | Usar modos seguros (ej. Restricted) en PowerShell |
| Firmas digitales | Requerir firmas válidas para scripts |
| Monitoreo de eventos | Auditar comandos ejecutados en PowerShell</t>
  </si>
  <si>
    <t>N/A (llm)</t>
  </si>
  <si>
    <t>N/A</t>
  </si>
  <si>
    <t>p02</t>
  </si>
  <si>
    <t>According to ATT&amp;CK, which tactic does Phishing (T1566) belong to and what are its four sub-techniques?</t>
  </si>
  <si>
    <t>Phishing belongs to the Initial Access tactic. Its four sub-techniques are T1566.001 Spearphishing Attachment, T1566.002 Spearphishing Link, T1566.003 Spearphishing via Service and T1566.004 Spearphishing Voice.</t>
  </si>
  <si>
    <t>According to ATT&amp;CK, Phishing (T1566) belongs to the tactic **Initial Access** [4].
The context does not list four sub-techniques of T1566. It mentions the following sub-techniques:
- T1566.004 - Spearphishing Voice [3]
- T1566.001 - Social Media Accounts [1]
- T1566.002 - Email Accounts [1]
- T1566.003 - Cloud Accounts [1]
However, only three of these are explicitly listed as sub-techniques of T1566 in the provided context. There is no mention of a fourth sub-technique.
Therefore, based on the provided context, Phishing (T1566) belongs to the **Initial Access** tactic, and its sub-techniques are:
- T1566.001 Social Media Accounts  
- T1566.002 Email Accounts  
- T1566.003 Cloud Accounts  
- T1566.004 Spearphishing Voice  
[1][3][4]</t>
  </si>
  <si>
    <t>SI</t>
  </si>
  <si>
    <t>T1586, T1566, T1566.004, TA0001, T1598</t>
  </si>
  <si>
    <t>af42649d-952f-5dfb-afab-8c8e51a00019
22e1f629-ed75-57fb-9dfd-767e49dde3de</t>
  </si>
  <si>
    <t>[1] b2a9cfd5-44fa-5197-8cfd-a36ce303763f
[2] af42649d-952f-5dfb-afab-8c8e51a00019
[3] 7d5a91ab-56d5-5ca2-b89b-c33ea61c6f5c
[4] ff4c0835-7fe5-59cd-a94d-d82a9c87c07c
[5] f4d8f7cf-221f-59d8-8020-429a851befef</t>
  </si>
  <si>
    <t>Phishing (T1566) belongs to the **Tactic: Initial Access** in the MITRE ATT&amp;CK framework.
However, it's important to clarify: **T1566 is not a tactic** — it is a **technique**. The correct categorization is:
- **Tactic**: Initial Access  
- **Technique**: T1566 – Phishing
T1566 – Phishing is a technique under the **Initial Access** tactic.
Regarding sub-techniques of T1566 (Phishing), MITRE ATT&amp;CK does **not** define four distinct sub-techniques under T1566. Instead, T1566 is a single technique with various **sub-techniques** (or forms) that describe different types of phishing, such as:
- T1566.001 – Spear Phishing Email  
- T1566.002 – Phishing Website  
- T1566.003 – Phishing SMS (Smishing)  
- T1566.004 – Phishing via Voice (Vishing)
Thus, the four sub-techniques of T1566 are:
- T1566.001 – Spear Phishing Email  
- T1566.002 – Phishing Website  
- T1566.003 – Phishing SMS (Smishing)  
- T1566.004 – Phishing via Voice (Vishing)
✅ Final Answer:
According to ATT&amp;CK, Phishing (T1566) belongs to the **Initial Access** tactic. Its four sub-techniques are:
- T1566.001 – Spear Phishing Email  
- T1566.002 – Phishing Website  
- T1566.003 – Phishing SMS (Smishing)  
- T1566.004 – Phishing via Voice (Vishing)</t>
  </si>
  <si>
    <t>p03</t>
  </si>
  <si>
    <t>¿Qué es la táctica Persistencia (TA0003) en ATT&amp;CK y qué busca conseguir el adversario con ella?</t>
  </si>
  <si>
    <t>Persistencia es la táctica en la que el adversario intenta mantener su punto de apoyo (foothold). Agrupa técnicas para conservar el acceso a los sistemas a pesar de reinicios, cambios de credenciales u otras interrupciones; incluye cualquier acceso, acción o cambio de configuración que le permita mantener ese acceso, como reemplazar o secuestrar código legítimo o añadir código de arranque.</t>
  </si>
  <si>
    <t>La táctica Persistencia (TA0003) en ATT&amp;CK consiste en técnicas que los adversarios utilizan para mantener su acceso a los sistemas a pesar de reinicios, cambios de credenciales o interrupciones que podrían cortar su acceso [1]. Esta táctica busca que el adversario mantenga su presencia en los sistemas tras eventos que podrían eliminar su acceso, como reinicios o cambios de credenciales [1].</t>
  </si>
  <si>
    <t>TA0003, T1070.010, T1668, T1596.003, T1547.007</t>
  </si>
  <si>
    <t>259ce106-5bf5-5095-9060-49c5e3501b01</t>
  </si>
  <si>
    <t>[1] 259ce106-5bf5-5095-9060-49c5e3501b01
[2] e10a631d-09ba-51f0-875b-5eb8736daa53
[3] b0eccfc2-c562-56d9-a9c2-b5fb87c09c21
[4] 5eecfeb4-7ff3-5476-a857-a696b2cfa777
[5] d594b40b-00a7-5682-b595-8e660593de1f</t>
  </si>
  <si>
    <t>La táctica Persistencia (TA0003) en el marco MITRE ATT&amp;CK se refiere a la capacidad de un atacante para mantener acceso a un sistema o red tras la inicialización de una amenaza. Este objetivo permite que el atacante se mantenga activo en el entorno durante períodos prolongados, incluso después de que se hayan aplicado medidas de seguridad o se hayan detectado actividades inusuales.
El adversario busca conseguir que su acceso a la infraestructura sea **persistente**, es decir, que no se pierda al reiniciar el sistema o al aplicar controles de seguridad. Esto permite que el atacante realice actividades de recolección de datos, ejecución de comandos, propagación a otros sistemas o monitoreo continuo sin que se detecte inmediatamente.
Algunos ejemplos de técnicas asociadas a esta táctica incluyen:
- T1059.001 (Comandos y scripts maliciosos)
- T1059.002 (Ejecución de scripts)
- T1059.003 (Ejecución de comandos)
- T1059.004 (Ejecución de comandos a través de servicios)
- T1059.005 (Ejecución de comandos a través de servicios de red)
En resumen, la táctica Persistencia (TA0003) busca **mantener un acceso continuo y sin interrupción** al sistema objetivo, lo que facilita la ejecución de ataques más complejos y prolongados.</t>
  </si>
  <si>
    <t>p04</t>
  </si>
  <si>
    <t>parcial</t>
  </si>
  <si>
    <t>Según ATT&amp;CK, ¿qué es Cobalt Strike (S0154) y de qué otras herramientas conocidas aprovecha capacidades? ¿Cuánto cuesta su licencia anual?</t>
  </si>
  <si>
    <t>Cobalt Strike es una herramienta comercial de acceso remoto con todas las funciones, que se presenta como 'software de simulación de adversarios' para ejecutar ataques dirigidos y emular las acciones post-explotación de actores avanzados; sus capacidades interactivas cubren toda la gama de tácticas ATT&amp;CK en un único sistema integrado. Además de sus propias capacidades, aprovecha las de otras herramientas conocidas como Metasploit y Mimikatz (S0002).</t>
  </si>
  <si>
    <t>El precio de la licencia no está en el corpus (ATT&amp;CK no registra precios; la única aparición de 'price' en el corpus es en el software CoinTicker, sin relación).</t>
  </si>
  <si>
    <t>Según ATT&amp;CK, Cobalt Strike (S0154) es un software de tipo malware, perteneciente al dominio de ataque empresarial, que se describe como "una herramienta de acceso remoto comercial, completa, diseñada para ejecutar ataques dirigidos y emular las acciones de post-explotación de actores de amenazas avanzadas". [1]
Cobalt Strike aprovecha las capacidades de otras herramientas conocidas, como Metasploit y Mimikatz. [1]
No se proporciona información en los contextos sobre el costo anual de la licencia de Cobalt Strike. [1][2][3][4][5]
Por lo tanto, no se puede determinar cuánto cuesta su licencia anual basándose en los datos proporcionados.</t>
  </si>
  <si>
    <t>S0154, T1021.004, G0080, S0637, T1001.003</t>
  </si>
  <si>
    <t>71c1c43a-b0b2-569d-8a65-7d55faff7ef8</t>
  </si>
  <si>
    <t>[1] 71c1c43a-b0b2-569d-8a65-7d55faff7ef8
[2] b27606ce-c40b-57f1-92e7-d18ac7673f0e
[3] c7c1e3ef-2447-55be-8bab-3de4d5e3fa0b
[4] ee34623e-b92f-55b0-bf27-6b757ee1681d
[5] a8f8bb82-ac11-5f17-b51c-536281194ec5</t>
  </si>
  <si>
    <t>Cobalt Strike (S0154) es una herramienta de red de seguridad y de ataque que permite a los investigadores y profesionales de ciberseguridad realizar pruebas de penetración y análisis de vulnerabilidades en entornos de red. Según el MITRE ATT&amp;CK, S0154 se clasifica como una herramienta de "iniciación de sesión" (initial access) y se utiliza principalmente para simular ataques de red, como la ejecución remota de comandos en sistemas.
Cobalt Strike aprovecha capacidades de otras herramientas conocidas, como:
- **Metasploit**: para la ejecución de payloads y la gestión de sesiones.
- **PowerShell**: para la ejecución de comandos en sistemas Windows.
- **Meterpreter**: un módulo de Metasploit que permite la ejecución remota de comandos y la gestión de sesiones en sistemas operativos.
Sin embargo, es importante aclarar que **Cobalt Strike no es una herramienta de ataque comercial que se venda con una licencia anual**. Es una herramienta de investigación y pruebas de penetración que se ofrece como software de uso académico y profesional, y **no tiene un costo oficial de licencia anual** como producto comercializado en el mercado.
En su sitio oficial, Cobalt Strike está disponible para uso en entornos de pruebas y educación, y **no se cobra una licencia anual**. Su uso está regulado por las políticas de uso de la herramienta, y se recomienda su uso solo en entornos autorizados y bajo supervisión.
👉 **Respuesta final**:  
Cobalt Strike (S0150) es una herramienta de pruebas de penetración que simula ataques de red y aprovecha capacidades de herramientas como Metasploit y PowerShell. **No tiene una licencia anual y no se cobra un costo oficial** para su uso en entornos educativos o de investigación.</t>
  </si>
  <si>
    <t>p05</t>
  </si>
  <si>
    <t>Según ATT&amp;CK, ¿APT29 (G0016) utiliza Mimikatz? Y en caso afirmativo, ¿qué técnicas relacionadas con tickets Kerberos implementa esa herramienta?</t>
  </si>
  <si>
    <t>Sí: S0002 Mimikatz aparece en la lista de software usado por APT29 (y G0016 APT29 aparece en la lista 'Used by' de Mimikatz). Entre las técnicas de Mimikatz relacionadas con tickets Kerberos están T1550.003 Pass the Ticket, T1558.001 Golden Ticket y T1558.002 Silver Ticket.</t>
  </si>
  <si>
    <t>Sí, según ATT&amp;CK, APT29 (G0016) utiliza Mimikatz.  
En el contexto se indica que:  
- G0016 APT29 (grupo) ha utilizado ataques de Kerberos para el movimiento lateral [1].  
- S0002 Mimikatz (software) tiene el módulo &lt;code&gt;KERBEROS::PTT&lt;/code&gt; que implementa los tres pasos necesarios para extraer la contraseña del cuenta krbtgt y crear o usar tickets de Kerberos [1].  
Por lo tanto, Mimikatz implementa la técnica **T1550.003 - Pass the Ticket**, que es una técnica relacionada con tickets de Kerberos.  
**Respuesta final:**  
Sí, APT29 (G0016) utiliza Mimikatz, y la técnica relacionada con tickets de Kerberos que implementa esa herramienta es **T1550.003 - Pass the Ticket** [1].</t>
  </si>
  <si>
    <t>T1550.003, T1550.003, T1558.003, S0079, T1558.001</t>
  </si>
  <si>
    <t>06bdc461-ede8-5f49-9b73-19f127c7b746
765c8a68-965f-5232-b1a9-29c9ef4a5769
bd4e8cd4-5326-5459-bc70-8e91db2275a6</t>
  </si>
  <si>
    <t>[1] 750bebf0-a34b-5f77-9ddb-6fe2a3f246ba
[2] 7056425c-0a49-5208-8a73-967b7b0834c4
[3] 304f8585-a1e6-5623-9b25-a13b95dab776
[4] daaa4cb7-91e0-5cc0-82b5-3b2bb2ca454a
[5] aad4bf53-34e3-513d-a9bc-9661d1985753</t>
  </si>
  <si>
    <t>No, según el marco MITRE ATT&amp;CK, el grupo APT29 (identificado como G0016) no se ha documentado como usuario directo de Mimikatz. Aunque APT29 ha sido asociado con técnicas de acceso a sistemas mediante el uso de tickets Kerberos (como T1547.001 - "Exploitation of Kerberos"), estas acciones se realizan mediante herramientas o métodos específicos de ataque, no necesariamente mediante Mimikatz.
Además, Mimikatz es una herramienta de análisis de seguridad que permite la extracción de credenciales almacenadas en memoria (como los tickets Kerberos), y aunque puede ser utilizada por atacantes para obtener acceso a sistemas, su uso no está directamente vinculado a APT29 en fuentes oficiales del MITRE ATT&amp;CK.
En cuanto a técnicas relacionadas con tickets Kerberos que podría implementar APT29:
- **T1547.001 - Exploitation of Kerberos**: Este es el principal sub-técnico relacionado con el uso de tickets Kerberos para obtener acceso a sistemas. APT29 ha sido asociado con este comportamiento, especialmente en ataques que aprovechan vulnerabilidades en el protocolo Kerberos (por ejemplo, en el uso de tickets de tiempo de vida o en la reutilización de tickets).
Por lo tanto:
✅ APT29 (G0016) **no utiliza directamente Mimikatz**.  
✅ APT29 **sí implementa técnicas relacionadas con el uso de tickets Kerberos**, principalmente **T1547.001**.
**Respuesta final:**  
No, APT29 (G0016) no utiliza Mimikatz. Sin embargo, sí implementa la técnica T1547.001 - Exploitation of Kerberos.</t>
  </si>
  <si>
    <t>p06</t>
  </si>
  <si>
    <t>¿Qué sub-técnicas de intérpretes de comandos (T1059.*) usa Lazarus Group (G0032) según ATT&amp;CK, y qué ataques ha realizado este grupo contra Ecuador?</t>
  </si>
  <si>
    <t>ATT&amp;CK atribuye a Lazarus Group tres sub-técnicas de T1059: T1059.001 PowerShell, T1059.003 Windows Command Shell y T1059.005 Visual Basic.</t>
  </si>
  <si>
    <t>Ataques contra Ecuador: el documento de G0032 no menciona Ecuador (la única aparición de 'Ecuador' en todo el corpus está en T1480 Execution Guardrails, sin relación con Lazarus).</t>
  </si>
  <si>
    <t>No se proporciona información en los contextos sobre qué sub-técnicas de intérpretes de comandos (T1059.*) usa el Lazarus Group (G0032) o sobre ataques específicos que haya realizado contra Ecuador. Aunque se menciona que el Lazarus Group utiliza técnicas como T1059.003 Windows Command Shell y T1059.005 Visual Basic en el contexto de software como AuditCred y TYPEFRAME [1][3], no se especifica explícitamente el uso de sub-técnicas de T1059.* en general, ni se menciona cualquier actividad contra Ecuador.
Además, no hay ninguna referencia en los contextos a ataques realizados por el Lazarus Group contra Ecuador.
Por lo tanto, **no se puede responder con certeza** a la pregunta basándose únicamente en los contextos proporcionados.
**Respuesta: No se puede determinar a partir de los contextos proporcionados.**</t>
  </si>
  <si>
    <t>S0347, G0099, S0263, G0032, G0032</t>
  </si>
  <si>
    <t>d5484bb9-a214-54b4-8984-3d35d6ac7bfe</t>
  </si>
  <si>
    <t>[1] 72ef6bf9-f375-5969-8f05-be8b358a87ba
[2] 82b5059b-bba0-51c6-a72e-3cf74d782138
[3] 77ea47c9-d1b8-55f4-8c12-d291eda4256b
[4] d7ced4c8-3901-5447-a0b3-c2fbf5b3ae9f
[5] d5484bb9-a214-54b4-8984-3d35d6ac7bfe</t>
  </si>
  <si>
    <t>No se ha documentado oficialmente en el MITRE ATT&amp;CK que el grupo Lazarus (G0032) haya utilizado específicamente sub-técnicas de intérpretes de comandos (T1059.*) como parte de sus actividades conocidas, ni se ha registrado un ataque directo contra Ecuador atribuido a este grupo en fuentes oficiales del MITRE ATT&amp;CK.
Además, el MITRE ATT&amp;CK no proporciona una lista detallada de sub-técnicas (como T1059.001, T1059.002, etc.) que el grupo Lazarus haya utilizado en operaciones específicas, ni hay evidencia verificada de que el grupo haya atacado a Ecuador.
Por lo tanto, **no se puede afirmar con certeza** que Lazarus haya usado sub-técnicas de intérpretes de comandos (T1059.*) o que haya realizado ataques contra Ecuador según el MITRE ATT&amp;CK.
**Respuesta final:**  
No hay evidencia oficial en el MITRE ATT&amp;CK de que el grupo Lazarus (G0032) haya utilizado sub-técnicas de intérpretes de comandos (T1059.*) o haya realizado ataques contra Ecuador.</t>
  </si>
  <si>
    <t>p07</t>
  </si>
  <si>
    <t>According to ATT&amp;CK, how has APT28 (G0007) carried out password spraying (T1110.003)?</t>
  </si>
  <si>
    <t>ATT&amp;CK records that during the APT28 Nearest Neighbor Campaign (C0051) APT28 performed password-spray attacks against public-facing services to validate credentials; that APT28 used brute-force/password-spray tooling which, in password-spraying mode, made approximately four authentication attempts per hour per targeted account over several days or weeks; and that APT28 also used a Kubernetes cluster to conduct distributed, large-scale password spray attacks.</t>
  </si>
  <si>
    <t>APT28 (G0007) has carried out password spraying (T1110.003) by using a brute-force/password-spray tooling that operated in two modes: in password-spraying mode, it conducted approximately four authentication attempts per hour per targeted account over the course of several days or weeks. Additionally, APT28 has used a Kubernetes cluster to conduct distributed, large-scale password spray attacks. During the APT28 Nearest Neighbor Campaign (C0051), APT28 performed password-spray attacks against public-facing services to validate credentials [1][2].</t>
  </si>
  <si>
    <t>T1110.003, T1110.003, T1110.003, DET0487, C0051</t>
  </si>
  <si>
    <t>ef7bd43e-42d4-5dd2-bc0e-1abd0cbf802f
bda60f05-afc9-5623-a785-ce6ba574ed8e</t>
  </si>
  <si>
    <t>[1] bda60f05-afc9-5623-a785-ce6ba574ed8e
[2] ef7bd43e-42d4-5dd2-bc0e-1abd0cbf802f
[3] 157456b8-c03f-5096-98d8-1d1e43a443e8
[4] f62c8db0-8f71-599b-b664-010c60d7b022
[5] 9f28e3b3-46cd-5d07-ba72-040ae936815b</t>
  </si>
  <si>
    <t>As of now, there is no publicly documented or verified evidence in the MITRE ATT&amp;CK framework that APT28 (G0007) has specifically carried out password spraying (T1110.003) in a manner that is explicitly attributed or detailed within the ATT&amp;CK knowledge base.
While APT28 is known to use credential harvesting and phishing techniques, and password spraying is a common technique used in credential access (T1110.003), the ATT&amp;CK framework does not provide a specific, confirmed instance of APT28 executing password spraying as a tactic or technique.
Therefore, based on available ATT&amp;CK data, **there is no confirmed or documented instance of APT28 (G0007) carrying out password spraying (T1110.003)**.
Note: The MITRE ATT&amp;CK framework describes techniques and behaviors observed in cyberattacks, but it does not assign specific attribution to individual threat actors in all cases—especially for less publicly documented or unverified activities. Attribution remains a complex and often uncertain process.
Answer: There is no confirmed or documented instance in the MITRE ATT&amp;CK framework of APT28 (G0007) carrying out password spraying (T1110.003).</t>
  </si>
  <si>
    <t>p08</t>
  </si>
  <si>
    <t>¿Qué mitigaciones recomienda ATT&amp;CK contra Password Spraying (T1110.003) y qué porcentaje de las intrusiones registradas en 2025 comenzó con esta técnica?</t>
  </si>
  <si>
    <t>ATT&amp;CK recomienda tres mitigaciones: M1027 Password Policies (seguir las guías NIST al definir políticas de contraseñas), M1032 Multi-factor Authentication (usar MFA, también en servicios expuestos a Internet) y M1036 Account Use Policies (bloqueo de cuenta tras cierto número de intentos fallidos, con cuidado de no provocar denegación de servicio; políticas de acceso condicional para bloquear logins desde dispositivos no conformes o fuera de rangos IP de la organización; bloquear autenticaciones desde servicios de anonimización/proxies).</t>
  </si>
  <si>
    <t>El porcentaje de intrusiones de 2025 no existe en el corpus: ATT&amp;CK no contiene estadísticas de incidencia.</t>
  </si>
  <si>
    <t>No se proporciona información en los contextos sobre mitigaciones contra Password Spraying (T1110.003) ni sobre el porcentaje de intrusiones registradas en 2025 que comenzaron con esta técnica. Por lo tanto, no se puede responder a la pregunta con base en los datos ofrecidos.
[1][2][3][4][5] — ninguno de estos pasajes menciona mitigaciones específicas para T1110.003 ni proporciona datos sobre intrusiones en 2025.</t>
  </si>
  <si>
    <t>T1110.003, DET0487, T1110.003, G0114, T1110.002</t>
  </si>
  <si>
    <t>9ba81dbd-2475-5872-aac0-2ad4b53a7ba3</t>
  </si>
  <si>
    <t>[1] 157456b8-c03f-5096-98d8-1d1e43a443e8
[2] f62c8db0-8f71-599b-b664-010c60d7b022
[3] bc411276-2b2d-57fd-b20f-7feb6b7f2b0b
[4] 8e3c7f9a-1c02-5e07-a4ae-509c8f1580e1
[5] 0204f726-7c2b-510e-a2cf-0d16f6c05c61</t>
  </si>
  <si>
    <t>No se proporciona información oficial en el MITRE ATT&amp;CK sobre mitigaciones específicas para la técnica de Password Spraying (T1110.003), ni se tiene datos disponibles sobre el porcentaje de intrusiones registradas en 2025 que comenzaron con esta técnica.  
El MITRE ATT&amp;CK no publica estadísticas anuales sobre el número o porcentaje de intrusiones que comenzaron con una técnica específica en un año futuro como 2025, ya que es un conjunto de conocimiento de amenazas y no un repositorio de datos de incidentes históricos o proyectados.  
Por lo tanto, **no se puede afirmar un porcentaje de intrusiones en 2025 que comenzaron con Password Spraying**, y **no se recomiendan mitigaciones específicas en el MITRE ATT&amp;CK para esta técnica** en el contexto de datos de 2025.  
Las mitigaciones recomendadas para Password Spraying (T1110.003) en general, basadas en buenas prácticas de seguridad, incluyen:  
- Uso de políticas de contraseñas fuertes y complejas.  
- Implementación de autenticación multifactor (MFA).  
- Configuración de alertas para intentos de acceso múltiples con credenciales.  
- Uso de herramientas de detección de comportamiento anómalo.  
- Educación del personal sobre riesgos de ataques de "spraying".  
Sin embargo, estas no son mitigaciones directamente especificadas por el MITRE ATT&amp;CK para T1110.003.  
✅ Respuesta final:  
**No se proporcionan mitigaciones específicas en el MITRE ATT&amp;CK para Password Spraying (T1110.003), y no se tiene datos sobre el porcentaje de intrusiones registradas en 2025 que comenzaron con esta técnica.**</t>
  </si>
  <si>
    <t>p09</t>
  </si>
  <si>
    <t>Which mitigations does ATT&amp;CK list for Phishing (T1566), and which commercial email security product does MITRE recommend to implement them?</t>
  </si>
  <si>
    <t>ATT&amp;CK lists six mitigations for Phishing: M1031 Network Intrusion Prevention (systems that scan and remove malicious attachments or links), M1021 Restrict Web-Based Content (block risky attachment types such as .scr, .exe, .pif, .cpl), M1017 User Training (train users to recognise social engineering and phishing), M1049 Antivirus/Antimalware (automatic quarantine of suspicious files), M1054 Software Configuration (anti-spoofing and email authentication: SPF, DKIM, DMARC) and M1047 Audit (audits/scans of systems, permissions and configurations).</t>
  </si>
  <si>
    <t>MITRE ATT&amp;CK does not recommend commercial vendors or products; no such recommendation exists in the corpus.</t>
  </si>
  <si>
    <t>The provided context passages do not list any mitigations for Phishing (T1566) nor do they specify any commercial email security product that MITRE recommends to implement them. While the passages mention email authentication mechanisms such as SPF, DKIM, and DMARC as part of filtering and validation, they do not explicitly state these as mitigations for T1566 or identify a specific commercial product to implement them [5]. Therefore, based on the given context, no mitigations or recommended commercial products are specified.
Answer: None of the mitigations or commercial email security products are listed in the provided context.</t>
  </si>
  <si>
    <t>T1586.002, T1566, T1566, T1585.002, T1566</t>
  </si>
  <si>
    <t>60567a05-573f-5585-bac9-fb6962c3a42f
22e1f629-ed75-57fb-9dfd-767e49dde3de</t>
  </si>
  <si>
    <t>[1] 302a1537-027f-57a0-81b9-9063712870ce
[2] af42649d-952f-5dfb-afab-8c8e51a00019
[3] 6a49f47f-97c7-51c1-9b8c-11a512eb628c
[4] e3dc1b98-151d-514e-a176-c74fb584fe19
[5] 22e1f629-ed75-57fb-9dfd-767e49dde3de</t>
  </si>
  <si>
    <t>MITRE ATT&amp;CK does not list specific mitigations for Phishing (T1566) in the traditional sense of "mitigations" like firewall rules or endpoint protections. Instead, ATT&amp;CK provides a structured framework of tactics, techniques, and sub-techniques that adversaries use—such as phishing (T1566)—and recommends detection and prevention strategies based on real-world threat intelligence.
For Phishing (T1566), ATT&amp;CK recommends the following **detection and mitigation approaches**:
- **Email content filtering** to detect suspicious or malicious content.
- **Domain-based message authentication, reporting, and conformance (DMARC)** to prevent spoofed emails.
- **Sender Policy Framework (SPF)** and **DomainKeys Identified Mail (DKIM)** to verify sender authenticity.
- **User education and awareness programs** to reduce human susceptibility to phishing.
- **Real-time threat intelligence integration** to identify known phishing domains or URLs.
- **Behavioral analysis** to detect anomalies in email patterns (e.g., unusual senders, attachments, or links).
These are not "mitigations" in the sense of a product feature, but rather **security controls and practices** that help prevent or detect phishing attacks.
Regarding commercial email security products, MITRE does **not** recommend a specific commercial product** for implementing these mitigations. However, MITRE often references or aligns with industry-leading email security solutions that support these controls. For example:
- **Microsoft 365 Defender** (formerly Microsoft Defender for Office 365) is frequently cited in ATT&amp;CK for its capabilities in detecting and blocking phishing emails using DMARC, SPF, DKIM, and AI-driven content analysis.
- **Proofpoint**, **Palo Alto Networks Prisma Cloud**, and **Symantec Email Security** are also known to support many of these ATT&amp;CK-aligned controls.
✅ Therefore, while MITRE does not explicitly recommend a single commercial product for phishing mitigation, **Microsoft 365 Defender** is widely recognized and referenced in the ATT&amp;CK framework as a product that effectively implements many of the recommended mitigations for T1566 (Phishing).
**Final Answer:**
MITRE ATT&amp;CK does not list specific "mitigations" for Phishing (T1566) as a standalone category, but recommends controls such as DMARC/SPF/DKIM, user awareness, and real-time threat intelligence. MITRE does not recommend a single commercial product; however, **Microsoft 365 Defender** is a widely recognized email security solution that supports these ATT&amp;CK-aligned mitigations.</t>
  </si>
  <si>
    <t>p10</t>
  </si>
  <si>
    <t>nula</t>
  </si>
  <si>
    <t>¿Qué es la técnica T1417 Input Capture de ATT&amp;CK Mobile y qué mitigaciones propone ATT&amp;CK para ella?</t>
  </si>
  <si>
    <t>No respondible con el corpus: sólo está ingestado el dominio enterprise-attack; T1417 pertenece a mobile-attack y no existe ningún chunk con ese ID. La respuesta correcta es abstenerse indicando que el contexto no contiene esa información.</t>
  </si>
  <si>
    <t>Toda la pregunta.</t>
  </si>
  <si>
    <t>No se proporciona información sobre la técnica T1417 Input Capture en el contexto dado. Además, no hay menciones a ninguna técnica denominada "T1417 Input Capture" ni a mitigaciones específicas para ella en los pasajes proporcionados. Los pasajes mencionan exclusivamente la técnica T1056 - Input Capture y sus sub-técnicas (como T1056.001 y T1056.003), así como estrategias de detección (DET0102), pero no T1417 ni ninguna mitigación relacionada con ella.
Por lo tanto, no se puede responder a la pregunta con base en el contexto proporcionado.
Respuesta: No se proporciona información sobre la técnica T1417 Input Capture ni sobre mitigaciones para ella en el contexto dado.</t>
  </si>
  <si>
    <t>N/A (nula)</t>
  </si>
  <si>
    <t>T1056, T1056.003, T1056.001, DET0102, T1056.001</t>
  </si>
  <si>
    <t>[1] 49082e7a-665e-52fc-913f-e16e250c69fc
[2] 53bb75a3-204c-582f-aebf-0aa453578979
[3] 9552e904-33ef-5bad-a469-7fa1bf0d2107
[4] b125294d-a3b8-5227-a30b-108b917e557a
[5] 1e3aef33-c042-58ea-a36d-b1176cfd929c</t>
  </si>
  <si>
    <t>La técnica **T1417** en el marco de **MITRE ATT&amp;CK** no corresponde a "Input Capture" en el contexto móvil. De hecho, **T1417** está relacionada con **"Input Capture" en dispositivos móviles**, pero es importante aclarar que **T1417** es una técnica de **ciberataque en dispositivos móviles**, y su descripción oficial es:
&gt; **T1417: Input Capture** – *An attacker can capture input from a mobile device (e.g., keyboard, microphone, camera) to gather sensitive data such as passwords, messages, or voice recordings.*
Esta técnica implica que un atacante puede utilizar una aplicación maliciosa o un exploit para capturar entradas del usuario (como contraseñas, mensajes, llamadas o grabaciones) en un dispositivo móvil, lo cual puede ser usado para obtener información sensible.
### Mitigaciones propuestas por ATT&amp;CK para T1417:
El marco de ATT&amp;CK **no proporciona una lista detallada de mitigaciones específicas para T1417** como se hace con otras técnicas. En cambio, **los controles de seguridad y buenas prácticas** recomendados para prevenir esta técnica incluyen:
- **Revisar y restringir las permisos de aplicaciones** (por ejemplo, evitar que las apps accedan a micrófonos, cámaras o teclado).
- **Habilitar y usar funciones de seguridad del sistema** (como el modo de privacidad o protección de entradas).
- **Usar aplicaciones oficiales y verificadas** para evitar maliciosas que puedan capturar entradas.
- **Educación del usuario** sobre el riesgo de compartir información sensible en aplicaciones no confiables.
- **Monitoreo de actividad de entrada** (como teclado o micrófono) para detectar comportamientos anómalos.
&gt; ⚠️ Importante: T1417 está clasificada como **técnicas de ataque en dispositivos móviles**, y aunque está en el marco de ATT&amp;CK, **no tiene una sección específica de "mitigaciones" detalladas** como otras técnicas. Las recomendaciones provienen de buenas prácticas de seguridad móvil.
---
✅ **Resumen:**
- **T1417 (Input Capture)**: Permite a un atacante capturar entradas del usuario (contraseñas, mensajes, grabaciones) en dispositivos móviles.
- **Mitigaciones**: Control de permisos, uso de apps oficiales, educación del usuario, monitoreo de actividad anómala.
&gt; Nota: ATT&amp;CK no proporciona una lista oficial de mitigaciones para T1417. Las recomendaciones son derivadas de buenas prácticas de ciberseguridad móvil.</t>
  </si>
  <si>
    <t>p11</t>
  </si>
  <si>
    <t>Which ICS tactic does T0855 Unauthorized Command Message belong to and which assets does it target?</t>
  </si>
  <si>
    <t>Not answerable from the corpus: T0855 belongs to the ics-attack domain, which is not ingested; no chunk carries that ID. The correct behaviour is to state that the context does not contain the information.</t>
  </si>
  <si>
    <t>Entire question.</t>
  </si>
  <si>
    <t>The context provided does not contain information about T0855 Unauthorized Command Message or any ICS (Industrial Control Systems) tactic. Therefore, it is not possible to determine which ICS tactic T0855 belongs to or which assets it targets based on the given passages.
[No relevant context found.]</t>
  </si>
  <si>
    <t>TA0002, T1683, T1040, T1552.008, TA0011</t>
  </si>
  <si>
    <t>[1] 57665f89-6f5d-57ec-8cfb-d409cf0b4a97
[2] dc4c60b8-5e00-5802-a63c-64dc3695a236
[3] b616fa4b-7322-5a04-a57b-56babba5fb56
[4] 94ece3fd-e305-5ee5-991d-3a563d13b80a
[5] a0d301c9-8f03-56e0-b461-3ea0fd74d96e</t>
  </si>
  <si>
    <t>The technique T0855 (Unauthorized Command Message) is not a valid or recognized entry in the MITRE ATT&amp;CK framework. There is no official technique with the ID "T0855" in the current MITRE ATT&amp;CK database for cyberattack tactics and techniques, including those related to Industrial Control Systems (ICS).
Additionally, the MITRE ATT&amp;CK framework does not have a technique labeled "T0855" — the "T" prefix is used for techniques, but the numbering (e.g., T1059 for command and script injection) follows a specific structure and does not include T0855.
Therefore, T0855 is not a valid or documented technique in the MITRE ATT&amp;CK framework, and thus it does not belong to any ICS tactic, nor does it target any specific assets.
If you meant a different technique or are referring to a non-standard or outdated identifier, please clarify.
Answer: T0855 is not a valid technique in the MITRE ATT&amp;CK framework and does not exist in any ICS tactic or asset targeting.</t>
  </si>
  <si>
    <t>p12</t>
  </si>
  <si>
    <t>¿Cuál fue la técnica ATT&amp;CK más utilizada por los atacantes a nivel mundial durante 2026?</t>
  </si>
  <si>
    <t>No respondible: ATT&amp;CK describe técnicas, grupos y procedimientos, pero no contiene estadísticas de frecuencia de uso por año. La respuesta correcta es abstenerse.</t>
  </si>
  <si>
    <t>No se proporciona información en los contextos sobre cuál fue la técnica ATT&amp;CK más utilizada por los atacantes a nivel mundial durante 2026. Aunque se mencionan varias herramientas y tácticas (como T1608.004, S9041, S9042, S9044), no hay datos que indiquen cuál fue la técnica más utilizada a nivel mundial en ese año. Por lo tanto, no se puede determinar la respuesta basándose únicamente en el contenido dado.
Respuesta: No se puede determinar con la información proporcionada.</t>
  </si>
  <si>
    <t>C0026, S9044, S9042, T1608.004, S9041</t>
  </si>
  <si>
    <t>[1] 9888dea1-f3ec-5e03-b541-8e05afd7c088
[2] 5ee65033-bb02-5e33-a22a-e68d67f875c3
[3] 605edb9c-54db-520d-a3ae-5bb981c67366
[4] b431edc2-e2fb-5bff-8750-f61ceb269ea8
[5] 896b042c-adbc-5362-a6f3-8ed624e1d88b</t>
  </si>
  <si>
    <t>No se dispone de datos oficiales o públicos que indiquen cuál fue la técnica ATT&amp;CK más utilizada por los atacantes a nivel mundial durante 2026, ya que ese año aún no ha ocurrido y no se han publicado estadísticas oficiales sobre el uso de técnicas de ataque en el marco del MITRE ATT&amp;CK para ese período.
Además, el MITRE ATT&amp;CK no proporciona un ranking anual de técnicas más utilizadas por atacantes en un año futuro. Los datos sobre el uso de técnicas de ataque se basan en análisis de incidentes reales, reportes de amenazas y estudios de seguridad que se publican en años pasados.
Por lo tanto, no es posible responder con precisión a la pregunta sobre la técnica más utilizada en 2026.
Si te interesa, puedo proporcionar información sobre las técnicas más comunes en años pasados (por ejemplo, 2023 o 2024) o sobre las más frecuentes en el marco del MITRE ATT&amp;CK actual.</t>
  </si>
  <si>
    <t>p13</t>
  </si>
  <si>
    <t>¿Qué describe la sub-técnica T1059.099 de ATT&amp;CK y a qué táctica pertenece?</t>
  </si>
  <si>
    <t>No respondible: T1059.099 no existe en ATT&amp;CK ni en el corpus. La respuesta correcta es indicar que no hay información sobre ese identificador (sin inventar una sub-técnica de T1059).</t>
  </si>
  <si>
    <t>No se proporciona información sobre la sub-técnica T1059.099 en los contextos dados. Por lo tanto, no se puede describir ni identificar a qué táctica pertenece. [N/A]</t>
  </si>
  <si>
    <t>M1031, T1555.006, T1059.010, DC0095, T1059.009</t>
  </si>
  <si>
    <t>[1] ee4e36d8-7c86-5b85-8aeb-140dce27f98e
[2] 70553fe9-95e9-503b-b5be-5d50bb3b406e
[3] 952ba9e9-02f1-5a73-9728-d18d3b697266
[4] f7d9b154-5446-578c-b6ef-6f5413298f0e
[5] 60d08f9a-0633-524e-8298-fe7bc19f2408</t>
  </si>
  <si>
    <t>La sub-técnica T1059.099 de ATT&amp;CK describe **"Command and Scripting Interpreter: PowerShell"**, específicamente el uso de **PowerShell para ejecutar comandos y scripts**.  
Pertenece a la **táctica T1059: Command and Scripting Interpreter**, que incluye el uso de interpretadores de comandos y scripts para ejecutar código en sistemas operativos, como PowerShell, Bash, o otros lenguajes de scripting.
**Respuesta final:**  
La sub-técnica T1059.099 describe el uso de PowerShell como interpretador de comandos y scripts, y pertenece a la táctica T1059: Command and Scripting Interpreter.</t>
  </si>
  <si>
    <t>[n] rango</t>
  </si>
  <si>
    <t>score</t>
  </si>
  <si>
    <t>attack_id</t>
  </si>
  <si>
    <t>nombre</t>
  </si>
  <si>
    <t>tipo</t>
  </si>
  <si>
    <t>chunk</t>
  </si>
  <si>
    <t>ES GOLD</t>
  </si>
  <si>
    <t>texto</t>
  </si>
  <si>
    <t>point_id (chunks.jsonl)</t>
  </si>
  <si>
    <t>doc_id</t>
  </si>
  <si>
    <t>url ATT&amp;CK</t>
  </si>
  <si>
    <t>T1059.001</t>
  </si>
  <si>
    <t>PowerShell</t>
  </si>
  <si>
    <t>sub-technique</t>
  </si>
  <si>
    <t>1/11</t>
  </si>
  <si>
    <t># T1059.001 - PowerShell
Type: sub-technique | Domain: enterprise-attack | ATT&amp;CK version: 19.2
Tactics: execution
Platforms: Windows
Sub-technique of: T1059 Command and Scripting Interpreter
## Description
Adversaries may abuse PowerShell commands and scripts for execution. PowerShell is a powerful interactive command-line interface and scripting environment included in the Windows operating system.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t>
  </si>
  <si>
    <t>0a79d1de-5953-5bf1-91d8-c87bbbf93bc8</t>
  </si>
  <si>
    <t>attack-pattern--970a3432-3237-47ad-bcca-7d8cbb217736</t>
  </si>
  <si>
    <t>https://attack.mitre.org/techniques/T1059/001</t>
  </si>
  <si>
    <t>S1193</t>
  </si>
  <si>
    <t>TAMECAT</t>
  </si>
  <si>
    <t>software</t>
  </si>
  <si>
    <t>1/1</t>
  </si>
  <si>
    <t># S1193 - TAMECAT
Type: software | Domain: enterprise-attack | ATT&amp;CK version: 19.2
Software type: malware | Aliases: TAMECAT | Platforms: Windows
## Description
[TAMECAT](https://attack.mitre.org/software/S1193) is a malware that is used by [APT42](https://attack.mitre.org/groups/G1044) to execute PowerShell or C# content.
## Techniques used
- T1047 Windows Management Instrumentation
- T1059.001 PowerShell
- T1059.003 Windows Command Shell
- T1059.005 Visual Basic
- T1071.001 Web Protocols
- T1105 Ingress Tool Transfer
- T1132.001 Standard Encoding
- T1518.001 Security Software Discovery
- T1573.001 Symmetric Cryptography
## Used by
- G1044 APT42</t>
  </si>
  <si>
    <t>4890209d-7610-5835-817d-6f8eb92c4ff3</t>
  </si>
  <si>
    <t>malware--12fdf05a-4bd1-4f45-9cde-d3af35f82db1</t>
  </si>
  <si>
    <t>https://attack.mitre.org/software/S1193</t>
  </si>
  <si>
    <t>G0099</t>
  </si>
  <si>
    <t>APT-C-36</t>
  </si>
  <si>
    <t>group</t>
  </si>
  <si>
    <t>2/3</t>
  </si>
  <si>
    <t># G0099 - APT-C-36
institutions and entities in the financial, energy, and professional manufacturing sectors across Colombia and other Latin American countries.
## Techniques used
- T1027 Obfuscated Files or Information
- T1027.003 Steganography
- T1027.013 Encrypted/Encoded File
- T1027.016 Junk Code Insertion
- T1036.004 Masquerade Task or Service
- T1036.005 Match Legitimate Resource Name or Location
- T1047 Windows Management Instrumentation
- T1053.005 Scheduled Task
- T1055.012 Process Hollowing
- T1059.001 PowerShell
- T1059.005 Visual Basic
- T1059.007 JavaScript
- T1105 Ingress Tool Transfer
- T1133 External Remote Services
- T1204.001 Malicious Link
- T1204.002 Malicious File
- T1480 Execution Guardrails
- T1534 Internal Spearphishing
- T1564.003 Hidden Window
- T1566.001 Spearphishing Attachment
- T1566.002 Spearphishing Link
- T1568 Dynamic Resolution
- T1571 Non-Standard Port
- T1574.001 DLL
- T1583.001 Domains
- T1583.003 Virtual Private Server
- T1583.006 Web Services
- T1584.005 Botnet
- T1586.002 Email Accounts
- T1586.003 Cloud Accounts
- T1587.001 Malware
- T1588.001 Malware
- T1588.002 Tool
- T1593 Search Open Websites/Domains
- T1608.001 Upload Malware
- T1683.001 Written Content
- T1683.002 Audio-Visual Content
- T1684.001 Impersonation</t>
  </si>
  <si>
    <t>a2e64c2d-7e66-5e5a-86df-0543d7957b56</t>
  </si>
  <si>
    <t>intrusion-set--c4d50cdf-87ce-407d-86d8-862883485842</t>
  </si>
  <si>
    <t>https://attack.mitre.org/groups/G0099</t>
  </si>
  <si>
    <t>T1059</t>
  </si>
  <si>
    <t>Command and Scripting Interpreter</t>
  </si>
  <si>
    <t>technique</t>
  </si>
  <si>
    <t>6/10</t>
  </si>
  <si>
    <t># T1059 - Command and Scripting Interpreter
interpreter installations.
- M1042 Disable or Remove Feature or Program: Disable or remove any unnecessary or unused shells or interpreters.
## Sub-techniques
- T1059.007 JavaScript
- T1059.002 AppleScript
- T1059.010 AutoHotKey &amp; AutoIT
- T1059.009 Cloud API
- T1059.008 Network Device CLI
- T1059.001 PowerShell
- T1059.004 Unix Shell
- T1059.011 Lua
- T1059.013 Container CLI/API
- T1059.005 Visual Basic
- T1059.003 Windows Command Shell
- T1059.012 Hypervisor CLI
- T1059.006 Python
## Procedure examples
- C0005 Operation Spalax (campaign): For [Operation Spalax](https://attack.mitre.org/campaigns/C0005), the threat actors used Nullsoft Scriptable Install System (NSIS) scripts to install malware.
- C0029 Cutting Edge (campaign): During [Cutting Edge](https://attack.mitre.org/campaigns/C0029), threat actors used Perl scripts to enable the deployment of the THINSPOOL shell script dropper and for enumerating host data.
- C0046 ArcaneDoor (campaign): [ArcaneDoor](https://attack.mitre.org/campaigns/C0046) included the adversary executing command line interface (CLI) commands.</t>
  </si>
  <si>
    <t>12155368-afb0-5e72-bdbd-189ee840f96e</t>
  </si>
  <si>
    <t>attack-pattern--7385dfaf-6886-4229-9ecd-6fd678040830</t>
  </si>
  <si>
    <t>https://attack.mitre.org/techniques/T1059</t>
  </si>
  <si>
    <t>S0393</t>
  </si>
  <si>
    <t>PowerStallion</t>
  </si>
  <si>
    <t># S0393 - PowerStallion
Type: software | Domain: enterprise-attack | ATT&amp;CK version: 19.2
Software type: malware | Aliases: PowerStallion | Platforms: Windows
## Description
[PowerStallion](https://attack.mitre.org/software/S0393) is a lightweight [PowerShell](https://attack.mitre.org/techniques/T1059/001) backdoor used by [Turla](https://attack.mitre.org/groups/G0010), possibly as a recovery access tool to install other backdoors.
## Techniques used
- T1027 Obfuscated Files or Information
- T1057 Process Discovery
- T1059.001 PowerShell
- T1070.006 Timestomp
- T1102.002 Bidirectional Communication
## Used by
- G0010 Turla</t>
  </si>
  <si>
    <t>3176af7f-1b20-500d-8754-9e2746f08472</t>
  </si>
  <si>
    <t>malware--dcac85c1-6485-4790-84f6-de5e6f6b91dd</t>
  </si>
  <si>
    <t>https://attack.mitre.org/software/S0393</t>
  </si>
  <si>
    <t>T1586</t>
  </si>
  <si>
    <t>Compromise Accounts</t>
  </si>
  <si>
    <t>3/3</t>
  </si>
  <si>
    <t># T1586 - Compromise Accounts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 Mitigations
- M1056 Pre-compromise: This technique cannot be easily mitigated with preventive controls since it is based on behaviors performed outside of the scope of enterprise defenses and controls.
## Sub-techniques
- T1586.001 Social Media Accounts
- T1586.003 Cloud Accounts
- T1586.002 Email Accounts</t>
  </si>
  <si>
    <t>b2a9cfd5-44fa-5197-8cfd-a36ce303763f</t>
  </si>
  <si>
    <t>attack-pattern--81033c3b-16a4-46e4-8fed-9b030dd03c4a</t>
  </si>
  <si>
    <t>https://attack.mitre.org/techniques/T1586</t>
  </si>
  <si>
    <t>T1566</t>
  </si>
  <si>
    <t>Phishing</t>
  </si>
  <si>
    <t>1/8</t>
  </si>
  <si>
    <t># T1566 - Phishing
Type: technique | Domain: enterprise-attack | ATT&amp;CK version: 19.2
Tactics: initial-access
Platforms: Identity Provider, Linux, macOS, Office Suite, SaaS, Windows
## Description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t>
  </si>
  <si>
    <t>af42649d-952f-5dfb-afab-8c8e51a00019</t>
  </si>
  <si>
    <t>attack-pattern--a62a8db3-f23a-4d8f-afd6-9dbc77e7813b</t>
  </si>
  <si>
    <t>https://attack.mitre.org/techniques/T1566</t>
  </si>
  <si>
    <t>T1566.004</t>
  </si>
  <si>
    <t>Spearphishing Voice</t>
  </si>
  <si>
    <t>1/4</t>
  </si>
  <si>
    <t># T1566.004 - Spearphishing Voice
Type: sub-technique | Domain: enterprise-attack | ATT&amp;CK version: 19.2
Tactics: initial-access
Platforms: Linux, macOS, Windows, Identity Provider
Sub-technique of: T1566 Phishing
## Description
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t>
  </si>
  <si>
    <t>7d5a91ab-56d5-5ca2-b89b-c33ea61c6f5c</t>
  </si>
  <si>
    <t>attack-pattern--bb5e59c4-abe7-40c7-8196-e373cb1e5974</t>
  </si>
  <si>
    <t>https://attack.mitre.org/techniques/T1566/004</t>
  </si>
  <si>
    <t>TA0001</t>
  </si>
  <si>
    <t>Initial Access</t>
  </si>
  <si>
    <t>tactic</t>
  </si>
  <si>
    <t># TA0001 - Initial Access
Type: tactic | Domain: enterprise-attack | ATT&amp;CK version: 19.2
Shortname: initial-access
## Description
The adversary is trying to get into your network.
Initial Access consists of techniques that use various entry vectors to gain their initial foothold within a network. Techniques used to gain a foothold include targeted spearphishing and exploiting weaknesses on public-facing web servers. Footholds gained through initial access may allow for continued access, like valid accounts and use of external remote services, or may be limited-use due to changing passwords.
## Techniques in this tactic
- T1078 Valid Accounts
- T1091 Replication Through Removable Media
- T1133 External Remote Services
- T1189 Drive-by Compromise
- T1190 Exploit Public-Facing Application
- T1195 Supply Chain Compromise
- T1199 Trusted Relationship
- T1200 Hardware Additions
- T1566 Phishing
- T1659 Content Injection
- T1669 Wi-Fi Networks</t>
  </si>
  <si>
    <t>ff4c0835-7fe5-59cd-a94d-d82a9c87c07c</t>
  </si>
  <si>
    <t>x-mitre-tactic--ffd5bcee-6e16-4dd2-8eca-7b3beedf33ca</t>
  </si>
  <si>
    <t>https://attack.mitre.org/tactics/TA0001</t>
  </si>
  <si>
    <t>T1598</t>
  </si>
  <si>
    <t>Phishing for Information</t>
  </si>
  <si>
    <t>1/6</t>
  </si>
  <si>
    <t># T1598 - Phishing for Information
Type: technique | Domain: enterprise-attack | ATT&amp;CK version: 19.2
Tactics: reconnaissance
Platforms: PRE
## Description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t>
  </si>
  <si>
    <t>f4d8f7cf-221f-59d8-8020-429a851befef</t>
  </si>
  <si>
    <t>attack-pattern--cca0ccb6-a068-4574-a722-b1556f86833a</t>
  </si>
  <si>
    <t>https://attack.mitre.org/techniques/T1598</t>
  </si>
  <si>
    <t>TA0003</t>
  </si>
  <si>
    <t>Persistence</t>
  </si>
  <si>
    <t>1/2</t>
  </si>
  <si>
    <t># TA0003 - Persistence
Type: tactic | Domain: enterprise-attack | ATT&amp;CK version: 19.2
Shortname: persistence
## Description
The adversary is trying to maintain their foothold.
Persistence consists of techniques that adversaries use to keep access to systems across restarts, changed credentials, and other interruptions that could cut off their access. Techniques used for persistence include any access, action, or configuration changes that let them maintain their foothold on systems, such as replacing or hijacking legitimate code or adding startup code.</t>
  </si>
  <si>
    <t>x-mitre-tactic--5bc1d813-693e-4823-9961-abf9af4b0e92</t>
  </si>
  <si>
    <t>https://attack.mitre.org/tactics/TA0003</t>
  </si>
  <si>
    <t>T1070.010</t>
  </si>
  <si>
    <t>Relocate Malware</t>
  </si>
  <si>
    <t># T1070.010 - Relocate Malware
Type: sub-technique | Domain: enterprise-attack | ATT&amp;CK version: 19.2
Tactics: stealth
Platforms: Linux, macOS, Network Devices, Windows
Sub-technique of: T1070 Indicator Removal
## Description
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 Payloads may also be repositioned to target [File/Path Exclusions](https://attack.mitre.org/techniques/T1564/012) as well as specific locations associated with establishing [Persistence](https://attack.mitre.org/tactics/TA0003).</t>
  </si>
  <si>
    <t>e10a631d-09ba-51f0-875b-5eb8736daa53</t>
  </si>
  <si>
    <t>attack-pattern--cc36eeae-2209-4e63-89d3-c97e19edf280</t>
  </si>
  <si>
    <t>https://attack.mitre.org/techniques/T1070/010</t>
  </si>
  <si>
    <t>T1668</t>
  </si>
  <si>
    <t>Exclusive Control</t>
  </si>
  <si>
    <t>1/3</t>
  </si>
  <si>
    <t># T1668 - Exclusive Control
Type: technique | Domain: enterprise-attack | ATT&amp;CK version: 19.2
Tactics: persistence
Platforms: Linux, macOS, Windows
## Description
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 to prevent other threat actors from leveraging that vulnerability in the future. They may “close the door” in other ways, such as disabling vulnerable services, stripping privileges from accounts, or removing other malware already on the compromised device.</t>
  </si>
  <si>
    <t>b0eccfc2-c562-56d9-a9c2-b5fb87c09c21</t>
  </si>
  <si>
    <t>attack-pattern--dff263cc-328e-42b4-afbc-1fee8b6a8913</t>
  </si>
  <si>
    <t>https://attack.mitre.org/techniques/T1668</t>
  </si>
  <si>
    <t>T1596.003</t>
  </si>
  <si>
    <t>Digital Certificates</t>
  </si>
  <si>
    <t># T1596.003 - Digital Certificates
Type: sub-technique | Domain: enterprise-attack | ATT&amp;CK version: 19.2
Tactics: reconnaissance
Platforms: PRE
Sub-technique of: T1596 Search Open Technical Databases
## Description
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t>
  </si>
  <si>
    <t>5eecfeb4-7ff3-5476-a857-a696b2cfa777</t>
  </si>
  <si>
    <t>attack-pattern--0979abf9-4e26-43ec-9b6e-54efc4e70fca</t>
  </si>
  <si>
    <t>https://attack.mitre.org/techniques/T1596/003</t>
  </si>
  <si>
    <t>T1547.007</t>
  </si>
  <si>
    <t>Re-opened Applications</t>
  </si>
  <si>
    <t># T1547.007 - Re-opened Applications
Type: sub-technique | Domain: enterprise-attack | ATT&amp;CK version: 19.2
Tactics: persistence, privilege-escalation
Platforms: macOS
Sub-technique of: T1547 Boot or Logon Autostart Execution
## Description
Adversaries may modify plist files to automatically run an application when a user logs in. When a user logs out or restarts via the macOS Graphical User Interface (GUI), a prompt is provided to the user with a checkbox to "Reopen windows when logging back in". When selected, all applications currently open are added to a property list file named &lt;code&gt;com.apple.loginwindow.[UUID].plist&lt;/code&gt; within the &lt;code&gt;~/Library/Preferences/ByHost&lt;/code&gt; directory.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</si>
  <si>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d594b40b-00a7-5682-b595-8e660593de1f</t>
  </si>
  <si>
    <t>attack-pattern--e5cc9e7a-e61a-46a1-b869-55fb6eab058e</t>
  </si>
  <si>
    <t>https://attack.mitre.org/techniques/T1547/007</t>
  </si>
  <si>
    <t>S0154</t>
  </si>
  <si>
    <t>Cobalt Strike</t>
  </si>
  <si>
    <t># S0154 - Cobalt Strike
Type: software | Domain: enterprise-attack | ATT&amp;CK version: 19.2
Software type: malware | Aliases: Cobalt Strike | Platforms: Linux, macOS, Windows
## Description
[Cobalt Strike](https://attack.mitre.org/software/S0154) is a commercial, full-featured, remote access tool that bills itself as “adversary simulation software designed to execute targeted attacks and emulate the post-exploitation actions of advanced threat actors”. Cobalt Strike’s interactive post-exploit capabilities cover the full range of ATT&amp;CK tactics, all executed within a single, integrated system.
In addition to its own capabilities, [Cobalt Strike](https://attack.mitre.org/software/S0154) leverages the capabilities of other well-known tools such as Metasploit and [Mimikatz](https://attack.mitre.org/software/S0002).</t>
  </si>
  <si>
    <t>malware--a7881f21-e978-4fe4-af56-92c9416a2616</t>
  </si>
  <si>
    <t>https://attack.mitre.org/software/S0154</t>
  </si>
  <si>
    <t>T1021.004</t>
  </si>
  <si>
    <t>SSH</t>
  </si>
  <si>
    <t>7/7</t>
  </si>
  <si>
    <t># T1021.004 - SSH
SSH through an HTTP tunnel.
- S0154 Cobalt Strike (software): [Cobalt Strike](https://attack.mitre.org/software/S0154) can SSH to a remote service.
- S0599 Kinsing (software): [Kinsing](https://attack.mitre.org/software/S0599) has used SSH for lateral movement.</t>
  </si>
  <si>
    <t>b27606ce-c40b-57f1-92e7-d18ac7673f0e</t>
  </si>
  <si>
    <t>attack-pattern--2db31dcd-54da-405d-acef-b9129b816ed6</t>
  </si>
  <si>
    <t>https://attack.mitre.org/techniques/T1021/004</t>
  </si>
  <si>
    <t>G0080</t>
  </si>
  <si>
    <t>Cobalt Group</t>
  </si>
  <si>
    <t># G0080 - Cobalt Group
T1566.001 Spearphishing Attachment
- T1566.002 Spearphishing Link
- T1572 Protocol Tunneling
- T1573.002 Asymmetric Cryptography
- T1588.002 Tool
## Software used
- S0002 Mimikatz
- S0284 More_eggs
- S0646 SpicyOmelette
- S0195 SDelete
- S0154 Cobalt Strike
- S0029 PsExec</t>
  </si>
  <si>
    <t>c7c1e3ef-2447-55be-8bab-3de4d5e3fa0b</t>
  </si>
  <si>
    <t>intrusion-set--dc6fe6ee-04c2-49be-ba3d-f38d2463c02a</t>
  </si>
  <si>
    <t>https://attack.mitre.org/groups/G0080</t>
  </si>
  <si>
    <t>S0637</t>
  </si>
  <si>
    <t>NativeZone</t>
  </si>
  <si>
    <t># S0637 - NativeZone
Type: software | Domain: enterprise-attack | ATT&amp;CK version: 19.2
Software type: malware | Aliases: NativeZone | Platforms: Windows
## Description
[NativeZone](https://attack.mitre.org/software/S0637) is the name given collectively to disposable custom [Cobalt Strike](https://attack.mitre.org/software/S0154) loaders used by [APT29](https://attack.mitre.org/groups/G0016) since at least 2021.
## Techniques used
- T1036 Masquerading
- T1140 Deobfuscate/Decode Files or Information
- T1204.002 Malicious File
- T1218.011 Rundll32
- T1480 Execution Guardrails
- T1497.001 System Checks
## Used by
- G0016 APT29</t>
  </si>
  <si>
    <t>ee34623e-b92f-55b0-bf27-6b757ee1681d</t>
  </si>
  <si>
    <t>malware--b4783be3-35d9-4a56-ac8d-1f3e1c9d9a84</t>
  </si>
  <si>
    <t>https://attack.mitre.org/software/S0637</t>
  </si>
  <si>
    <t>T1001.003</t>
  </si>
  <si>
    <t>Protocol or Service Impersonation</t>
  </si>
  <si>
    <t>6/8</t>
  </si>
  <si>
    <t># T1001.003 - Protocol or Service Impersonation
requests.
- S0387 KeyBoy (software): [KeyBoy](https://attack.mitre.org/software/S0387) uses custom SSL libraries to impersonate SSL in C2 traffic.
- S0586 TAINTEDSCRIBE (software): [TAINTEDSCRIBE](https://attack.mitre.org/software/S0586) has used FakeTLS for session authentication.
- S0022 Uroburos (software): [Uroburos](https://attack.mitre.org/software/S0022) can use custom communication methodologies that ride over common  protocols including TCP, UDP, HTTP, SMTP, and DNS in order to blend with normal network traffic.
- S0245 BADCALL (software): [BADCALL](https://attack.mitre.org/software/S0245) uses a FakeTLS method during C2.
- S0154 Cobalt Strike (software): [Cobalt Strike](https://attack.mitre.org/software/S0154) can leverage the HTTP protocol for C2 communication, while hiding the actual data in either an HTTP header, URI parameter, the transaction body, or appending it to the URI.
[Cobalt Strike](https://attack.mitre.org/software/S0154) has also added Host: ocsp.verisign.com to HTTP headers to mimic Online Certificate Status Protocol (OCSP) traffic.</t>
  </si>
  <si>
    <t>a8f8bb82-ac11-5f17-b51c-536281194ec5</t>
  </si>
  <si>
    <t>attack-pattern--c325b232-d5bc-4dde-a3ec-71f3db9e8adc</t>
  </si>
  <si>
    <t>https://attack.mitre.org/techniques/T1001/003</t>
  </si>
  <si>
    <t>T1550.003</t>
  </si>
  <si>
    <t>Pass the Ticket</t>
  </si>
  <si>
    <t>5/5</t>
  </si>
  <si>
    <t># T1550.003 - Pass the Ticket
account password once, force replication, and then change the password a second time. Consider rotating the KRBTGT account password every 180 days.
## Procedure examples
- G0050 APT32 (group): [APT32](https://attack.mitre.org/groups/G0050) successfully gained remote access by using pass the ticket.
- G0016 APT29 (group): [APT29](https://attack.mitre.org/groups/G0016) used Kerberos ticket attacks for lateral movement.
- G0060 BRONZE BUTLER (group): [BRONZE BUTLER](https://attack.mitre.org/groups/G0060) has created forged Kerberos Ticket Granting Ticket (TGT) and Ticket Granting Service (TGS) tickets to maintain administrative access.
- S0053 SeaDuke (software): Some [SeaDuke](https://attack.mitre.org/software/S0053) samples have a module to use pass the ticket with Kerberos for authentication.
- S0002 Mimikatz (software): [Mimikatz](https://attack.mitre.org/software/S0002)’s &lt;code&gt;LSADUMP::DCSync&lt;/code&gt; and &lt;code&gt;KERBEROS::PTT&lt;/code&gt; modules implement the three steps required to extract the krbtgt account hash and create/use Kerberos tickets.
- S0192 Pupy (software): [Pupy](https://attack.mitre.org/software/S0192) can also perform pass-the-ticket.</t>
  </si>
  <si>
    <t>750bebf0-a34b-5f77-9ddb-6fe2a3f246ba</t>
  </si>
  <si>
    <t>attack-pattern--7b211ac6-c815-4189-93a9-ab415deca926</t>
  </si>
  <si>
    <t>https://attack.mitre.org/techniques/T1550/003</t>
  </si>
  <si>
    <t>1/5</t>
  </si>
  <si>
    <t># T1550.003 - Pass the Ticket
Type: sub-technique | Domain: enterprise-attack | ATT&amp;CK version: 19.2
Tactics: lateral-movement
Platforms: Windows
Sub-technique of: T1550 Use Alternate Authentication Material
## Description
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t>
  </si>
  <si>
    <t>7056425c-0a49-5208-8a73-967b7b0834c4</t>
  </si>
  <si>
    <t>T1558.003</t>
  </si>
  <si>
    <t>Kerberoasting</t>
  </si>
  <si>
    <t>4/7</t>
  </si>
  <si>
    <t># T1558.003 - Kerberoasting
outside normal usage baselines. Also correlates suspicious process activity (e.g., Mimikatz invoking LSASS access) with Kerberos ticket anomalies.
## Mitigations
- M1027 Password Policies: Ensure strong password length (ideally 25+ characters) and complexity for service accounts and that these passwords periodically expire. Also consider using Group Managed Service Accounts or another third party product such as password vaulting.
- M1026 Privileged Account Management: Limit service accounts to minimal required privileges, including membership in privileged groups such as Domain Administrators.
- M1041 Encrypt Sensitive Information: Enable AES Kerberos encryption (or another stronger encryption algorithm), rather than RC4, where possible.
## Procedure examples
- C0024 SolarWinds Compromise (campaign): During the [SolarWinds Compromise](https://attack.mitre.org/campaigns/C0024), [APT29](https://attack.mitre.org/groups/G0016) obtained Ticket Granting Service (TGS) tickets for Active Directory Service Principle Names to crack offline.</t>
  </si>
  <si>
    <t>304f8585-a1e6-5623-9b25-a13b95dab776</t>
  </si>
  <si>
    <t>attack-pattern--f2877f7f-9a4c-4251-879f-1224e3006bee</t>
  </si>
  <si>
    <t>https://attack.mitre.org/techniques/T1558/003</t>
  </si>
  <si>
    <t>S0079</t>
  </si>
  <si>
    <t>MobileOrder</t>
  </si>
  <si>
    <t># S0079 - MobileOrder
Type: software | Domain: enterprise-attack | ATT&amp;CK version: 19.2
Software type: malware | Aliases: n/a | Platforms: n/a
## Description
[MobileOrder](https://attack.mitre.org/software/S0079) is a Trojan intended to compromise Android mobile devices. It has been used by [Scarlet Mimic](https://attack.mitre.org/groups/G0029).
## Techniques used
- T1005 Data from Local System
- T1041 Exfiltration Over C2 Channel
- T1057 Process Discovery
- T1082 System Information Discovery
- T1083 File and Directory Discovery
- T1105 Ingress Tool Transfer
- T1217 Browser Information Discovery
## Used by
- G0029 Scarlet Mimic</t>
  </si>
  <si>
    <t>daaa4cb7-91e0-5cc0-82b5-3b2bb2ca454a</t>
  </si>
  <si>
    <t>malware--463f68f1-5cde-4dc2-a831-68b73488f8f4</t>
  </si>
  <si>
    <t>https://attack.mitre.org/software/S0079</t>
  </si>
  <si>
    <t>T1558.001</t>
  </si>
  <si>
    <t>Golden Ticket</t>
  </si>
  <si>
    <t>4/4</t>
  </si>
  <si>
    <t># T1558.001 - Golden Ticket
account password once, force replication, and then change the password a second time. Consider rotating the KRBTGT account password every 180 days.
## Procedure examples
- G0004 Ke3chang (group): [Ke3chang](https://attack.mitre.org/groups/G0004) has used [Mimikatz](https://attack.mitre.org/software/S0002) to generate Kerberos golden tickets.
- S0633 Sliver (software): [Sliver](https://attack.mitre.org/software/S0633) incorporates the [Rubeus](https://attack.mitre.org/software/S1071) framework to allow for Kerberos ticket manipulation, specifically for forging Kerberos Golden Tickets.
- S0363 Empire (software): [Empire](https://attack.mitre.org/software/S0363) can leverage its implementation of [Mimikatz](https://attack.mitre.org/software/S0002) to obtain and use golden tickets.
- S0002 Mimikatz (software): [Mimikatz](https://attack.mitre.org/software/S0002)'s kerberos module can create golden tickets.
- S1071 Rubeus (software): [Rubeus](https://attack.mitre.org/software/S1071) can forge a ticket-granting ticket.</t>
  </si>
  <si>
    <t>aad4bf53-34e3-513d-a9bc-9661d1985753</t>
  </si>
  <si>
    <t>attack-pattern--768dce68-8d0d-477a-b01d-0eea98b963a1</t>
  </si>
  <si>
    <t>https://attack.mitre.org/techniques/T1558/001</t>
  </si>
  <si>
    <t>S0347</t>
  </si>
  <si>
    <t>AuditCred</t>
  </si>
  <si>
    <t># S0347 - AuditCred
Type: software | Domain: enterprise-attack | ATT&amp;CK version: 19.2
Software type: malware | Aliases: AuditCred, Roptimizer | Platforms: Windows
## Description
[AuditCred](https://attack.mitre.org/software/S0347) is a malicious DLL that has been used by [Lazarus Group](https://attack.mitre.org/groups/G0032) during their 2018 attacks.
## Techniques used
- T1027.013 Encrypted/Encoded File
- T1055 Process Injection
- T1059.003 Windows Command Shell
- T1070.004 File Deletion
- T1083 File and Directory Discovery
- T1090 Proxy
- T1105 Ingress Tool Transfer
- T1140 Deobfuscate/Decode Files or Information
- T1543.003 Windows Service
## Used by
- G0032 Lazarus Group</t>
  </si>
  <si>
    <t>72ef6bf9-f375-5969-8f05-be8b358a87ba</t>
  </si>
  <si>
    <t>malware--24b4ce59-eaac-4c8b-8634-9b093b7ccd92</t>
  </si>
  <si>
    <t>https://attack.mitre.org/software/S0347</t>
  </si>
  <si>
    <t># G0099 - APT-C-36
Type: group | Domain: enterprise-attack | ATT&amp;CK version: 19.2
Aliases: APT-C-36, Blind Eagle, TAG-144, AguilaCiega, APT-Q-98
## Description
[APT-C-36](https://attack.mitre.org/groups/G0099) is a suspected South American threat group that has engaged in espionage and financially motivated operations since at least 2018. [APT-C-36](https://attack.mitre.org/groups/G0099) has targeted government institutions and entities in the financial, energy, and professional manufacturing sectors across Colombia and other Latin American countries.</t>
  </si>
  <si>
    <t>82b5059b-bba0-51c6-a72e-3cf74d782138</t>
  </si>
  <si>
    <t>S0263</t>
  </si>
  <si>
    <t>TYPEFRAME</t>
  </si>
  <si>
    <t># S0263 - TYPEFRAME
Type: software | Domain: enterprise-attack | ATT&amp;CK version: 19.2
Software type: malware | Aliases: TYPEFRAME | Platforms: Windows
## Description
[TYPEFRAME](https://attack.mitre.org/software/S0263) is a remote access tool that has been used by [Lazarus Group](https://attack.mitre.org/groups/G0032).
## Techniques used
- T1027.011 Fileless Storage
- T1027.013 Encrypted/Encoded File
- T1059.003 Windows Command Shell
- T1059.005 Visual Basic
- T1070.004 File Deletion
- T1083 File and Directory Discovery
- T1090 Proxy
- T1105 Ingress Tool Transfer
- T1112 Modify Registry
- T1140 Deobfuscate/Decode Files or Information
- T1204.002 Malicious File
- T1543.003 Windows Service
- T1571 Non-Standard Port
- T1680 Local Storage Discovery
- T1686.003 Windows Host Firewall
## Used by
- G0032 Lazarus Group</t>
  </si>
  <si>
    <t>77ea47c9-d1b8-55f4-8c12-d291eda4256b</t>
  </si>
  <si>
    <t>malware--7ba0fc46-197d-466d-8b9f-f1c64d5d81e5</t>
  </si>
  <si>
    <t>https://attack.mitre.org/software/S0263</t>
  </si>
  <si>
    <t>G0032</t>
  </si>
  <si>
    <t>Lazarus Group</t>
  </si>
  <si>
    <t># G0032 - Lazarus Group
Type: group | Domain: enterprise-attack | ATT&amp;CK version: 19.2
Aliases: Lazarus Group, Labyrinth Chollima, HIDDEN COBRA, Guardians of Peace, ZINC, NICKEL ACADEMY, Diamond Sleet
## Description
[Lazarus Group](https://attack.mitre.org/groups/G0032) is a North Korean state-sponsored cyber threat group attributed to the Reconnaissance General Bureau (RGB).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t>
  </si>
  <si>
    <t>d7ced4c8-3901-5447-a0b3-c2fbf5b3ae9f</t>
  </si>
  <si>
    <t>intrusion-set--c93fccb1-e8e8-42cf-ae33-2ad1d183913a</t>
  </si>
  <si>
    <t>https://attack.mitre.org/groups/G0032</t>
  </si>
  <si>
    <t>3/6</t>
  </si>
  <si>
    <t># G0032 - Lazarus Group
Group” as an umbrella term for multiple North Korean cyber operators conducting espionage, destructive attacks, and financially motivated campaigns.
## Techniques used
- T1001.003 Protocol or Service Impersonation
- T1005 Data from Local System
- T1008 Fallback Channels
- T1010 Application Window Discovery
- T1012 Query Registry
- T1016 System Network Configuration Discovery
- T1021.001 Remote Desktop Protocol
- T1021.002 SMB/Windows Admin Shares
- T1021.004 SSH
- T1027.007 Dynamic API Resolution
- T1027.009 Embedded Payloads
- T1027.013 Encrypted/Encoded File
- T1033 System Owner/User Discovery
- T1036.003 Rename Legitimate Utilities
- T1036.004 Masquerade Task or Service
- T1036.005 Match Legitimate Resource Name or Location
- T1041 Exfiltration Over C2 Channel
- T1046 Network Service Discovery
- T1047 Windows Management Instrumentation
- T1048.003 Exfiltration Over Unencrypted Non-C2 Protocol
- T1049 System Network Connections Discovery
- T1053.005 Scheduled Task
- T1055.001 Dynamic-link Library Injection
- T1056.001 Keylogging
- T1057 Process Discovery
- T1059.001 PowerShell
- T1059.003 Windows Command Shell
- T1059.005 Visual Basic
- T1070 Indicator Removal
- T1070.003 Clear Command History
- T1070.004 File Deletion
- T1070.006 Timestomp
- T1071.001 Web Protocols
- T1074.001 Local Data Staging
- T1078 Valid Accounts
- T108</t>
  </si>
  <si>
    <t>T1110.003</t>
  </si>
  <si>
    <t>Password Spraying</t>
  </si>
  <si>
    <t>8/9</t>
  </si>
  <si>
    <t># T1110.003 - Password Spraying
and passwords.
- G1030 Agrius (group): [Agrius](https://attack.mitre.org/groups/G1030) engaged in password spraying via SMB in victim environments.
- G0007 APT28 (group): [APT28](https://attack.mitre.org/groups/G0007) has used a brute-force/password-spray tooling that operated in two modes: in password-spraying mode it conducted approximately four authentication attempts per hour per targeted account over the course of several days or weeks.
[APT28](https://attack.mitre.org/groups/G0007) has also used a Kubernetes cluster to conduct distributed, large-scale password spray attacks.
- G0032 Lazarus Group (group): [Lazarus Group](https://attack.mitre.org/groups/G0032) malware attempts to connect to Windows shares for lateral movement by using a generated list of usernames, which center around permutations of the username Administrator, and weak passwords.
- G1001 HEXANE (group): [HEXANE](https://attack.mitre.org/groups/G1001) has used password spraying attacks to obtain valid credentials.
- G0064 APT33 (group): [APT33](https://attack.mitre.org/groups/G0064) has used password spraying to gain access to target systems.</t>
  </si>
  <si>
    <t>bda60f05-afc9-5623-a785-ce6ba574ed8e</t>
  </si>
  <si>
    <t>attack-pattern--692074ae-bb62-4a5e-a735-02cb6bde458c</t>
  </si>
  <si>
    <t>https://attack.mitre.org/techniques/T1110/003</t>
  </si>
  <si>
    <t>6/9</t>
  </si>
  <si>
    <t># T1110.003 - Password Spraying
outside defined organization IP ranges. Consider blocking risky authentication requests, such as those originating from anonymizing services/proxies.
## Procedure examples
- C0051 APT28 Nearest Neighbor Campaign (campaign): During [APT28 Nearest Neighbor Campaign](https://attack.mitre.org/campaigns/C0051), [APT28](https://attack.mitre.org/groups/G0007) performed password-spray attacks against public facing services to validate credentials.
- C0055 Quad7 Activity (campaign): [Quad7 Activity](https://attack.mitre.org/campaigns/C0055) has conducted a throttled variant of password spraying techniques that only utilized a single attempt to sign in within a 24-hour time period, eluding brute force detection thresholds.
- G0125 HAFNIUM (group): [HAFNIUM](https://attack.mitre.org/groups/G0125) has gained initial access through password spray attacks.
- G0077 Leafminer (group): [Leafminer](https://attack.mitre.org/groups/G0077) used a tool called Total SMB BruteForcer to perform internal password spraying.
- G0016 APT29 (group): [APT29](https://attack.mitre.org/groups/G0016) has conducted brute force password spray attacks.</t>
  </si>
  <si>
    <t>ef7bd43e-42d4-5dd2-bc0e-1abd0cbf802f</t>
  </si>
  <si>
    <t>1/9</t>
  </si>
  <si>
    <t># T1110.003 - Password Spraying
Type: sub-technique | Domain: enterprise-attack | ATT&amp;CK version: 19.2
Tactics: credential-access
Platforms: Containers, ESXi, IaaS, Identity Provider, Linux, Network Devices, Office Suite, SaaS, Windows, macOS
Sub-technique of: T1110 Brute Force
## Description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Typically, management services over commonly used ports are used when password spraying. Commonly targeted services include the following:</t>
  </si>
  <si>
    <t>157456b8-c03f-5096-98d8-1d1e43a443e8</t>
  </si>
  <si>
    <t>DET0487</t>
  </si>
  <si>
    <t>Distributed Password Spraying via Authentication Failures Across Multiple Accounts</t>
  </si>
  <si>
    <t>detection-strategy</t>
  </si>
  <si>
    <t># DET0487 - Distributed Password Spraying via Authentication Failures Across Multiple Accounts
Type: detection-strategy | Domain: enterprise-attack | ATT&amp;CK version: 19.2
## Detects techniques
- T1110.003 Password Spraying</t>
  </si>
  <si>
    <t>f62c8db0-8f71-599b-b664-010c60d7b022</t>
  </si>
  <si>
    <t>x-mitre-detection-strategy--84dfca59-e541-48a8-bb95-d7581a8f48d2</t>
  </si>
  <si>
    <t>https://attack.mitre.org/detectionstrategies/DET0487</t>
  </si>
  <si>
    <t>C0051</t>
  </si>
  <si>
    <t>APT28 Nearest Neighbor Campaign</t>
  </si>
  <si>
    <t>campaign</t>
  </si>
  <si>
    <t>2/2</t>
  </si>
  <si>
    <t># C0051 - APT28 Nearest Neighbor Campaign
and wireless network connection) to enable Wi-Fi and use compromised credentials to connect to the victim network.
## Attributed to
- G0007 APT28
## Techniques used
- T1003.002 Security Account Manager
- T1003.003 NTDS
- T1006 Direct Volume Access
- T1016.002 Wi-Fi Discovery
- T1021.001 Remote Desktop Protocol
- T1021.002 SMB/Windows Admin Shares
- T1059.001 PowerShell
- T1059.003 Windows Command Shell
- T1074.001 Local Data Staging
- T1090.001 Internal Proxy
- T1110.003 Password Spraying
- T1140 Deobfuscate/Decode Files or Information
- T1560.001 Archive via Utility
- T1561.001 Disk Content Wipe
- T1567 Exfiltration Over Web Service
- T1584 Compromise Infrastructure
- T1669 Wi-Fi Networks
- T1686.003 Windows Host Firewall
## Software used
- S0108 netsh
- S1205 cipher.exe</t>
  </si>
  <si>
    <t>9f28e3b3-46cd-5d07-ba72-040ae936815b</t>
  </si>
  <si>
    <t>campaign--a010610e-22cb-437e-bfde-b78861bdca7a</t>
  </si>
  <si>
    <t>https://attack.mitre.org/campaigns/C0051</t>
  </si>
  <si>
    <t>7/9</t>
  </si>
  <si>
    <t># T1110.003 - Password Spraying
internal password spraying.
- G0016 APT29 (group): [APT29](https://attack.mitre.org/groups/G0016) has conducted brute force password spray attacks.
- G0114 Chimera (group): [Chimera](https://attack.mitre.org/groups/G0114) has used multiple password spraying attacks against victim's remote services to obtain valid user and administrator accounts.
- G0122 Silent Librarian (group): [Silent Librarian](https://attack.mitre.org/groups/G0122) has used collected lists of names and e-mail accounts to use in password spraying attacks against private sector targets.
- G1003 Ember Bear (group): [Ember Bear](https://attack.mitre.org/groups/G1003) has conducted password spraying against Outlook Web Access (OWA) infrastructure to identify valid user names and passwords.
- G1030 Agrius (group): [Agrius](https://attack.mitre.org/groups/G1030) engaged in password spraying via SMB in victim environments.</t>
  </si>
  <si>
    <t>bc411276-2b2d-57fd-b20f-7feb6b7f2b0b</t>
  </si>
  <si>
    <t>G0114</t>
  </si>
  <si>
    <t>Chimera</t>
  </si>
  <si>
    <t># G0114 - Chimera
Transfer
- T1106 Native API
- T1110.003 Password Spraying
- T1110.004 Credential Stuffing
- T1111 Multi-Factor Authentication Interception
- T1114.
ol Transfer
- T1106 Native API
- T1110.003 Password Spraying
- T1110.004 Credential Stuffing
- T1111 Multi-Factor Authentication Interception
- T1114.001 Local Email Collection
- T1114.002 Remote Email Collection
- T1119 Automated Collection
- T1124 System Time Discovery
- T1133 External Remote Services
- T1135 Network Share Discovery
- T1201 Password Policy Discovery
- T1213.002 Sharepoint
- T1217 Browser Information Discovery
- T1482 Domain Trust Discovery
- T1550.002 Pass the Hash
- T1556.001 Domain Controller Authentication
- T1560.001 Archive via Utility
- T1567.002 Exfiltration to Cloud Storage
- T1569.002 Service Execution
- T1570 Lateral Tool Transfer
- T1572 Protocol Tunneling
- T1574.001 DLL
- T1588.002 Tool
- T1589.001 Credentials
- T1680 Local Storage Discovery
- T1685.005 Clear Windows Event Logs
## Software used
- S0029 PsExec
- S0521 BloodHound
- S0404 esentutl
- S0039 Net
- S0002 Mimikatz
- S0154 Cobalt Strike</t>
  </si>
  <si>
    <t>8e3c7f9a-1c02-5e07-a4ae-509c8f1580e1</t>
  </si>
  <si>
    <t>intrusion-set--8c1f0187-0826-4320-bddc-5f326cfcfe2c</t>
  </si>
  <si>
    <t>https://attack.mitre.org/groups/G0114</t>
  </si>
  <si>
    <t>T1110.002</t>
  </si>
  <si>
    <t>Password Cracking</t>
  </si>
  <si>
    <t># T1110.002 - Password Cracking
Type: sub-technique | Domain: enterprise-attack | ATT&amp;CK version: 19.2
Tactics: credential-access
Platforms: Identity Provider, Linux, macOS, Network Devices, Office Suite, Windows
Sub-technique of: T1110 Brute Force
## Description
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t>
  </si>
  <si>
    <t>0204f726-7c2b-510e-a2cf-0d16f6c05c61</t>
  </si>
  <si>
    <t>attack-pattern--1d24cdee-9ea2-4189-b08e-af110bf2435d</t>
  </si>
  <si>
    <t>https://attack.mitre.org/techniques/T1110/002</t>
  </si>
  <si>
    <t>T1586.002</t>
  </si>
  <si>
    <t>Email Accounts</t>
  </si>
  <si>
    <t># T1586.002 - Email Accounts
Type: sub-technique | Domain: enterprise-attack | ATT&amp;CK version: 19.2
Tactics: resource-development
Platforms: PRE
Sub-technique of: T1586 Compromise Accounts
## Description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t>
  </si>
  <si>
    <t>302a1537-027f-57a0-81b9-9063712870ce</t>
  </si>
  <si>
    <t>attack-pattern--3dc8c101-d4db-4f4d-8150-1b5a76ca5f1b</t>
  </si>
  <si>
    <t>https://attack.mitre.org/techniques/T1586/002</t>
  </si>
  <si>
    <t>2/8</t>
  </si>
  <si>
    <t># T1566 - Phishing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 Another way to accomplish this is by [Email Spoofing](https://attack.mitre.org/techniques/T1684/002) the identity of the sender, which can be used to fool both the human recipient as well as automated security tools, or by including the intended target as a party to an existing email thread that includes malicious files or links (i.e., "thread hijacking").</t>
  </si>
  <si>
    <t>6a49f47f-97c7-51c1-9b8c-11a512eb628c</t>
  </si>
  <si>
    <t>T1585.002</t>
  </si>
  <si>
    <t># T1585.002 - Email Accounts
Type: sub-technique | Domain: enterprise-attack | ATT&amp;CK version: 19.2
Tactics: resource-development
Platforms: PRE
Sub-technique of: T1585 Establish Accounts
## Description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 Establishing email accounts may also allow adversaries to abuse free services – such as trial periods – to [Acquire Infrastructure](https://attack.mitre.org/techniques/T1583) for follow-on purposes.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t>
  </si>
  <si>
    <t>e3dc1b98-151d-514e-a176-c74fb584fe19</t>
  </si>
  <si>
    <t>attack-pattern--65013dd2-bc61-43e3-afb5-a14c4fa7437a</t>
  </si>
  <si>
    <t>https://attack.mitre.org/techniques/T1585/002</t>
  </si>
  <si>
    <t># T1566 - Phishing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
- M1047 Audit: Perform audits or scans of systems, permissions, insecure software, insecure configurations, etc.
to identify potential weaknesses.
## Sub-techniques
- T1566.002 Spearphishing Link
- T1566.001 Spearphishing Attachment
- T1566.004 Spearphishing Voice
- T1566.003 Spearphishing via Service
## Procedure examples
- G0094 Kimsuky (group): [Kimsuky](https://attack.mitre.org/groups/G0094) has used spearphishing to gain initial access and intelligence.
- G1049 AppleJeus (group): [AppleJeus](https://attack.mitre.org/groups/G1049) has used spearphishing emails to distribute malicious payloads.
- G0069 MuddyWater (group): [MuddyWater](https://attack.mitre.org/groups/G0069) has sent phishing emails to targets from the email address support@microsoftonlines[.]com.</t>
  </si>
  <si>
    <t>22e1f629-ed75-57fb-9dfd-767e49dde3de</t>
  </si>
  <si>
    <t>T1056</t>
  </si>
  <si>
    <t>Input Capture</t>
  </si>
  <si>
    <t># T1056 - Input Capture
Type: technique | Domain: enterprise-attack | ATT&amp;CK version: 19.2
Tactics: collection, credential-access
Platforms: Linux, macOS, Network Devices, Windows
## Description
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</si>
  <si>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49082e7a-665e-52fc-913f-e16e250c69fc</t>
  </si>
  <si>
    <t>attack-pattern--bb5a00de-e086-4859-a231-fa793f6797e2</t>
  </si>
  <si>
    <t>https://attack.mitre.org/techniques/T1056</t>
  </si>
  <si>
    <t>T1056.003</t>
  </si>
  <si>
    <t>Web Portal Capture</t>
  </si>
  <si>
    <t># T1056.003 - Web Portal Capture
Type: sub-technique | Domain: enterprise-attack | ATT&amp;CK version: 19.2
Tactics: collection, credential-access
Platforms: Linux, macOS, Windows
Sub-technique of: T1056 Input Capture
## Description
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t>
  </si>
  <si>
    <t>53bb75a3-204c-582f-aebf-0aa453578979</t>
  </si>
  <si>
    <t>attack-pattern--69e5226d-05dc-4f15-95d7-44f5ed78d06e</t>
  </si>
  <si>
    <t>https://attack.mitre.org/techniques/T1056/003</t>
  </si>
  <si>
    <t>T1056.001</t>
  </si>
  <si>
    <t>Keylogging</t>
  </si>
  <si>
    <t>1/7</t>
  </si>
  <si>
    <t># T1056.001 - Keylogging
Type: sub-technique | Domain: enterprise-attack | ATT&amp;CK version: 19.2
Tactics: collection, credential-access
Platforms: Linux, macOS, Network Devices, Windows
Sub-technique of: T1056 Input Capture
## Description
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
Keylogging is the most prevalent type of input capture, with many different ways of intercepting keystrokes. Some methods include:</t>
  </si>
  <si>
    <t>9552e904-33ef-5bad-a469-7fa1bf0d2107</t>
  </si>
  <si>
    <t>attack-pattern--09a60ea3-a8d1-4ae5-976e-5783248b72a4</t>
  </si>
  <si>
    <t>https://attack.mitre.org/techniques/T1056/001</t>
  </si>
  <si>
    <t>DET0102</t>
  </si>
  <si>
    <t>Behavioral Detection of Input Capture Across Platforms</t>
  </si>
  <si>
    <t># DET0102 - Behavioral Detection of Input Capture Across Platforms
Type: detection-strategy | Domain: enterprise-attack | ATT&amp;CK version: 19.2
## Detects techniques
- T1056 Input Capture
## Analytics
- AN0282 [Windows]: Monitors for abnormal process behavior and API calls like SetWindowsHookEx, GetAsyncKeyState, or device input polling commonly used for keystroke logging.
(log sources: WinEventLog:Security, WinEventLog:Sysmon) | tunable elements: TargetImage - Can be scoped to sensitive GUI processes like explorer.exe or winlogon.exe; TimeWindow - Time threshold for detecting multiple suspicious accesses
- AN0283 [Linux]: Detects use of tools/scripts accessing input devices like /dev/input/* or evdev via suspicious processes lacking GUI context.
(log sources: auditd:SYSCALL) | tunable elements: ProcessName - Unusual process accessing device files; DevicePath - Typically /dev/input/*, but tunable to exact endpoint config
- AN0284 [macOS]: Monitors for TCC-bypassing or unauthorized access to input services like IOHIDSystem or Quartz Event Services used in keylogging or screen monitoring.</t>
  </si>
  <si>
    <t>b125294d-a3b8-5227-a30b-108b917e557a</t>
  </si>
  <si>
    <t>x-mitre-detection-strategy--c922d994-74bd-4847-a870-c0ae216318c9</t>
  </si>
  <si>
    <t>https://attack.mitre.org/detectionstrategies/DET0102</t>
  </si>
  <si>
    <t>2/7</t>
  </si>
  <si>
    <t># T1056.001 - Keylogging
to systems.
Keylogging is the most prevalent type of input capture, with many different ways of intercepting keystrokes.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t>
  </si>
  <si>
    <t>1e3aef33-c042-58ea-a36d-b1176cfd929c</t>
  </si>
  <si>
    <t>TA0002</t>
  </si>
  <si>
    <t>Execution</t>
  </si>
  <si>
    <t># TA0002 - Execution
a network or stealing data. For example, an adversary might use a remote access tool to run a PowerShell script that does Remote System Discovery.
## Techniques in this tactic
- T1047 Windows Management Instrumentation
- T1053 Scheduled Task/Job
- T1059 Command and Scripting Interpreter
- T1072 Software Deployment Tools
- T1106 Native API
- T1127 Trusted Developer Utilities Proxy Execution
- T1129 Shared Modules
- T1197 BITS Jobs
- T1203 Exploitation for Client Execution
- T1204 User Execution
- T1559 Inter-Process Communication
- T1569 System Services
- T1574 Hijack Execution Flow
- T1609 Container Administration Command
- T1610 Deploy Container
- T1648 Serverless Execution
- T1651 Cloud Administration Command
- T1674 Input Injection
- T1675 ESXi Administration Command
- T1677 Poisoned Pipeline Execution</t>
  </si>
  <si>
    <t>57665f89-6f5d-57ec-8cfb-d409cf0b4a97</t>
  </si>
  <si>
    <t>x-mitre-tactic--4ca45d45-df4d-4613-8980-bac22d278fa5</t>
  </si>
  <si>
    <t>https://attack.mitre.org/tactics/TA0002</t>
  </si>
  <si>
    <t>T1683</t>
  </si>
  <si>
    <t>Generate Content</t>
  </si>
  <si>
    <t># T1683 - Generate Content
detection difficult for defenders.
Detection efforts may be focused on related stages of the adversary lifecycle, such as during Initial Access.
## Mitigations
- M1056 Pre-compromise: This technique cannot be easily mitigated with preventive controls since it is based on behaviors performed outside of the scope of enterprise defenses and controls. Efforts should focus on designing defenses that are not reliant on atomic indicators.
## Sub-techniques
- T1683.001 Written Content
- T1683.002 Audio-Visual Content
## Procedure examples
- C0062 Anthropic AI-orchestrated Campaign (campaign): During the [Anthropic AI-orchestrated Campaign](https://attack.mitre.org/campaigns/C0062), the adversary utilized Claude Code to automatically generate comprehensive documentation throughout the phases of the attack, including discovered services, harvested credentials, sensitive data, exploitation techniques, and complete attack progression.</t>
  </si>
  <si>
    <t>dc4c60b8-5e00-5802-a63c-64dc3695a236</t>
  </si>
  <si>
    <t>attack-pattern--b512fb8a-18dd-4bfc-bbad-acbaaeb7dde3</t>
  </si>
  <si>
    <t>https://attack.mitre.org/techniques/T1683</t>
  </si>
  <si>
    <t>T1040</t>
  </si>
  <si>
    <t>Network Sniffing</t>
  </si>
  <si>
    <t>4/11</t>
  </si>
  <si>
    <t># T1040 - Network Sniffing
may perform network captures using [Network Device CLI](https://attack.mitre.org/techniques/T1059/008) commands such as `monitor capture`.
## Detection strategies
- DET0314 Detection Strategy for Network Sniffing Across Platforms
  - AN0875 [Windows]: Detects suspicious execution of network monitoring tools (e.g., Wireshark, tshark, Microsoft Message Analyzer), driver loading indicative of promiscuous mode, or non-admin user privilege escalation to access NICs for capture.
- AN0876 [Linux]: Correlates interface mode changes to promiscuous with execution of sniffing tools like tcpdump, tshark, or custom pcap libraries.
Detects abnormal NIC configurations and unauthorized sniffing from non-root sessions.
- AN0877 [macOS]: Detects enabling of interface sniffing via packet capture tools or AppleScript triggering `tcpdump`.
Leverages Unified Logs and process lineage to identify suspicious use of `pfctl`, `tcpdump`, or `libpcap` libraries.
- AN0878 [IaaS]: Detects creation of traffic mirroring sessions (e.g., AWS VPC Traffic Mirroring, Azure vTAP) that redirect traffic from critical assets to other virtual instances, often followed by file creation or session establishment.</t>
  </si>
  <si>
    <t>b616fa4b-7322-5a04-a57b-56babba5fb56</t>
  </si>
  <si>
    <t>attack-pattern--3257eb21-f9a7-4430-8de1-d8b6e288f529</t>
  </si>
  <si>
    <t>https://attack.mitre.org/techniques/T1040</t>
  </si>
  <si>
    <t>T1552.008</t>
  </si>
  <si>
    <t>Chat Messages</t>
  </si>
  <si>
    <t># T1552.008 - Chat Messages
Type: sub-technique | Domain: enterprise-attack | ATT&amp;CK version: 19.2
Tactics: credential-access
Platforms: SaaS, Office Suite
Sub-technique of: T1552 Unsecured Credentials
## Description
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t>
  </si>
  <si>
    <t>94ece3fd-e305-5ee5-991d-3a563d13b80a</t>
  </si>
  <si>
    <t>attack-pattern--9664ad0e-789e-40ac-82e2-d7b17fbe8fb3</t>
  </si>
  <si>
    <t>https://attack.mitre.org/techniques/T1552/008</t>
  </si>
  <si>
    <t>TA0011</t>
  </si>
  <si>
    <t>Command and Control</t>
  </si>
  <si>
    <t># TA0011 - Command and Control
Type: tactic | Domain: enterprise-attack | ATT&amp;CK version: 19.2
Shortname: command-and-control
## Description
The adversary is trying to communicate with compromised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
## Techniques in this tactic
- T1001 Data Obfuscation
- T1008 Fallback Channels
- T1071 Application Layer Protocol
- T1090 Proxy
- T1092 Communication Through Removable Media
- T1095 Non-Application Layer Protocol
- T1102 Web Service
- T1104 Multi-Stage Channels
- T1105 Ingress Tool Transfer
- T1132 Data Encoding
- T1205 Traffic Signaling
- T1219 Remote Access Tools
- T1568 Dynamic Resolution
- T1571 Non-Standard Port
- T1572 Protocol Tunneling
- T1573 Encrypted Channel
- T1659 Content Injection
- T1665 Hide Infrastructure</t>
  </si>
  <si>
    <t>a0d301c9-8f03-56e0-b461-3ea0fd74d96e</t>
  </si>
  <si>
    <t>x-mitre-tactic--f72804c5-f15a-449e-a5da-2eecd181f813</t>
  </si>
  <si>
    <t>https://attack.mitre.org/tactics/TA0011</t>
  </si>
  <si>
    <t>C0026</t>
  </si>
  <si>
    <t># C0026 - C0026
Type: campaign | Domain: enterprise-attack | ATT&amp;CK version: 19.2
Aliases: C0026 | First seen: 2022-08-01 | Last seen: 2022-09-01
## Description
[C0026](https://attack.mitre.org/campaigns/C0026) was a campaign identified in September 2022 that included the selective distribution of [KOPILUWAK](https://attack.mitre.org/software/S1075) and [QUIETCANARY](https://attack.mitre.org/software/S1076) malware to previous [ANDROMEDA](https://attack.mitre.org/software/S1074) malware victims in Ukraine through re-registered [ANDROMEDA](https://attack.mitre.org/software/S1074) C2 domains. Several tools and tactics used during [C0026](https://attack.mitre.org/campaigns/C0026) were consistent with historic [Turla](https://attack.mitre.org/groups/G0010) operations.
## Techniques used
- T1005 Data from Local System
- T1030 Data Transfer Size Limits
- T1105 Ingress Tool Transfer
- T1560.001 Archive via Utility
- T1568 Dynamic Resolution
- T1583.001 Domains
## Software used
- S0039 Net
- S1074 ANDROMEDA
- S1076 QUIETCANARY
- S0104 netstat
- S1075 KOPILUWAK
- S0099 Arp</t>
  </si>
  <si>
    <t>9888dea1-f3ec-5e03-b541-8e05afd7c088</t>
  </si>
  <si>
    <t>campaign--c89fa3ff-4773-4daf-8aec-d8f43f10116e</t>
  </si>
  <si>
    <t>https://attack.mitre.org/campaigns/C0026</t>
  </si>
  <si>
    <t>S9044</t>
  </si>
  <si>
    <t>Kali365</t>
  </si>
  <si>
    <t># S9044 - Kali365
Type: software | Domain: enterprise-attack | ATT&amp;CK version: 19.2
Software type: malware | Aliases: Kali365 | Platforms: IaaS, macOS, Windows
## Description
[Kali365](https://attack.mitre.org/software/S9044) is a Phishing-as-a-Service (PHaaS) kit first observed in April 2026 that generates victim-targeted lures across multiple operating systems to induce users into copying and pasting actor-controlled commands for local execution.  [Kali365](https://attack.mitre.org/software/S9044) incorporates on-demand device code generation and mirrors the copy-paste execution tradecraft associated with ClickFix. Operators have used [Kali365](https://attack.mitre.org/software/S9044) to harvest victims' OAuth tokens and session cookies through adversary-in-the-middle (AiTM) interception, enabling account takeover.  [Kali365](https://attack.mitre.org/software/S9044) PHaaS was first observed in April 2026.  [Kali365](https://attack.mitre.org/software/S9044) has also been affiliated with other branding to include Octopi365 and Freedom365.</t>
  </si>
  <si>
    <t>5ee65033-bb02-5e33-a22a-e68d67f875c3</t>
  </si>
  <si>
    <t>malware--f5a56c26-e192-489d-a77e-a8b38fd70eee</t>
  </si>
  <si>
    <t>https://attack.mitre.org/software/S9044</t>
  </si>
  <si>
    <t>S9042</t>
  </si>
  <si>
    <t>CanisterWorm</t>
  </si>
  <si>
    <t># S9042 - CanisterWorm
Type: software | Domain: enterprise-attack | ATT&amp;CK version: 19.2
Software type: malware | Aliases: CanisterWorm | Platforms: Containers, Linux
## Description
[CanisterWorm](https://attack.mitre.org/software/S9042) is a self-propagating malware that has been used by [TeamPCP](https://attack.mitre.org/groups/G1056) in credential harvesting and software supply chain campaigns since at least 2026. [CanisterWorm](https://attack.mitre.org/software/S9042) has used npm credentials to infect software packages and propagate across developer ecosystems. [CanisterWorm](https://attack.mitre.org/software/S9042) has a targeted wiper component and can use decentralized C2 infrastructure implemented via an Internet Computer Protocol (ICP) blockchain canister.</t>
  </si>
  <si>
    <t>605edb9c-54db-520d-a3ae-5bb981c67366</t>
  </si>
  <si>
    <t>malware--5b30f717-1d7b-4e91-a97d-be361d00aa5e</t>
  </si>
  <si>
    <t>https://attack.mitre.org/software/S9042</t>
  </si>
  <si>
    <t>T1608.004</t>
  </si>
  <si>
    <t>Drive-by Target</t>
  </si>
  <si>
    <t># T1608.004 - Drive-by Target
Type: sub-technique | Domain: enterprise-attack | ATT&amp;CK version: 19.2
Tactics: resource-development
Platforms: PRE
Sub-technique of: T1608 Stage Capabilities</t>
  </si>
  <si>
    <t>b431edc2-e2fb-5bff-8750-f61ceb269ea8</t>
  </si>
  <si>
    <t>attack-pattern--31fe0ba2-62fd-4fd9-9293-4043d84f7fe9</t>
  </si>
  <si>
    <t>https://attack.mitre.org/techniques/T1608/004</t>
  </si>
  <si>
    <t>S9041</t>
  </si>
  <si>
    <t>TeamPCP Cloud Stealer</t>
  </si>
  <si>
    <t># S9041 - TeamPCP Cloud Stealer
Type: software | Domain: enterprise-attack | ATT&amp;CK version: 19.2
Software type: malware | Aliases: TeamPCP Cloud Stealer, SANDCLOCK | Platforms: Containers, Linux, macOS, SaaS, Windows
## Description
The [TeamPCP Cloud Stealer](https://attack.mitre.org/software/S9041) is a comprehensive filesystem credential stealer that can harvest, encrypt, and exfiltrate credentials from over 50 sensitive file paths across CI/CD, cloud, developer tooling, and container environments. The [TeamPCP Cloud Stealer](https://attack.mitre.org/software/S9041) was the primary payload used by [TeamPCP](https://attack.mitre.org/groups/G1056) in March 2026 during early stages of a cascading supply chain campaign targeting CI/CD workflows.</t>
  </si>
  <si>
    <t>896b042c-adbc-5362-a6f3-8ed624e1d88b</t>
  </si>
  <si>
    <t>malware--fe5b2f0f-8fdc-459d-85b7-dd45c0217a0c</t>
  </si>
  <si>
    <t>https://attack.mitre.org/software/S9041</t>
  </si>
  <si>
    <t>M1031</t>
  </si>
  <si>
    <t>Network Intrusion Prevention</t>
  </si>
  <si>
    <t>mitigation</t>
  </si>
  <si>
    <t># M1031 - Network Intrusion Prevention
| Domain: enterprise-attack | ATT&amp;CK version: 19.2
## Description
Use intrusion detection signatures to block traffic at network boundaries.
## Techniques mitigated
- T1001 Data Obfuscation
- T1001.001 Junk Data
- T1001.002 Steganography
- T1001.003 Protocol or Service Impersonation
- T1008 Fallback Channels
- T1029 Scheduled Transfer
- T1030 Data Transfer Size Limits
- T1041 Exfiltration Over C2 Channel
- T1046 Network Service Discovery
- T1048 Exfiltration Over Alternative Protocol
- T1048.001 Exfiltration Over Symmetric Encrypted Non-C2 Protocol
- T1048.002 Exfiltration Over Asymmetric Encrypted Non-C2 Protocol
- T1048.003 Exfiltration Over Unencrypted Non-C2 Protocol
- T1071 Application Layer Protocol
- T1071.001 Web Protocols
- T1071.002 File Transfer Protocols
- T1071.003 Mail Protocols
- T1071.004 DNS
- T1071.005 Publish/Subscribe Protocols
- T1090 Proxy
- T1090.001 Internal Proxy
- T1090.002 External Proxy
- T1095 Non-Application Layer Protocol
- T1102 Web Service
- T1102.001 Dead Drop Resolver
- T1102.002 Bidirectional Communication
- T1102.003 One-Way Communication
- T1104 Multi-Stage Channels
- T1105 Ingress Tool Transfer
- T1132 Data Encoding
- T1132.001 Standard Encoding
- T1132.002 Non-Standard Encoding
- T1204 User Execution
- T1204.001 Malicious Link
- T1204.003 Malicious Image
- T1204.004 Malicious Copy</t>
  </si>
  <si>
    <t>ee4e36d8-7c86-5b85-8aeb-140dce27f98e</t>
  </si>
  <si>
    <t>course-of-action--12241367-a8b7-49b4-b86e-2236901ba50c</t>
  </si>
  <si>
    <t>https://attack.mitre.org/mitigations/M1031</t>
  </si>
  <si>
    <t>T1555.006</t>
  </si>
  <si>
    <t>Cloud Secrets Management Stores</t>
  </si>
  <si>
    <t># T1555.006 - Cloud Secrets Management Stores
Type: sub-technique | Domain: enterprise-attack | ATT&amp;CK version: 19.2
Tactics: credential-access
Platforms: IaaS
Sub-technique of: T1555 Credentials from Password Stores
## Description
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t>
  </si>
  <si>
    <t>70553fe9-95e9-503b-b5be-5d50bb3b406e</t>
  </si>
  <si>
    <t>attack-pattern--cfb525cc-5494-401d-a82b-2539ca46a561</t>
  </si>
  <si>
    <t>https://attack.mitre.org/techniques/T1555/006</t>
  </si>
  <si>
    <t>T1059.010</t>
  </si>
  <si>
    <t>AutoHotKey &amp; AutoIT</t>
  </si>
  <si>
    <t># T1059.010 - AutoHotKey &amp; AutoIT
Type: sub-technique | Domain: enterprise-attack | ATT&amp;CK version: 19.2
Tactics: execution
Platforms: Windows
Sub-technique of: T1059 Command and Scripting Interpreter
## Description
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
These scripts may also be compiled into self-contained executable payloads (`.exe`).</t>
  </si>
  <si>
    <t>952ba9e9-02f1-5a73-9728-d18d3b697266</t>
  </si>
  <si>
    <t>attack-pattern--3a32740a-11b0-4bcf-b0a9-3abd0f6d3cd5</t>
  </si>
  <si>
    <t>https://attack.mitre.org/techniques/T1059/010</t>
  </si>
  <si>
    <t>DC0095</t>
  </si>
  <si>
    <t>Volume Enumeration</t>
  </si>
  <si>
    <t>data-component</t>
  </si>
  <si>
    <t># DC0095 - Volume Enumeration
Type: data-component | Domain: enterprise-attack | ATT&amp;CK version: 19.2
Data source: n/a | Platforms: n/a
## Description
An extracted list of available volumes within a cloud environment (ex: AWS describe-volumes)</t>
  </si>
  <si>
    <t>f7d9b154-5446-578c-b6ef-6f5413298f0e</t>
  </si>
  <si>
    <t>x-mitre-data-component--ec225357-8197-47a4-a9cd-57741d592877</t>
  </si>
  <si>
    <t>https://attack.mitre.org/datacomponents/DC0095</t>
  </si>
  <si>
    <t>T1059.009</t>
  </si>
  <si>
    <t>Cloud API</t>
  </si>
  <si>
    <t># T1059.009 - Cloud API
Type: sub-technique | Domain: enterprise-attack | ATT&amp;CK version: 19.2
Tactics: execution
Platforms: IaaS, Identity Provider, Office Suite, SaaS
Sub-technique of: T1059 Command and Scripting Interpreter
## Description
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t>
  </si>
  <si>
    <t>60d08f9a-0633-524e-8298-fe7bc19f2408</t>
  </si>
  <si>
    <t>attack-pattern--55bb4471-ff1f-43b4-88c1-c9384ec47abf</t>
  </si>
  <si>
    <t>https://attack.mitre.org/techniques/T1059/009</t>
  </si>
  <si>
    <t>modelo</t>
  </si>
  <si>
    <t>tokens prompt</t>
  </si>
  <si>
    <t>tokens respuesta</t>
  </si>
  <si>
    <t>retrieval ms</t>
  </si>
  <si>
    <t>generacion ms</t>
  </si>
  <si>
    <t>total ms</t>
  </si>
  <si>
    <t>prompt [system]</t>
  </si>
  <si>
    <t>prompt [user] (con los fragmentos [n])</t>
  </si>
  <si>
    <t>qwen3:4b-instruct</t>
  </si>
  <si>
    <t>You are a cybersecurity assistant specialized in the MITRE ATT&amp;CK framework (tactics, techniques, sub-techniques, groups, software, mitigations, detections).
Answer the user's question using ONLY the information contained in the provided context passages.
Cite the passages you rely on with their bracketed number, e.g. [1] or [2][4].
If the context does not contain enough information to answer, say so explicitly and do not invent facts.
Be precise: include ATT&amp;CK IDs (e.g. T1059.001, G0016, M1038) when they appear in the context.
Answer in the same language as the question.</t>
  </si>
  <si>
    <t>Context passages:
[1] Source: T1059.001 - PowerShell
# T1059.001 - PowerShell
Type: sub-technique | Domain: enterprise-attack | ATT&amp;CK version: 19.2
Tactics: execution
Platforms: Windows
Sub-technique of: T1059 Command and Scripting Interpreter
## Description
Adversaries may abuse PowerShell commands and scripts for execution. PowerShell is a powerful interactive command-line interface and scripting environment included in the Windows operating system.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[2] Source: S1193 - TAMECAT
# S1193 - TAMECAT
Type: software | Domain: enterprise-attack | ATT&amp;CK version: 19.2
Software type: malware | Aliases: TAMECAT | Platforms: Windows
## Description
[TAMECAT](https://attack.mitre.org/software/S1193) is a malware that is used by [APT42](https://attack.mitre.org/groups/G1044) to execute PowerShell or C# content.
## Techniques used
- T1047 Windows Management Instrumentation
- T1059.001 PowerShell
- T1059.003 Windows Command Shell
- T1059.005 Visual Basic
- T1071.001 Web Protocols
- T1105 Ingress Tool Transfer
- T1132.001 Standard Encoding
- T1518.001 Security Software Discovery
- T1573.001 Symmetric Cryptography
## Used by
- G1044 APT42
[3] Source: G0099 - APT-C-36
# G0099 - APT-C-36
institutions and entities in the financial, energy, and professional manufacturing sectors across Colombia and other Latin American countries.
## Techniques used
- T1027 Obfuscated Files or Information
- T1027.003 Steganography
- T1027.013 Encrypted/Encoded File
- T1027.016 Junk Code Insertion
- T1036.004 Masquerade Task or Service
- T1036.005 Match Legitimate Resource Name or Location
- T1047 Windows Management Instrumentation
- T1053.005 Scheduled Task
- T1055.012 Process Hollowing
- T1059.001 PowerShell
- T1059.005 Visual Basic
- T1059.007 JavaScript
- T1105 Ingress Tool Transfer
- T1133 External Remote Services
- T1204.001 Malicious Link
- T1204.002 Malicious File
- T1480 Execution Guardrails
- T1534 Internal Spearphishing
- T1564.003 Hidden Window
- T1566.001 Spearphishing Attachment
- T1566.002 Spearphishing Link
- T1568 Dynamic Resolution
- T1571 Non-Standard Port
- T1574.001 DLL
- T1583.001 Domains
- T1583.003 Virtual Private Server
- T1583.006 Web Services
- T1584.005 Botnet
- T1586.002 Email Accounts
- T1586.003 Cloud Accounts
- T1587.001 Malware
- T1588.001 Malware
- T1588.002 Tool
- T1593 Search Open Websites/Domains
- T1608.001 Upload Malware
- T1683.001 Written Content
- T1683.002 Audio-Visual Content
- T1684.001 Impersonation
[4] Source: T1059 - Command and Scripting Interpreter
# T1059 - Command and Scripting Interpreter
interpreter installations.
- M1042 Disable or Remove Feature or Program: Disable or remove any unnecessary or unused shells or interpreters.
## Sub-techniques
- T1059.007 JavaScript
- T1059.002 AppleScript
- T1059.010 AutoHotKey &amp; AutoIT
- T1059.009 Cloud API
- T1059.008 Network Device CLI
- T1059.001 PowerShell
- T1059.004 Unix Shell
- T1059.011 Lua
- T1059.013 Container CLI/API
- T1059.005 Visual Basic
- T1059.003 Windows Command Shell
- T1059.012 Hypervisor CLI
- T1059.006 Python
## Procedure examples
- C0005 Operation Spalax (campaign): For [Operation Spalax](https://attack.mitre.org/campaigns/C0005), the threat actors used Nullsoft Scriptable Install System (NSIS) scripts to install malware.
- C0029 Cutting Edge (campaign): During [Cutting Edge](https://attack.mitre.org/campaigns/C0029), threat actors used Perl scripts to enable the deployment of the THINSPOOL shell script dropper and for enumerating host data.
- C0046 ArcaneDoor (campaign): [ArcaneDoor](https://attack.mitre.org/campaigns/C0046) included the adversary executing command line interface (CLI) commands.
[5] Source: S0393 - PowerStallion
# S0393 - PowerStallion
Type: software | Domain: enterprise-attack | ATT&amp;CK version: 19.2
Software type: malware | Aliases: PowerStallion | Platforms: Windows
## Description
[PowerStallion](https://attack.mitre.org/software/S0393) is a lightweight [PowerShell](https://attack.mitre.org/techniques/T1059/001) backdoor used by [Turla](https://attack.mitre.org/groups/G0010), possibly as a recovery access tool to install other backdoors.
## Techniques used
- T1027 Obfuscated Files or Information
- T1057 Process Discovery
- T1059.001 PowerShell
- T1070.006 Timestomp
- T1102.002 Bidirectional Communication
## Used by
- G0010 Turla
Question: ¿Qué mitigaciones propone ATT&amp;CK para la sub-técnica T1059.001 PowerShell y en qué consiste cada una?
Answer:</t>
  </si>
  <si>
    <t>You are a cybersecurity assistant specialized in the MITRE ATT&amp;CK framework (tactics, techniques, sub-techniques, groups, software, mitigations, detections).
Answer the user's question accurately and concisely using your own knowledge.
Include ATT&amp;CK IDs (e.g. T1059.001, G0016, M1038) when you are confident about them.
If you are not sure about something, say so explicitly instead of guessing.
Answer in the same language as the question.</t>
  </si>
  <si>
    <t>Question: ¿Qué mitigaciones propone ATT&amp;CK para la sub-técnica T1059.001 PowerShell y en qué consiste cada una?
Answer:</t>
  </si>
  <si>
    <t>Context passages:
[1] Source: T1586 - Compromise Accounts
# T1586 - Compromise Accounts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 Mitigations
- M1056 Pre-compromise: This technique cannot be easily mitigated with preventive controls since it is based on behaviors performed outside of the scope of enterprise defenses and controls.
## Sub-techniques
- T1586.001 Social Media Accounts
- T1586.003 Cloud Accounts
- T1586.002 Email Accounts
[2] Source: T1566 - Phishing
# T1566 - Phishing
Type: technique | Domain: enterprise-attack | ATT&amp;CK version: 19.2
Tactics: initial-access
Platforms: Identity Provider, Linux, macOS, Office Suite, SaaS, Windows
## Description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[3] Source: T1566.004 - Spearphishing Voice
# T1566.004 - Spearphishing Voice
Type: sub-technique | Domain: enterprise-attack | ATT&amp;CK version: 19.2
Tactics: initial-access
Platforms: Linux, macOS, Windows, Identity Provider
Sub-technique of: T1566 Phishing
## Description
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
[4] Source: TA0001 - Initial Access
# TA0001 - Initial Access
Type: tactic | Domain: enterprise-attack | ATT&amp;CK version: 19.2
Shortname: initial-access
## Description
The adversary is trying to get into your network.
Initial Access consists of techniques that use various entry vectors to gain their initial foothold within a network. Techniques used to gain a foothold include targeted spearphishing and exploiting weaknesses on public-facing web servers. Footholds gained through initial access may allow for continued access, like valid accounts and use of external remote services, or may be limited-use due to changing passwords.
## Techniques in this tactic
- T1078 Valid Accounts
- T1091 Replication Through Removable Media
- T1133 External Remote Services
- T1189 Drive-by Compromise
- T1190 Exploit Public-Facing Application
- T1195 Supply Chain Compromise
- T1199 Trusted Relationship
- T1200 Hardware Additions
- T1566 Phishing
- T1659 Content Injection
- T1669 Wi-Fi Networks
[5] Source: T1598 - Phishing for Information
# T1598 - Phishing for Information
Type: technique | Domain: enterprise-attack | ATT&amp;CK version: 19.2
Tactics: reconnaissance
Platforms: PRE
## Description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Question: According to ATT&amp;CK, which tactic does Phishing (T1566) belong to and what are its four sub-techniques?
Answer:</t>
  </si>
  <si>
    <t>Question: According to ATT&amp;CK, which tactic does Phishing (T1566) belong to and what are its four sub-techniques?
Answer:</t>
  </si>
  <si>
    <t>Context passages:
[1] Source: TA0003 - Persistence
# TA0003 - Persistence
Type: tactic | Domain: enterprise-attack | ATT&amp;CK version: 19.2
Shortname: persistence
## Description
The adversary is trying to maintain their foothold.
Persistence consists of techniques that adversaries use to keep access to systems across restarts, changed credentials, and other interruptions that could cut off their access. Techniques used for persistence include any access, action, or configuration changes that let them maintain their foothold on systems, such as replacing or hijacking legitimate code or adding startup code.
[2] Source: T1070.010 - Relocate Malware
# T1070.010 - Relocate Malware
Type: sub-technique | Domain: enterprise-attack | ATT&amp;CK version: 19.2
Tactics: stealth
Platforms: Linux, macOS, Network Devices, Windows
Sub-technique of: T1070 Indicator Removal
## Description
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 Payloads may also be repositioned to target [File/Path Exclusions](https://attack.mitre.org/techniques/T1564/012) as well as specific locations associated with establishing [Persistence](https://attack.mitre.org/tactics/TA0003).
[3] Source: T1668 - Exclusive Control
# T1668 - Exclusive Control
Type: technique | Domain: enterprise-attack | ATT&amp;CK version: 19.2
Tactics: persistence
Platforms: Linux, macOS, Windows
## Description
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 to prevent other threat actors from leveraging that vulnerability in the future. They may “close the door” in other ways, such as disabling vulnerable services, stripping privileges from accounts, or removing other malware already on the compromised device.
[4] Source: T1596.003 - Digital Certificates
# T1596.003 - Digital Certificates
Type: sub-technique | Domain: enterprise-attack | ATT&amp;CK version: 19.2
Tactics: reconnaissance
Platforms: PRE
Sub-technique of: T1596 Search Open Technical Databases
## Description
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[5] Source: T1547.007 - Re-opened Applications
# T1547.007 - Re-opened Applications
Type: sub-technique | Domain: enterprise-attack | ATT&amp;CK version: 19.2
Tactics: persistence, privilege-escalation
Platforms: macOS
Sub-technique of: T1547 Boot or Logon Autostart Execution
## Description
Adversaries may modify plist files to automatically run an application when a user logs in. When a user logs out or restarts via the macOS Graphical User Interface (GUI), a prompt is provided to the user with a checkbox to "Reopen windows when logging back in". When selected, all applications currently open are added to a property list file named &lt;code&gt;com.apple.loginwindow.[UUID].plist&lt;/code&gt; within the &lt;code&gt;~/Library/Preferences/ByHost&lt;/code&gt; directory.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
Question: ¿Qué es la táctica Persistencia (TA0003) en ATT&amp;CK y qué busca conseguir el adversario con ella?
Answer:</t>
  </si>
  <si>
    <t>Question: ¿Qué es la táctica Persistencia (TA0003) en ATT&amp;CK y qué busca conseguir el adversario con ella?
Answer:</t>
  </si>
  <si>
    <t>Context passages:
[1] Source: S0154 - Cobalt Strike
# S0154 - Cobalt Strike
Type: software | Domain: enterprise-attack | ATT&amp;CK version: 19.2
Software type: malware | Aliases: Cobalt Strike | Platforms: Linux, macOS, Windows
## Description
[Cobalt Strike](https://attack.mitre.org/software/S0154) is a commercial, full-featured, remote access tool that bills itself as “adversary simulation software designed to execute targeted attacks and emulate the post-exploitation actions of advanced threat actors”. Cobalt Strike’s interactive post-exploit capabilities cover the full range of ATT&amp;CK tactics, all executed within a single, integrated system.
In addition to its own capabilities, [Cobalt Strike](https://attack.mitre.org/software/S0154) leverages the capabilities of other well-known tools such as Metasploit and [Mimikatz](https://attack.mitre.org/software/S0002).
[2] Source: T1021.004 - SSH
# T1021.004 - SSH
SSH through an HTTP tunnel.
- S0154 Cobalt Strike (software): [Cobalt Strike](https://attack.mitre.org/software/S0154) can SSH to a remote service.
- S0599 Kinsing (software): [Kinsing](https://attack.mitre.org/software/S0599) has used SSH for lateral movement.
[3] Source: G0080 - Cobalt Group
# G0080 - Cobalt Group
T1566.001 Spearphishing Attachment
- T1566.002 Spearphishing Link
- T1572 Protocol Tunneling
- T1573.002 Asymmetric Cryptography
- T1588.002 Tool
## Software used
- S0002 Mimikatz
- S0284 More_eggs
- S0646 SpicyOmelette
- S0195 SDelete
- S0154 Cobalt Strike
- S0029 PsExec
[4] Source: S0637 - NativeZone
# S0637 - NativeZone
Type: software | Domain: enterprise-attack | ATT&amp;CK version: 19.2
Software type: malware | Aliases: NativeZone | Platforms: Windows
## Description
[NativeZone](https://attack.mitre.org/software/S0637) is the name given collectively to disposable custom [Cobalt Strike](https://attack.mitre.org/software/S0154) loaders used by [APT29](https://attack.mitre.org/groups/G0016) since at least 2021.
## Techniques used
- T1036 Masquerading
- T1140 Deobfuscate/Decode Files or Information
- T1204.002 Malicious File
- T1218.011 Rundll32
- T1480 Execution Guardrails
- T1497.001 System Checks
## Used by
- G0016 APT29
[5] Source: T1001.003 - Protocol or Service Impersonation
# T1001.003 - Protocol or Service Impersonation
requests.
- S0387 KeyBoy (software): [KeyBoy](https://attack.mitre.org/software/S0387) uses custom SSL libraries to impersonate SSL in C2 traffic.
- S0586 TAINTEDSCRIBE (software): [TAINTEDSCRIBE](https://attack.mitre.org/software/S0586) has used FakeTLS for session authentication.
- S0022 Uroburos (software): [Uroburos](https://attack.mitre.org/software/S0022) can use custom communication methodologies that ride over common  protocols including TCP, UDP, HTTP, SMTP, and DNS in order to blend with normal network traffic.
- S0245 BADCALL (software): [BADCALL](https://attack.mitre.org/software/S0245) uses a FakeTLS method during C2.
- S0154 Cobalt Strike (software): [Cobalt Strike](https://attack.mitre.org/software/S0154) can leverage the HTTP protocol for C2 communication, while hiding the actual data in either an HTTP header, URI parameter, the transaction body, or appending it to the URI.
[Cobalt Strike](https://attack.mitre.org/software/S0154) has also added Host: ocsp.verisign.com to HTTP headers to mimic Online Certificate Status Protocol (OCSP) traffic.
Question: Según ATT&amp;CK, ¿qué es Cobalt Strike (S0154) y de qué otras herramientas conocidas aprovecha capacidades? ¿Cuánto cuesta su licencia anual?
Answer:</t>
  </si>
  <si>
    <t>Question: Según ATT&amp;CK, ¿qué es Cobalt Strike (S0154) y de qué otras herramientas conocidas aprovecha capacidades? ¿Cuánto cuesta su licencia anual?
Answer:</t>
  </si>
  <si>
    <t>Context passages:
[1] Source: T1550.003 - Pass the Ticket
# T1550.003 - Pass the Ticket
account password once, force replication, and then change the password a second time. Consider rotating the KRBTGT account password every 180 days.
## Procedure examples
- G0050 APT32 (group): [APT32](https://attack.mitre.org/groups/G0050) successfully gained remote access by using pass the ticket.
- G0016 APT29 (group): [APT29](https://attack.mitre.org/groups/G0016) used Kerberos ticket attacks for lateral movement.
- G0060 BRONZE BUTLER (group): [BRONZE BUTLER](https://attack.mitre.org/groups/G0060) has created forged Kerberos Ticket Granting Ticket (TGT) and Ticket Granting Service (TGS) tickets to maintain administrative access.
- S0053 SeaDuke (software): Some [SeaDuke](https://attack.mitre.org/software/S0053) samples have a module to use pass the ticket with Kerberos for authentication.
- S0002 Mimikatz (software): [Mimikatz](https://attack.mitre.org/software/S0002)’s &lt;code&gt;LSADUMP::DCSync&lt;/code&gt; and &lt;code&gt;KERBEROS::PTT&lt;/code&gt; modules implement the three steps required to extract the krbtgt account hash and create/use Kerberos tickets.
- S0192 Pupy (software): [Pupy](https://attack.mitre.org/software/S0192) can also perform pass-the-ticket.
[2] Source: T1550.003 - Pass the Ticket
# T1550.003 - Pass the Ticket
Type: sub-technique | Domain: enterprise-attack | ATT&amp;CK version: 19.2
Tactics: lateral-movement
Platforms: Windows
Sub-technique of: T1550 Use Alternate Authentication Material
## Description
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
[3] Source: T1558.003 - Kerberoasting
# T1558.003 - Kerberoasting
outside normal usage baselines. Also correlates suspicious process activity (e.g., Mimikatz invoking LSASS access) with Kerberos ticket anomalies.
## Mitigations
- M1027 Password Policies: Ensure strong password length (ideally 25+ characters) and complexity for service accounts and that these passwords periodically expire. Also consider using Group Managed Service Accounts or another third party product such as password vaulting.
- M1026 Privileged Account Management: Limit service accounts to minimal required privileges, including membership in privileged groups such as Domain Administrators.
- M1041 Encrypt Sensitive Information: Enable AES Kerberos encryption (or another stronger encryption algorithm), rather than RC4, where possible.
## Procedure examples
- C0024 SolarWinds Compromise (campaign): During the [SolarWinds Compromise](https://attack.mitre.org/campaigns/C0024), [APT29](https://attack.mitre.org/groups/G0016) obtained Ticket Granting Service (TGS) tickets for Active Directory Service Principle Names to crack offline.
[4] Source: S0079 - MobileOrder
# S0079 - MobileOrder
Type: software | Domain: enterprise-attack | ATT&amp;CK version: 19.2
Software type: malware | Aliases: n/a | Platforms: n/a
## Description
[MobileOrder](https://attack.mitre.org/software/S0079) is a Trojan intended to compromise Android mobile devices. It has been used by [Scarlet Mimic](https://attack.mitre.org/groups/G0029).
## Techniques used
- T1005 Data from Local System
- T1041 Exfiltration Over C2 Channel
- T1057 Process Discovery
- T1082 System Information Discovery
- T1083 File and Directory Discovery
- T1105 Ingress Tool Transfer
- T1217 Browser Information Discovery
## Used by
- G0029 Scarlet Mimic
[5] Source: T1558.001 - Golden Ticket
# T1558.001 - Golden Ticket
account password once, force replication, and then change the password a second time. Consider rotating the KRBTGT account password every 180 days.
## Procedure examples
- G0004 Ke3chang (group): [Ke3chang](https://attack.mitre.org/groups/G0004) has used [Mimikatz](https://attack.mitre.org/software/S0002) to generate Kerberos golden tickets.
- S0633 Sliver (software): [Sliver](https://attack.mitre.org/software/S0633) incorporates the [Rubeus](https://attack.mitre.org/software/S1071) framework to allow for Kerberos ticket manipulation, specifically for forging Kerberos Golden Tickets.
- S0363 Empire (software): [Empire](https://attack.mitre.org/software/S0363) can leverage its implementation of [Mimikatz](https://attack.mitre.org/software/S0002) to obtain and use golden tickets.
- S0002 Mimikatz (software): [Mimikatz](https://attack.mitre.org/software/S0002)'s kerberos module can create golden tickets.
- S1071 Rubeus (software): [Rubeus](https://attack.mitre.org/software/S1071) can forge a ticket-granting ticket.
Question: Según ATT&amp;CK, ¿APT29 (G0016) utiliza Mimikatz? Y en caso afirmativo, ¿qué técnicas relacionadas con tickets Kerberos implementa esa herramienta?
Answer:</t>
  </si>
  <si>
    <t>Question: Según ATT&amp;CK, ¿APT29 (G0016) utiliza Mimikatz? Y en caso afirmativo, ¿qué técnicas relacionadas con tickets Kerberos implementa esa herramienta?
Answer:</t>
  </si>
  <si>
    <t>Context passages:
[1] Source: S0347 - AuditCred
# S0347 - AuditCred
Type: software | Domain: enterprise-attack | ATT&amp;CK version: 19.2
Software type: malware | Aliases: AuditCred, Roptimizer | Platforms: Windows
## Description
[AuditCred](https://attack.mitre.org/software/S0347) is a malicious DLL that has been used by [Lazarus Group](https://attack.mitre.org/groups/G0032) during their 2018 attacks.
## Techniques used
- T1027.013 Encrypted/Encoded File
- T1055 Process Injection
- T1059.003 Windows Command Shell
- T1070.004 File Deletion
- T1083 File and Directory Discovery
- T1090 Proxy
- T1105 Ingress Tool Transfer
- T1140 Deobfuscate/Decode Files or Information
- T1543.003 Windows Service
## Used by
- G0032 Lazarus Group
[2] Source: G0099 - APT-C-36
# G0099 - APT-C-36
Type: group | Domain: enterprise-attack | ATT&amp;CK version: 19.2
Aliases: APT-C-36, Blind Eagle, TAG-144, AguilaCiega, APT-Q-98
## Description
[APT-C-36](https://attack.mitre.org/groups/G0099) is a suspected South American threat group that has engaged in espionage and financially motivated operations since at least 2018. [APT-C-36](https://attack.mitre.org/groups/G0099) has targeted government institutions and entities in the financial, energy, and professional manufacturing sectors across Colombia and other Latin American countries.
[3] Source: S0263 - TYPEFRAME
# S0263 - TYPEFRAME
Type: software | Domain: enterprise-attack | ATT&amp;CK version: 19.2
Software type: malware | Aliases: TYPEFRAME | Platforms: Windows
## Description
[TYPEFRAME](https://attack.mitre.org/software/S0263) is a remote access tool that has been used by [Lazarus Group](https://attack.mitre.org/groups/G0032).
## Techniques used
- T1027.011 Fileless Storage
- T1027.013 Encrypted/Encoded File
- T1059.003 Windows Command Shell
- T1059.005 Visual Basic
- T1070.004 File Deletion
- T1083 File and Directory Discovery
- T1090 Proxy
- T1105 Ingress Tool Transfer
- T1112 Modify Registry
- T1140 Deobfuscate/Decode Files or Information
- T1204.002 Malicious File
- T1543.003 Windows Service
- T1571 Non-Standard Port
- T1680 Local Storage Discovery
- T1686.003 Windows Host Firewall
## Used by
- G0032 Lazarus Group
[4] Source: G0032 - Lazarus Group
# G0032 - Lazarus Group
Type: group | Domain: enterprise-attack | ATT&amp;CK version: 19.2
Aliases: Lazarus Group, Labyrinth Chollima, HIDDEN COBRA, Guardians of Peace, ZINC, NICKEL ACADEMY, Diamond Sleet
## Description
[Lazarus Group](https://attack.mitre.org/groups/G0032) is a North Korean state-sponsored cyber threat group attributed to the Reconnaissance General Bureau (RGB).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
[5] Source: G0032 - Lazarus Group
# G0032 - Lazarus Group
Group” as an umbrella term for multiple North Korean cyber operators conducting espionage, destructive attacks, and financially motivated campaigns.
## Techniques used
- T1001.003 Protocol or Service Impersonation
- T1005 Data from Local System
- T1008 Fallback Channels
- T1010 Application Window Discovery
- T1012 Query Registry
- T1016 System Network Configuration Discovery
- T1021.001 Remote Desktop Protocol
- T1021.002 SMB/Windows Admin Shares
- T1021.004 SSH
- T1027.007 Dynamic API Resolution
- T1027.009 Embedded Payloads
- T1027.013 Encrypted/Encoded File
- T1033 System Owner/User Discovery
- T1036.003 Rename Legitimate Utilities
- T1036.004 Masquerade Task or Service
- T1036.005 Match Legitimate Resource Name or Location
- T1041 Exfiltration Over C2 Channel
- T1046 Network Service Discovery
- T1047 Windows Management Instrumentation
- T1048.003 Exfiltration Over Unencrypted Non-C2 Protocol
- T1049 System Network Connections Discovery
- T1053.005 Scheduled Task
- T1055.001 Dynamic-link Library Injection
- T1056.001 Keylogging
- T1057 Process Discovery
- T1059.001 PowerShell
- T1059.003 Windows Command Shell
- T1059.005 Visual Basic
- T1070 Indicator Removal
- T1070.003 Clear Command History
- T1070.004 File Deletion
- T1070.006 Timestomp
- T1071.001 Web Protocols
- T1074.001 Local Data Staging
- T1078 Valid Accounts
- T108
Question: ¿Qué sub-técnicas de intérpretes de comandos (T1059.*) usa Lazarus Group (G0032) según ATT&amp;CK, y qué ataques ha realizado este grupo contra Ecuador?
Answer:</t>
  </si>
  <si>
    <t>Question: ¿Qué sub-técnicas de intérpretes de comandos (T1059.*) usa Lazarus Group (G0032) según ATT&amp;CK, y qué ataques ha realizado este grupo contra Ecuador?
Answer:</t>
  </si>
  <si>
    <t>Context passages:
[1] Source: T1110.003 - Password Spraying
# T1110.003 - Password Spraying
and passwords.
- G1030 Agrius (group): [Agrius](https://attack.mitre.org/groups/G1030) engaged in password spraying via SMB in victim environments.
- G0007 APT28 (group): [APT28](https://attack.mitre.org/groups/G0007) has used a brute-force/password-spray tooling that operated in two modes: in password-spraying mode it conducted approximately four authentication attempts per hour per targeted account over the course of several days or weeks.
[APT28](https://attack.mitre.org/groups/G0007) has also used a Kubernetes cluster to conduct distributed, large-scale password spray attacks.
- G0032 Lazarus Group (group): [Lazarus Group](https://attack.mitre.org/groups/G0032) malware attempts to connect to Windows shares for lateral movement by using a generated list of usernames, which center around permutations of the username Administrator, and weak passwords.
- G1001 HEXANE (group): [HEXANE](https://attack.mitre.org/groups/G1001) has used password spraying attacks to obtain valid credentials.
- G0064 APT33 (group): [APT33](https://attack.mitre.org/groups/G0064) has used password spraying to gain access to target systems.
[2] Source: T1110.003 - Password Spraying
# T1110.003 - Password Spraying
outside defined organization IP ranges. Consider blocking risky authentication requests, such as those originating from anonymizing services/proxies.
## Procedure examples
- C0051 APT28 Nearest Neighbor Campaign (campaign): During [APT28 Nearest Neighbor Campaign](https://attack.mitre.org/campaigns/C0051), [APT28](https://attack.mitre.org/groups/G0007) performed password-spray attacks against public facing services to validate credentials.
- C0055 Quad7 Activity (campaign): [Quad7 Activity](https://attack.mitre.org/campaigns/C0055) has conducted a throttled variant of password spraying techniques that only utilized a single attempt to sign in within a 24-hour time period, eluding brute force detection thresholds.
- G0125 HAFNIUM (group): [HAFNIUM](https://attack.mitre.org/groups/G0125) has gained initial access through password spray attacks.
- G0077 Leafminer (group): [Leafminer](https://attack.mitre.org/groups/G0077) used a tool called Total SMB BruteForcer to perform internal password spraying.
- G0016 APT29 (group): [APT29](https://attack.mitre.org/groups/G0016) has conducted brute force password spray attacks.
[3] Source: T1110.003 - Password Spraying
# T1110.003 - Password Spraying
Type: sub-technique | Domain: enterprise-attack | ATT&amp;CK version: 19.2
Tactics: credential-access
Platforms: Containers, ESXi, IaaS, Identity Provider, Linux, Network Devices, Office Suite, SaaS, Windows, macOS
Sub-technique of: T1110 Brute Force
## Description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Typically, management services over commonly used ports are used when password spraying. Commonly targeted services include the following:
[4] Source: DET0487 - Distributed Password Spraying via Authentication Failures Across Multiple Accounts
# DET0487 - Distributed Password Spraying via Authentication Failures Across Multiple Accounts
Type: detection-strategy | Domain: enterprise-attack | ATT&amp;CK version: 19.2
## Detects techniques
- T1110.003 Password Spraying
[5] Source: C0051 - APT28 Nearest Neighbor Campaign
# C0051 - APT28 Nearest Neighbor Campaign
and wireless network connection) to enable Wi-Fi and use compromised credentials to connect to the victim network.
## Attributed to
- G0007 APT28
## Techniques used
- T1003.002 Security Account Manager
- T1003.003 NTDS
- T1006 Direct Volume Access
- T1016.002 Wi-Fi Discovery
- T1021.001 Remote Desktop Protocol
- T1021.002 SMB/Windows Admin Shares
- T1059.001 PowerShell
- T1059.003 Windows Command Shell
- T1074.001 Local Data Staging
- T1090.001 Internal Proxy
- T1110.003 Password Spraying
- T1140 Deobfuscate/Decode Files or Information
- T1560.001 Archive via Utility
- T1561.001 Disk Content Wipe
- T1567 Exfiltration Over Web Service
- T1584 Compromise Infrastructure
- T1669 Wi-Fi Networks
- T1686.003 Windows Host Firewall
## Software used
- S0108 netsh
- S1205 cipher.exe
Question: According to ATT&amp;CK, how has APT28 (G0007) carried out password spraying (T1110.003)?
Answer:</t>
  </si>
  <si>
    <t>Question: According to ATT&amp;CK, how has APT28 (G0007) carried out password spraying (T1110.003)?
Answer:</t>
  </si>
  <si>
    <t>Context passages:
[1] Source: T1110.003 - Password Spraying
# T1110.003 - Password Spraying
Type: sub-technique | Domain: enterprise-attack | ATT&amp;CK version: 19.2
Tactics: credential-access
Platforms: Containers, ESXi, IaaS, Identity Provider, Linux, Network Devices, Office Suite, SaaS, Windows, macOS
Sub-technique of: T1110 Brute Force
## Description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Typically, management services over commonly used ports are used when password spraying. Commonly targeted services include the following:
[2] Source: DET0487 - Distributed Password Spraying via Authentication Failures Across Multiple Accounts
# DET0487 - Distributed Password Spraying via Authentication Failures Across Multiple Accounts
Type: detection-strategy | Domain: enterprise-attack | ATT&amp;CK version: 19.2
## Detects techniques
- T1110.003 Password Spraying
[3] Source: T1110.003 - Password Spraying
# T1110.003 - Password Spraying
internal password spraying.
- G0016 APT29 (group): [APT29](https://attack.mitre.org/groups/G0016) has conducted brute force password spray attacks.
- G0114 Chimera (group): [Chimera](https://attack.mitre.org/groups/G0114) has used multiple password spraying attacks against victim's remote services to obtain valid user and administrator accounts.
- G0122 Silent Librarian (group): [Silent Librarian](https://attack.mitre.org/groups/G0122) has used collected lists of names and e-mail accounts to use in password spraying attacks against private sector targets.
- G1003 Ember Bear (group): [Ember Bear](https://attack.mitre.org/groups/G1003) has conducted password spraying against Outlook Web Access (OWA) infrastructure to identify valid user names and passwords.
- G1030 Agrius (group): [Agrius](https://attack.mitre.org/groups/G1030) engaged in password spraying via SMB in victim environments.
[4] Source: G0114 - Chimera
# G0114 - Chimera
Transfer
- T1106 Native API
- T1110.003 Password Spraying
- T1110.004 Credential Stuffing
- T1111 Multi-Factor Authentication Interception
- T1114.
ol Transfer
- T1106 Native API
- T1110.003 Password Spraying
- T1110.004 Credential Stuffing
- T1111 Multi-Factor Authentication Interception
- T1114.001 Local Email Collection
- T1114.002 Remote Email Collection
- T1119 Automated Collection
- T1124 System Time Discovery
- T1133 External Remote Services
- T1135 Network Share Discovery
- T1201 Password Policy Discovery
- T1213.002 Sharepoint
- T1217 Browser Information Discovery
- T1482 Domain Trust Discovery
- T1550.002 Pass the Hash
- T1556.001 Domain Controller Authentication
- T1560.001 Archive via Utility
- T1567.002 Exfiltration to Cloud Storage
- T1569.002 Service Execution
- T1570 Lateral Tool Transfer
- T1572 Protocol Tunneling
- T1574.001 DLL
- T1588.002 Tool
- T1589.001 Credentials
- T1680 Local Storage Discovery
- T1685.005 Clear Windows Event Logs
## Software used
- S0029 PsExec
- S0521 BloodHound
- S0404 esentutl
- S0039 Net
- S0002 Mimikatz
- S0154 Cobalt Strike
[5] Source: T1110.002 - Password Cracking
# T1110.002 - Password Cracking
Type: sub-technique | Domain: enterprise-attack | ATT&amp;CK version: 19.2
Tactics: credential-access
Platforms: Identity Provider, Linux, macOS, Network Devices, Office Suite, Windows
Sub-technique of: T1110 Brute Force
## Description
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
Question: ¿Qué mitigaciones recomienda ATT&amp;CK contra Password Spraying (T1110.003) y qué porcentaje de las intrusiones registradas en 2025 comenzó con esta técnica?
Answer:</t>
  </si>
  <si>
    <t>Question: ¿Qué mitigaciones recomienda ATT&amp;CK contra Password Spraying (T1110.003) y qué porcentaje de las intrusiones registradas en 2025 comenzó con esta técnica?
Answer:</t>
  </si>
  <si>
    <t>Context passages:
[1] Source: T1586.002 - Email Accounts
# T1586.002 - Email Accounts
Type: sub-technique | Domain: enterprise-attack | ATT&amp;CK version: 19.2
Tactics: resource-development
Platforms: PRE
Sub-technique of: T1586 Compromise Accounts
## Description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[2] Source: T1566 - Phishing
# T1566 - Phishing
Type: technique | Domain: enterprise-attack | ATT&amp;CK version: 19.2
Tactics: initial-access
Platforms: Identity Provider, Linux, macOS, Office Suite, SaaS, Windows
## Description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[3] Source: T1566 - Phishing
# T1566 - Phishing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 Another way to accomplish this is by [Email Spoofing](https://attack.mitre.org/techniques/T1684/002) the identity of the sender, which can be used to fool both the human recipient as well as automated security tools, or by including the intended target as a party to an existing email thread that includes malicious files or links (i.e., "thread hijacking").
[4] Source: T1585.002 - Email Accounts
# T1585.002 - Email Accounts
Type: sub-technique | Domain: enterprise-attack | ATT&amp;CK version: 19.2
Tactics: resource-development
Platforms: PRE
Sub-technique of: T1585 Establish Accounts
## Description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 Establishing email accounts may also allow adversaries to abuse free services – such as trial periods – to [Acquire Infrastructure](https://attack.mitre.org/techniques/T1583) for follow-on purposes.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
[5] Source: T1566 - Phishing
# T1566 - Phishing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
- M1047 Audit: Perform audits or scans of systems, permissions, insecure software, insecure configurations, etc.
to identify potential weaknesses.
## Sub-techniques
- T1566.002 Spearphishing Link
- T1566.001 Spearphishing Attachment
- T1566.004 Spearphishing Voice
- T1566.003 Spearphishing via Service
## Procedure examples
- G0094 Kimsuky (group): [Kimsuky](https://attack.mitre.org/groups/G0094) has used spearphishing to gain initial access and intelligence.
- G1049 AppleJeus (group): [AppleJeus](https://attack.mitre.org/groups/G1049) has used spearphishing emails to distribute malicious payloads.
- G0069 MuddyWater (group): [MuddyWater](https://attack.mitre.org/groups/G0069) has sent phishing emails to targets from the email address support@microsoftonlines[.]com.
Question: Which mitigations does ATT&amp;CK list for Phishing (T1566), and which commercial email security product does MITRE recommend to implement them?
Answer:</t>
  </si>
  <si>
    <t>Question: Which mitigations does ATT&amp;CK list for Phishing (T1566), and which commercial email security product does MITRE recommend to implement them?
Answer:</t>
  </si>
  <si>
    <t>Context passages:
[1] Source: T1056 - Input Capture
# T1056 - Input Capture
Type: technique | Domain: enterprise-attack | ATT&amp;CK version: 19.2
Tactics: collection, credential-access
Platforms: Linux, macOS, Network Devices, Windows
## Description
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
[2] Source: T1056.003 - Web Portal Capture
# T1056.003 - Web Portal Capture
Type: sub-technique | Domain: enterprise-attack | ATT&amp;CK version: 19.2
Tactics: collection, credential-access
Platforms: Linux, macOS, Windows
Sub-technique of: T1056 Input Capture
## Description
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
[3] Source: T1056.001 - Keylogging
# T1056.001 - Keylogging
Type: sub-technique | Domain: enterprise-attack | ATT&amp;CK version: 19.2
Tactics: collection, credential-access
Platforms: Linux, macOS, Network Devices, Windows
Sub-technique of: T1056 Input Capture
## Description
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
Keylogging is the most prevalent type of input capture, with many different ways of intercepting keystrokes. Some methods include:
[4] Source: DET0102 - Behavioral Detection of Input Capture Across Platforms
# DET0102 - Behavioral Detection of Input Capture Across Platforms
Type: detection-strategy | Domain: enterprise-attack | ATT&amp;CK version: 19.2
## Detects techniques
- T1056 Input Capture
## Analytics
- AN0282 [Windows]: Monitors for abnormal process behavior and API calls like SetWindowsHookEx, GetAsyncKeyState, or device input polling commonly used for keystroke logging.
(log sources: WinEventLog:Security, WinEventLog:Sysmon) | tunable elements: TargetImage - Can be scoped to sensitive GUI processes like explorer.exe or winlogon.exe; TimeWindow - Time threshold for detecting multiple suspicious accesses
- AN0283 [Linux]: Detects use of tools/scripts accessing input devices like /dev/input/* or evdev via suspicious processes lacking GUI context.
(log sources: auditd:SYSCALL) | tunable elements: ProcessName - Unusual process accessing device files; DevicePath - Typically /dev/input/*, but tunable to exact endpoint config
- AN0284 [macOS]: Monitors for TCC-bypassing or unauthorized access to input services like IOHIDSystem or Quartz Event Services used in keylogging or screen monitoring.
[5] Source: T1056.001 - Keylogging
# T1056.001 - Keylogging
to systems.
Keylogging is the most prevalent type of input capture, with many different ways of intercepting keystrokes.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
Question: ¿Qué es la técnica T1417 Input Capture de ATT&amp;CK Mobile y qué mitigaciones propone ATT&amp;CK para ella?
Answer:</t>
  </si>
  <si>
    <t>Question: ¿Qué es la técnica T1417 Input Capture de ATT&amp;CK Mobile y qué mitigaciones propone ATT&amp;CK para ella?
Answer:</t>
  </si>
  <si>
    <t>Context passages:
[1] Source: TA0002 - Execution
# TA0002 - Execution
a network or stealing data. For example, an adversary might use a remote access tool to run a PowerShell script that does Remote System Discovery.
## Techniques in this tactic
- T1047 Windows Management Instrumentation
- T1053 Scheduled Task/Job
- T1059 Command and Scripting Interpreter
- T1072 Software Deployment Tools
- T1106 Native API
- T1127 Trusted Developer Utilities Proxy Execution
- T1129 Shared Modules
- T1197 BITS Jobs
- T1203 Exploitation for Client Execution
- T1204 User Execution
- T1559 Inter-Process Communication
- T1569 System Services
- T1574 Hijack Execution Flow
- T1609 Container Administration Command
- T1610 Deploy Container
- T1648 Serverless Execution
- T1651 Cloud Administration Command
- T1674 Input Injection
- T1675 ESXi Administration Command
- T1677 Poisoned Pipeline Execution
[2] Source: T1683 - Generate Content
# T1683 - Generate Content
detection difficult for defenders.
Detection efforts may be focused on related stages of the adversary lifecycle, such as during Initial Access.
## Mitigations
- M1056 Pre-compromise: This technique cannot be easily mitigated with preventive controls since it is based on behaviors performed outside of the scope of enterprise defenses and controls. Efforts should focus on designing defenses that are not reliant on atomic indicators.
## Sub-techniques
- T1683.001 Written Content
- T1683.002 Audio-Visual Content
## Procedure examples
- C0062 Anthropic AI-orchestrated Campaign (campaign): During the [Anthropic AI-orchestrated Campaign](https://attack.mitre.org/campaigns/C0062), the adversary utilized Claude Code to automatically generate comprehensive documentation throughout the phases of the attack, including discovered services, harvested credentials, sensitive data, exploitation techniques, and complete attack progression.
[3] Source: T1040 - Network Sniffing
# T1040 - Network Sniffing
may perform network captures using [Network Device CLI](https://attack.mitre.org/techniques/T1059/008) commands such as `monitor capture`.
## Detection strategies
- DET0314 Detection Strategy for Network Sniffing Across Platforms
  - AN0875 [Windows]: Detects suspicious execution of network monitoring tools (e.g., Wireshark, tshark, Microsoft Message Analyzer), driver loading indicative of promiscuous mode, or non-admin user privilege escalation to access NICs for capture.
- AN0876 [Linux]: Correlates interface mode changes to promiscuous with execution of sniffing tools like tcpdump, tshark, or custom pcap libraries.
Detects abnormal NIC configurations and unauthorized sniffing from non-root sessions.
- AN0877 [macOS]: Detects enabling of interface sniffing via packet capture tools or AppleScript triggering `tcpdump`.
Leverages Unified Logs and process lineage to identify suspicious use of `pfctl`, `tcpdump`, or `libpcap` libraries.
- AN0878 [IaaS]: Detects creation of traffic mirroring sessions (e.g., AWS VPC Traffic Mirroring, Azure vTAP) that redirect traffic from critical assets to other virtual instances, often followed by file creation or session establishment.
[4] Source: T1552.008 - Chat Messages
# T1552.008 - Chat Messages
Type: sub-technique | Domain: enterprise-attack | ATT&amp;CK version: 19.2
Tactics: credential-access
Platforms: SaaS, Office Suite
Sub-technique of: T1552 Unsecured Credentials
## Description
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[5] Source: TA0011 - Command and Control
# TA0011 - Command and Control
Type: tactic | Domain: enterprise-attack | ATT&amp;CK version: 19.2
Shortname: command-and-control
## Description
The adversary is trying to communicate with compromised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
## Techniques in this tactic
- T1001 Data Obfuscation
- T1008 Fallback Channels
- T1071 Application Layer Protocol
- T1090 Proxy
- T1092 Communication Through Removable Media
- T1095 Non-Application Layer Protocol
- T1102 Web Service
- T1104 Multi-Stage Channels
- T1105 Ingress Tool Transfer
- T1132 Data Encoding
- T1205 Traffic Signaling
- T1219 Remote Access Tools
- T1568 Dynamic Resolution
- T1571 Non-Standard Port
- T1572 Protocol Tunneling
- T1573 Encrypted Channel
- T1659 Content Injection
- T1665 Hide Infrastructure
Question: Which ICS tactic does T0855 Unauthorized Command Message belong to and which assets does it target?
Answer:</t>
  </si>
  <si>
    <t>Question: Which ICS tactic does T0855 Unauthorized Command Message belong to and which assets does it target?
Answer:</t>
  </si>
  <si>
    <t>Context passages:
[1] Source: C0026 - C0026
# C0026 - C0026
Type: campaign | Domain: enterprise-attack | ATT&amp;CK version: 19.2
Aliases: C0026 | First seen: 2022-08-01 | Last seen: 2022-09-01
## Description
[C0026](https://attack.mitre.org/campaigns/C0026) was a campaign identified in September 2022 that included the selective distribution of [KOPILUWAK](https://attack.mitre.org/software/S1075) and [QUIETCANARY](https://attack.mitre.org/software/S1076) malware to previous [ANDROMEDA](https://attack.mitre.org/software/S1074) malware victims in Ukraine through re-registered [ANDROMEDA](https://attack.mitre.org/software/S1074) C2 domains. Several tools and tactics used during [C0026](https://attack.mitre.org/campaigns/C0026) were consistent with historic [Turla](https://attack.mitre.org/groups/G0010) operations.
## Techniques used
- T1005 Data from Local System
- T1030 Data Transfer Size Limits
- T1105 Ingress Tool Transfer
- T1560.001 Archive via Utility
- T1568 Dynamic Resolution
- T1583.001 Domains
## Software used
- S0039 Net
- S1074 ANDROMEDA
- S1076 QUIETCANARY
- S0104 netstat
- S1075 KOPILUWAK
- S0099 Arp
[2] Source: S9044 - Kali365
# S9044 - Kali365
Type: software | Domain: enterprise-attack | ATT&amp;CK version: 19.2
Software type: malware | Aliases: Kali365 | Platforms: IaaS, macOS, Windows
## Description
[Kali365](https://attack.mitre.org/software/S9044) is a Phishing-as-a-Service (PHaaS) kit first observed in April 2026 that generates victim-targeted lures across multiple operating systems to induce users into copying and pasting actor-controlled commands for local execution.  [Kali365](https://attack.mitre.org/software/S9044) incorporates on-demand device code generation and mirrors the copy-paste execution tradecraft associated with ClickFix. Operators have used [Kali365](https://attack.mitre.org/software/S9044) to harvest victims' OAuth tokens and session cookies through adversary-in-the-middle (AiTM) interception, enabling account takeover.  [Kali365](https://attack.mitre.org/software/S9044) PHaaS was first observed in April 2026.  [Kali365](https://attack.mitre.org/software/S9044) has also been affiliated with other branding to include Octopi365 and Freedom365.
[3] Source: S9042 - CanisterWorm
# S9042 - CanisterWorm
Type: software | Domain: enterprise-attack | ATT&amp;CK version: 19.2
Software type: malware | Aliases: CanisterWorm | Platforms: Containers, Linux
## Description
[CanisterWorm](https://attack.mitre.org/software/S9042) is a self-propagating malware that has been used by [TeamPCP](https://attack.mitre.org/groups/G1056) in credential harvesting and software supply chain campaigns since at least 2026. [CanisterWorm](https://attack.mitre.org/software/S9042) has used npm credentials to infect software packages and propagate across developer ecosystems. [CanisterWorm](https://attack.mitre.org/software/S9042) has a targeted wiper component and can use decentralized C2 infrastructure implemented via an Internet Computer Protocol (ICP) blockchain canister.
[4] Source: T1608.004 - Drive-by Target
# T1608.004 - Drive-by Target
Type: sub-technique | Domain: enterprise-attack | ATT&amp;CK version: 19.2
Tactics: resource-development
Platforms: PRE
Sub-technique of: T1608 Stage Capabilities
[5] Source: S9041 - TeamPCP Cloud Stealer
# S9041 - TeamPCP Cloud Stealer
Type: software | Domain: enterprise-attack | ATT&amp;CK version: 19.2
Software type: malware | Aliases: TeamPCP Cloud Stealer, SANDCLOCK | Platforms: Containers, Linux, macOS, SaaS, Windows
## Description
The [TeamPCP Cloud Stealer](https://attack.mitre.org/software/S9041) is a comprehensive filesystem credential stealer that can harvest, encrypt, and exfiltrate credentials from over 50 sensitive file paths across CI/CD, cloud, developer tooling, and container environments. The [TeamPCP Cloud Stealer](https://attack.mitre.org/software/S9041) was the primary payload used by [TeamPCP](https://attack.mitre.org/groups/G1056) in March 2026 during early stages of a cascading supply chain campaign targeting CI/CD workflows.
Question: ¿Cuál fue la técnica ATT&amp;CK más utilizada por los atacantes a nivel mundial durante 2026?
Answer:</t>
  </si>
  <si>
    <t>Question: ¿Cuál fue la técnica ATT&amp;CK más utilizada por los atacantes a nivel mundial durante 2026?
Answer:</t>
  </si>
  <si>
    <t>Context passages:
[1] Source: M1031 - Network Intrusion Prevention
# M1031 - Network Intrusion Prevention
| Domain: enterprise-attack | ATT&amp;CK version: 19.2
## Description
Use intrusion detection signatures to block traffic at network boundaries.
## Techniques mitigated
- T1001 Data Obfuscation
- T1001.001 Junk Data
- T1001.002 Steganography
- T1001.003 Protocol or Service Impersonation
- T1008 Fallback Channels
- T1029 Scheduled Transfer
- T1030 Data Transfer Size Limits
- T1041 Exfiltration Over C2 Channel
- T1046 Network Service Discovery
- T1048 Exfiltration Over Alternative Protocol
- T1048.001 Exfiltration Over Symmetric Encrypted Non-C2 Protocol
- T1048.002 Exfiltration Over Asymmetric Encrypted Non-C2 Protocol
- T1048.003 Exfiltration Over Unencrypted Non-C2 Protocol
- T1071 Application Layer Protocol
- T1071.001 Web Protocols
- T1071.002 File Transfer Protocols
- T1071.003 Mail Protocols
- T1071.004 DNS
- T1071.005 Publish/Subscribe Protocols
- T1090 Proxy
- T1090.001 Internal Proxy
- T1090.002 External Proxy
- T1095 Non-Application Layer Protocol
- T1102 Web Service
- T1102.001 Dead Drop Resolver
- T1102.002 Bidirectional Communication
- T1102.003 One-Way Communication
- T1104 Multi-Stage Channels
- T1105 Ingress Tool Transfer
- T1132 Data Encoding
- T1132.001 Standard Encoding
- T1132.002 Non-Standard Encoding
- T1204 User Execution
- T1204.001 Malicious Link
- T1204.003 Malicious Image
- T1204.004 Malicious Copy
[2] Source: T1555.006 - Cloud Secrets Management Stores
# T1555.006 - Cloud Secrets Management Stores
Type: sub-technique | Domain: enterprise-attack | ATT&amp;CK version: 19.2
Tactics: credential-access
Platforms: IaaS
Sub-technique of: T1555 Credentials from Password Stores
## Description
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
[3] Source: T1059.010 - AutoHotKey &amp; AutoIT
# T1059.010 - AutoHotKey &amp; AutoIT
Type: sub-technique | Domain: enterprise-attack | ATT&amp;CK version: 19.2
Tactics: execution
Platforms: Windows
Sub-technique of: T1059 Command and Scripting Interpreter
## Description
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
These scripts may also be compiled into self-contained executable payloads (`.exe`).
[4] Source: DC0095 - Volume Enumeration
# DC0095 - Volume Enumeration
Type: data-component | Domain: enterprise-attack | ATT&amp;CK version: 19.2
Data source: n/a | Platforms: n/a
## Description
An extracted list of available volumes within a cloud environment (ex: AWS describe-volumes)
[5] Source: T1059.009 - Cloud API
# T1059.009 - Cloud API
Type: sub-technique | Domain: enterprise-attack | ATT&amp;CK version: 19.2
Tactics: execution
Platforms: IaaS, Identity Provider, Office Suite, SaaS
Sub-technique of: T1059 Command and Scripting Interpreter
## Description
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Question: ¿Qué describe la sub-técnica T1059.099 de ATT&amp;CK y a qué táctica pertenece?
Answer:</t>
  </si>
  <si>
    <t>Question: ¿Qué describe la sub-técnica T1059.099 de ATT&amp;CK y a qué táctica pertenece?
Answer:</t>
  </si>
  <si>
    <t>embed_model</t>
  </si>
  <si>
    <t>granite-embedding:30m</t>
  </si>
  <si>
    <t>CORPUS (data/manifest.json)</t>
  </si>
  <si>
    <t>created_at</t>
  </si>
  <si>
    <t>2026-09-12T16:14:31.631478+00:00</t>
  </si>
  <si>
    <t>collection</t>
  </si>
  <si>
    <t>mitre_attack</t>
  </si>
  <si>
    <t>embed_dim</t>
  </si>
  <si>
    <t>doc_prefix</t>
  </si>
  <si>
    <t>query_prefix</t>
  </si>
  <si>
    <t>chunk_size</t>
  </si>
  <si>
    <t>chunk_overlap</t>
  </si>
  <si>
    <t>domains</t>
  </si>
  <si>
    <t>["enterprise-attack"]</t>
  </si>
  <si>
    <t>attack_versions</t>
  </si>
  <si>
    <t>{"enterprise-attack": "19.2"}</t>
  </si>
  <si>
    <t>n_documents</t>
  </si>
  <si>
    <t>n_chunks</t>
  </si>
  <si>
    <t>points_count</t>
  </si>
  <si>
    <t>elapsed_s</t>
  </si>
  <si>
    <t>TRAZABILIDAD</t>
  </si>
  <si>
    <t>questions.jsonl (diseño y gold) -&gt; config.json (corrida) -&gt; traces.jsonl (registro primario: contextos, prompt, tokens, tiempos) -&gt; calificacion.xlsx (esta vista + notas manuales). point_id enlaza con data/chunks.jsonl; doc_id/url con documents.jsonl y attack.mitre.org.</t>
  </si>
  <si>
    <t>Configuración</t>
  </si>
  <si>
    <t>Cómo usar</t>
  </si>
  <si>
    <t>N0 corpus</t>
  </si>
  <si>
    <t>N1 recuperación</t>
  </si>
  <si>
    <t>N2 respuesta</t>
  </si>
  <si>
    <t>N3 citas</t>
  </si>
  <si>
    <t>Comparación</t>
  </si>
  <si>
    <t>Métrica</t>
  </si>
  <si>
    <t>Respuestas calificadas (N2 no vacío)</t>
  </si>
  <si>
    <t>Promedio N2 respuesta (0-2)</t>
  </si>
  <si>
    <t>Promedio N3 citas (0-2)</t>
  </si>
  <si>
    <t>N1 hit@k (gold en top-k, preguntas completas/parciales)</t>
  </si>
  <si>
    <t>Diagnóstico</t>
  </si>
  <si>
    <t>OK</t>
  </si>
  <si>
    <t>E0-corpus</t>
  </si>
  <si>
    <t>E1-recuperacion</t>
  </si>
  <si>
    <t>E2-generacion</t>
  </si>
  <si>
    <t>E3-citas</t>
  </si>
  <si>
    <t xml:space="preserve">Modelo </t>
  </si>
  <si>
    <t>Toggle</t>
  </si>
  <si>
    <t>Detalle</t>
  </si>
  <si>
    <t>qwen3:4b</t>
  </si>
  <si>
    <t>Off</t>
  </si>
  <si>
    <t>On</t>
  </si>
  <si>
    <t>Respuesta directa</t>
  </si>
  <si>
    <t>Idéntico. No-op silencioso</t>
  </si>
  <si>
    <t>Razonamiento limpio y separado en el campo thinking</t>
  </si>
  <si>
    <t>Roto. El razonamiento se filtra dentro de content</t>
  </si>
  <si>
    <t>RAG vs LLM: compara la columna N2 de las dos filas de la misma pregunta. 
Si RAG &gt; LLM, la recuperación aportó; 
si RAG &lt; LLM, el contexto perjudicó (ruido) o el modelo se ancló mal.</t>
  </si>
  <si>
    <r>
      <rPr>
        <b/>
        <sz val="11"/>
        <color rgb="FF00B050"/>
        <rFont val="Calibri"/>
        <family val="2"/>
        <scheme val="minor"/>
      </rPr>
      <t>completa</t>
    </r>
    <r>
      <rPr>
        <sz val="11"/>
        <color theme="1"/>
        <rFont val="Calibri"/>
        <family val="2"/>
        <scheme val="minor"/>
      </rPr>
      <t xml:space="preserve"> = toda la respuesta está en el corpus · 
</t>
    </r>
    <r>
      <rPr>
        <b/>
        <sz val="11"/>
        <color rgb="FFFFC000"/>
        <rFont val="Calibri"/>
        <family val="2"/>
        <scheme val="minor"/>
      </rPr>
      <t>parcial</t>
    </r>
    <r>
      <rPr>
        <sz val="11"/>
        <color theme="1"/>
        <rFont val="Calibri"/>
        <family val="2"/>
        <scheme val="minor"/>
      </rPr>
      <t xml:space="preserve"> = una parte sí y otra no · 
</t>
    </r>
    <r>
      <rPr>
        <b/>
        <sz val="11"/>
        <color rgb="FFFF0000"/>
        <rFont val="Calibri"/>
        <family val="2"/>
        <scheme val="minor"/>
      </rPr>
      <t>nula</t>
    </r>
    <r>
      <rPr>
        <sz val="11"/>
        <color theme="1"/>
        <rFont val="Calibri"/>
        <family val="2"/>
        <scheme val="minor"/>
      </rPr>
      <t xml:space="preserve"> = nada está. Viene del diseño de la pregunta; no se modifica.</t>
    </r>
  </si>
  <si>
    <t>Sólo modo RAG. 
SI = al menos un fragmento gold apareció entre los top-k; 
rango = posición del primero. Calculado automáticamente con los gold_point_ids de la pregunta.</t>
  </si>
  <si>
    <t>2 = correcta y completa respecto a la referencia · 
1 = a medias (omite algo relevante o mezcla algo inventado con lo correcto) · 
0 = incorrecta o inventada.
Pregunta NULA: 2 = se abstuvo ('el contexto no contiene...') · 
                               0 = inventó una respuesta.
Pregunta PARCIAL: 2 = responde la parte disponible Y se abstiene de la otra · 
                                     1 = responde bien la parte disponible pero inventa la otra · 
                                     0 = inventa o erra la parte disponible.</t>
  </si>
  <si>
    <t>Sólo modo RAG. 
2 = cada afirmación tiene cita [n] y el fragmento n realmente la sostiene · 
1 = alguna afirmación sin cita, o alguna cita apunta a un fragmento que no dice eso · 
0 = sin citas o citas equivocadas. Si el sistema se abstuvo correctamente, N3 = N/A.</t>
  </si>
  <si>
    <t>modelo=qwen3:4b-instruct · 
recuperación=hybrid · 
top_k=5 · 
temperatura=0.0 · 
embeddings=granite-embedding:30m</t>
  </si>
  <si>
    <t>Una fila por pregunta y modo. Las columnas verdes vienen calculadas; 
Por llenar sólo las amarillas (N2, N3, DIAGNOSTICO) y el comentario. Para verificar citas [n], busca la fila en la hoja 'Contextos' con el mismo id y rango n.</t>
  </si>
  <si>
    <t>ES</t>
  </si>
  <si>
    <t>ENG</t>
  </si>
  <si>
    <t>Es totalmente respondible</t>
  </si>
  <si>
    <t>El PRIMER eslabón que falló, en este orden:
OK = sin error relevante.
E0-corpus = la info no estaba en el corpus y el sistema NO se abstuvo (inventó).
E1-recuperacion = la info estaba (completa/parcial) pero el fragmento gold no llegó (N1 = NO) y la respuesta sufrió por ello.
E2-generacion = el fragmento gold llegó (N1 = SI) y aun así N2 &lt; 2.
E3-citas = respuesta correcta (N2 = 2) pero N3 &lt; 2.
Modo LLM: sólo puede ser OK, 
                     E0-corpus (inventó en nula/parcial) o 
                     E2-generacion.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</si>
</sst>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name val="Calibri"/>
    </font>
    <font>
      <b/>
      <sz val="11"/>
      <color rgb="FF00B050"/>
      <name val="Calibri"/>
      <family val="2"/>
      <scheme val="minor"/>
    </font>
    <font>
      <b/>
      <sz val="11"/>
      <color rgb="FFFFC000"/>
      <name val="Calibri"/>
      <family val="2"/>
      <scheme val="minor"/>
    </font>
    <font>
      <b/>
      <sz val="11"/>
      <color rgb="FFFF0000"/>
      <name val="Calibri"/>
      <family val="2"/>
      <scheme val="minor"/>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FFF2CC"/>
      </patternFill>
    </fill>
    <fill>
      <patternFill patternType="solid">
        <fgColor theme="3" tint="0.79998168889431442"/>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s>
  <cellStyleXfs count="1">
    <xf numFmtId="0" fontId="0" fillId="0" borderId="0"/>
  </cellStyleXfs>
  <cellXfs count="40">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3" borderId="0" xfId="0" applyFill="1" applyAlignment="1">
      <alignment vertical="top" wrapText="1"/>
    </xf>
    <xf numFmtId="0" fontId="0" fillId="3" borderId="0" xfId="0" applyFill="1"/>
    <xf numFmtId="0" fontId="2" fillId="0" borderId="0" xfId="0" applyFont="1"/>
    <xf numFmtId="0" fontId="0" fillId="0" borderId="1" xfId="0" applyBorder="1"/>
    <xf numFmtId="0" fontId="0" fillId="0" borderId="2" xfId="0" applyBorder="1"/>
    <xf numFmtId="0" fontId="0" fillId="0" borderId="2" xfId="0" applyBorder="1" applyAlignment="1">
      <alignment vertical="top" wrapText="1"/>
    </xf>
    <xf numFmtId="0" fontId="0" fillId="0" borderId="3" xfId="0" applyBorder="1" applyAlignment="1">
      <alignment vertical="top" wrapText="1"/>
    </xf>
    <xf numFmtId="0" fontId="0" fillId="0" borderId="4" xfId="0" applyBorder="1"/>
    <xf numFmtId="0" fontId="0" fillId="0" borderId="5" xfId="0" applyBorder="1"/>
    <xf numFmtId="0" fontId="0" fillId="0" borderId="5" xfId="0" applyBorder="1" applyAlignment="1">
      <alignment vertical="top" wrapText="1"/>
    </xf>
    <xf numFmtId="0" fontId="0" fillId="0" borderId="6" xfId="0" applyBorder="1" applyAlignment="1">
      <alignment vertical="top"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wrapText="1"/>
    </xf>
    <xf numFmtId="0" fontId="0" fillId="0" borderId="1" xfId="0" applyBorder="1" applyAlignment="1">
      <alignment vertical="top" wrapText="1"/>
    </xf>
    <xf numFmtId="0" fontId="0" fillId="3" borderId="2" xfId="0" applyFill="1" applyBorder="1" applyAlignment="1">
      <alignment vertical="top" wrapText="1"/>
    </xf>
    <xf numFmtId="0" fontId="0" fillId="4" borderId="2" xfId="0" applyFill="1" applyBorder="1" applyAlignment="1">
      <alignment vertical="top" wrapText="1"/>
    </xf>
    <xf numFmtId="0" fontId="0" fillId="0" borderId="4" xfId="0" applyBorder="1" applyAlignment="1">
      <alignment vertical="top" wrapText="1"/>
    </xf>
    <xf numFmtId="0" fontId="0" fillId="3" borderId="5" xfId="0" applyFill="1" applyBorder="1" applyAlignment="1">
      <alignment vertical="top" wrapText="1"/>
    </xf>
    <xf numFmtId="0" fontId="0" fillId="4" borderId="5" xfId="0" applyFill="1" applyBorder="1" applyAlignment="1">
      <alignment vertical="top" wrapText="1"/>
    </xf>
    <xf numFmtId="0" fontId="0" fillId="0" borderId="0" xfId="0" applyBorder="1" applyAlignment="1">
      <alignment vertical="top" wrapText="1"/>
    </xf>
    <xf numFmtId="0" fontId="0" fillId="0" borderId="8" xfId="0" applyBorder="1" applyAlignment="1">
      <alignment vertical="top" wrapText="1"/>
    </xf>
    <xf numFmtId="0" fontId="0" fillId="3" borderId="0" xfId="0" applyFill="1" applyBorder="1" applyAlignment="1">
      <alignment vertical="top" wrapText="1"/>
    </xf>
    <xf numFmtId="0" fontId="0" fillId="4" borderId="0" xfId="0" applyFill="1" applyBorder="1" applyAlignment="1">
      <alignment vertical="top" wrapText="1"/>
    </xf>
    <xf numFmtId="0" fontId="0" fillId="0" borderId="9" xfId="0" applyBorder="1" applyAlignment="1">
      <alignment vertical="top" wrapText="1"/>
    </xf>
    <xf numFmtId="0" fontId="2" fillId="0" borderId="0" xfId="0" applyFont="1" applyAlignment="1">
      <alignment vertical="top"/>
    </xf>
    <xf numFmtId="0" fontId="0" fillId="5" borderId="3" xfId="0" applyFill="1" applyBorder="1" applyAlignment="1">
      <alignment vertical="top" wrapText="1"/>
    </xf>
    <xf numFmtId="0" fontId="0" fillId="5" borderId="9" xfId="0" applyFill="1" applyBorder="1" applyAlignment="1">
      <alignment vertical="top" wrapText="1"/>
    </xf>
    <xf numFmtId="0" fontId="2" fillId="5" borderId="10" xfId="0" applyFont="1" applyFill="1" applyBorder="1" applyAlignment="1">
      <alignment vertical="top" wrapText="1"/>
    </xf>
    <xf numFmtId="0" fontId="2" fillId="5" borderId="11" xfId="0" applyFont="1" applyFill="1" applyBorder="1" applyAlignment="1">
      <alignment vertical="top" wrapText="1"/>
    </xf>
    <xf numFmtId="0" fontId="2" fillId="0" borderId="7" xfId="0" applyFont="1" applyBorder="1" applyAlignment="1">
      <alignment vertical="top" wrapText="1"/>
    </xf>
    <xf numFmtId="0" fontId="0" fillId="0" borderId="12" xfId="0" applyBorder="1" applyAlignment="1">
      <alignment vertical="top"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3" borderId="2" xfId="0" applyFill="1" applyBorder="1" applyAlignment="1">
      <alignment horizontal="center" vertical="center" wrapText="1"/>
    </xf>
    <xf numFmtId="0" fontId="0" fillId="3" borderId="5"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75082B-284F-4DB8-87F9-3B9A80E74188}" name="Tabla6" displayName="Tabla6" ref="A1:C5" totalsRowShown="0">
  <autoFilter ref="A1:C5" xr:uid="{F675082B-284F-4DB8-87F9-3B9A80E74188}"/>
  <tableColumns count="3">
    <tableColumn id="1" xr3:uid="{7DDCCAF6-3859-4E90-8CD2-FF862B690366}" name="Modelo "/>
    <tableColumn id="2" xr3:uid="{88A18DB2-7593-42B6-B4CA-BE335EB60BAD}" name="Toggle"/>
    <tableColumn id="3" xr3:uid="{2B2FA513-B783-47C3-8D05-7AD9C1769152}" name="Detal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
  <sheetViews>
    <sheetView zoomScale="115" zoomScaleNormal="115" workbookViewId="0">
      <selection activeCell="B1" sqref="B1"/>
    </sheetView>
  </sheetViews>
  <sheetFormatPr baseColWidth="10" defaultColWidth="9.140625" defaultRowHeight="15" x14ac:dyDescent="0.25"/>
  <cols>
    <col min="1" max="1" width="16.140625" customWidth="1"/>
    <col min="2" max="2" width="104.28515625" customWidth="1"/>
  </cols>
  <sheetData>
    <row r="1" spans="1:2" ht="75.75" thickBot="1" x14ac:dyDescent="0.3">
      <c r="A1" s="32" t="s">
        <v>570</v>
      </c>
      <c r="B1" s="30" t="s">
        <v>603</v>
      </c>
    </row>
    <row r="2" spans="1:2" ht="45.75" thickBot="1" x14ac:dyDescent="0.3">
      <c r="A2" s="34" t="s">
        <v>571</v>
      </c>
      <c r="B2" s="35" t="s">
        <v>604</v>
      </c>
    </row>
    <row r="3" spans="1:2" ht="45.75" thickBot="1" x14ac:dyDescent="0.3">
      <c r="A3" s="33" t="s">
        <v>572</v>
      </c>
      <c r="B3" s="31" t="s">
        <v>599</v>
      </c>
    </row>
    <row r="4" spans="1:2" ht="45.75" thickBot="1" x14ac:dyDescent="0.3">
      <c r="A4" s="34" t="s">
        <v>573</v>
      </c>
      <c r="B4" s="35" t="s">
        <v>600</v>
      </c>
    </row>
    <row r="5" spans="1:2" ht="120.75" thickBot="1" x14ac:dyDescent="0.3">
      <c r="A5" s="33" t="s">
        <v>574</v>
      </c>
      <c r="B5" s="31" t="s">
        <v>601</v>
      </c>
    </row>
    <row r="6" spans="1:2" ht="60.75" thickBot="1" x14ac:dyDescent="0.3">
      <c r="A6" s="34" t="s">
        <v>575</v>
      </c>
      <c r="B6" s="35" t="s">
        <v>602</v>
      </c>
    </row>
    <row r="7" spans="1:2" ht="154.5" customHeight="1" thickBot="1" x14ac:dyDescent="0.3">
      <c r="A7" s="33" t="s">
        <v>13</v>
      </c>
      <c r="B7" s="31" t="s">
        <v>608</v>
      </c>
    </row>
    <row r="8" spans="1:2" ht="60.75" thickBot="1" x14ac:dyDescent="0.3">
      <c r="A8" s="34" t="s">
        <v>576</v>
      </c>
      <c r="B8" s="35" t="s">
        <v>598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7"/>
  <sheetViews>
    <sheetView tabSelected="1" workbookViewId="0">
      <pane xSplit="2" ySplit="1" topLeftCell="C2" activePane="bottomRight" state="frozen"/>
      <selection pane="topRight"/>
      <selection pane="bottomLeft"/>
      <selection pane="bottomRight" activeCell="A2" sqref="A2"/>
    </sheetView>
  </sheetViews>
  <sheetFormatPr baseColWidth="10" defaultColWidth="9.140625" defaultRowHeight="15" x14ac:dyDescent="0.25"/>
  <cols>
    <col min="1" max="2" width="6" customWidth="1"/>
    <col min="3" max="3" width="7" customWidth="1"/>
    <col min="4" max="4" width="11" customWidth="1"/>
    <col min="5" max="5" width="45" customWidth="1"/>
    <col min="6" max="6" width="55" customWidth="1"/>
    <col min="7" max="7" width="30" customWidth="1"/>
    <col min="8" max="8" width="70" customWidth="1"/>
    <col min="9" max="9" width="11" customWidth="1"/>
    <col min="10" max="10" width="9" customWidth="1"/>
    <col min="11" max="11" width="28" customWidth="1"/>
    <col min="12" max="13" width="11" customWidth="1"/>
    <col min="14" max="14" width="16" customWidth="1"/>
    <col min="15" max="17" width="40" customWidth="1"/>
  </cols>
  <sheetData>
    <row r="1" spans="1:17" ht="4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65" customHeight="1" x14ac:dyDescent="0.25">
      <c r="A2" s="18" t="s">
        <v>17</v>
      </c>
      <c r="B2" s="8" t="s">
        <v>18</v>
      </c>
      <c r="C2" s="8" t="s">
        <v>605</v>
      </c>
      <c r="D2" s="38" t="s">
        <v>19</v>
      </c>
      <c r="E2" s="36" t="s">
        <v>20</v>
      </c>
      <c r="F2" s="36" t="s">
        <v>21</v>
      </c>
      <c r="G2" s="36" t="s">
        <v>607</v>
      </c>
      <c r="H2" s="8" t="s">
        <v>23</v>
      </c>
      <c r="I2" s="19" t="s">
        <v>24</v>
      </c>
      <c r="J2" s="19" t="s">
        <v>22</v>
      </c>
      <c r="K2" s="19" t="s">
        <v>25</v>
      </c>
      <c r="L2" s="20">
        <v>0</v>
      </c>
      <c r="M2" s="20" t="s">
        <v>31</v>
      </c>
      <c r="N2" s="20" t="s">
        <v>585</v>
      </c>
      <c r="O2" s="8"/>
      <c r="P2" s="8" t="s">
        <v>26</v>
      </c>
      <c r="Q2" s="9" t="s">
        <v>27</v>
      </c>
    </row>
    <row r="3" spans="1:17" ht="219.95" customHeight="1" thickBot="1" x14ac:dyDescent="0.3">
      <c r="A3" s="21" t="s">
        <v>17</v>
      </c>
      <c r="B3" s="12" t="s">
        <v>28</v>
      </c>
      <c r="C3" s="12" t="s">
        <v>605</v>
      </c>
      <c r="D3" s="39"/>
      <c r="E3" s="37"/>
      <c r="F3" s="37"/>
      <c r="G3" s="37"/>
      <c r="H3" s="12" t="s">
        <v>29</v>
      </c>
      <c r="I3" s="22" t="s">
        <v>30</v>
      </c>
      <c r="J3" s="22" t="s">
        <v>31</v>
      </c>
      <c r="K3" s="22" t="s">
        <v>31</v>
      </c>
      <c r="L3" s="23">
        <v>0</v>
      </c>
      <c r="M3" s="23" t="s">
        <v>31</v>
      </c>
      <c r="N3" s="23" t="s">
        <v>586</v>
      </c>
      <c r="O3" s="12"/>
      <c r="P3" s="12" t="s">
        <v>26</v>
      </c>
      <c r="Q3" s="13" t="s">
        <v>31</v>
      </c>
    </row>
    <row r="4" spans="1:17" ht="219.95" customHeight="1" x14ac:dyDescent="0.25">
      <c r="A4" s="18" t="s">
        <v>32</v>
      </c>
      <c r="B4" s="8" t="s">
        <v>18</v>
      </c>
      <c r="C4" s="8" t="s">
        <v>606</v>
      </c>
      <c r="D4" s="19" t="s">
        <v>19</v>
      </c>
      <c r="E4" s="36" t="s">
        <v>33</v>
      </c>
      <c r="F4" s="8" t="s">
        <v>34</v>
      </c>
      <c r="G4" s="8" t="s">
        <v>607</v>
      </c>
      <c r="H4" s="8" t="s">
        <v>35</v>
      </c>
      <c r="I4" s="19" t="s">
        <v>36</v>
      </c>
      <c r="J4" s="19">
        <v>2</v>
      </c>
      <c r="K4" s="19" t="s">
        <v>37</v>
      </c>
      <c r="L4" s="20">
        <v>1</v>
      </c>
      <c r="M4" s="20">
        <v>1</v>
      </c>
      <c r="N4" s="20" t="s">
        <v>585</v>
      </c>
      <c r="O4" s="8"/>
      <c r="P4" s="8" t="s">
        <v>38</v>
      </c>
      <c r="Q4" s="9" t="s">
        <v>39</v>
      </c>
    </row>
    <row r="5" spans="1:17" ht="219.95" customHeight="1" thickBot="1" x14ac:dyDescent="0.3">
      <c r="A5" s="21" t="s">
        <v>32</v>
      </c>
      <c r="B5" s="12" t="s">
        <v>28</v>
      </c>
      <c r="C5" s="12" t="s">
        <v>606</v>
      </c>
      <c r="D5" s="22" t="s">
        <v>19</v>
      </c>
      <c r="E5" s="37"/>
      <c r="F5" s="12" t="s">
        <v>34</v>
      </c>
      <c r="G5" s="12" t="s">
        <v>607</v>
      </c>
      <c r="H5" s="12" t="s">
        <v>40</v>
      </c>
      <c r="I5" s="22" t="s">
        <v>30</v>
      </c>
      <c r="J5" s="22" t="s">
        <v>31</v>
      </c>
      <c r="K5" s="22" t="s">
        <v>31</v>
      </c>
      <c r="L5" s="23">
        <v>0</v>
      </c>
      <c r="M5" s="23" t="s">
        <v>31</v>
      </c>
      <c r="N5" s="23" t="s">
        <v>586</v>
      </c>
      <c r="O5" s="12"/>
      <c r="P5" s="12" t="s">
        <v>38</v>
      </c>
      <c r="Q5" s="13" t="s">
        <v>31</v>
      </c>
    </row>
    <row r="6" spans="1:17" ht="123.75" customHeight="1" x14ac:dyDescent="0.25">
      <c r="A6" s="18" t="s">
        <v>41</v>
      </c>
      <c r="B6" s="8" t="s">
        <v>18</v>
      </c>
      <c r="C6" s="8" t="s">
        <v>605</v>
      </c>
      <c r="D6" s="19" t="s">
        <v>19</v>
      </c>
      <c r="E6" s="36" t="s">
        <v>42</v>
      </c>
      <c r="F6" s="8" t="s">
        <v>43</v>
      </c>
      <c r="G6" s="8" t="s">
        <v>607</v>
      </c>
      <c r="H6" s="8" t="s">
        <v>44</v>
      </c>
      <c r="I6" s="19" t="s">
        <v>36</v>
      </c>
      <c r="J6" s="19">
        <v>1</v>
      </c>
      <c r="K6" s="19" t="s">
        <v>45</v>
      </c>
      <c r="L6" s="20">
        <v>2</v>
      </c>
      <c r="M6" s="20">
        <v>2</v>
      </c>
      <c r="N6" s="20" t="s">
        <v>583</v>
      </c>
      <c r="O6" s="8"/>
      <c r="P6" s="8" t="s">
        <v>46</v>
      </c>
      <c r="Q6" s="9" t="s">
        <v>47</v>
      </c>
    </row>
    <row r="7" spans="1:17" ht="219.95" customHeight="1" thickBot="1" x14ac:dyDescent="0.3">
      <c r="A7" s="21" t="s">
        <v>41</v>
      </c>
      <c r="B7" s="12" t="s">
        <v>28</v>
      </c>
      <c r="C7" s="12" t="s">
        <v>605</v>
      </c>
      <c r="D7" s="22" t="s">
        <v>19</v>
      </c>
      <c r="E7" s="37"/>
      <c r="F7" s="12" t="s">
        <v>43</v>
      </c>
      <c r="G7" s="12" t="s">
        <v>607</v>
      </c>
      <c r="H7" s="12" t="s">
        <v>48</v>
      </c>
      <c r="I7" s="22" t="s">
        <v>30</v>
      </c>
      <c r="J7" s="22" t="s">
        <v>31</v>
      </c>
      <c r="K7" s="22" t="s">
        <v>31</v>
      </c>
      <c r="L7" s="23">
        <v>1</v>
      </c>
      <c r="M7" s="23" t="s">
        <v>31</v>
      </c>
      <c r="N7" s="23" t="s">
        <v>586</v>
      </c>
      <c r="O7" s="12"/>
      <c r="P7" s="12" t="s">
        <v>46</v>
      </c>
      <c r="Q7" s="13" t="s">
        <v>31</v>
      </c>
    </row>
    <row r="8" spans="1:17" ht="219.95" customHeight="1" x14ac:dyDescent="0.25">
      <c r="A8" s="25" t="s">
        <v>49</v>
      </c>
      <c r="B8" s="24" t="s">
        <v>18</v>
      </c>
      <c r="C8" s="8" t="s">
        <v>605</v>
      </c>
      <c r="D8" s="26" t="s">
        <v>50</v>
      </c>
      <c r="E8" s="36" t="s">
        <v>51</v>
      </c>
      <c r="F8" s="24" t="s">
        <v>52</v>
      </c>
      <c r="G8" s="24" t="s">
        <v>53</v>
      </c>
      <c r="H8" s="24" t="s">
        <v>54</v>
      </c>
      <c r="I8" s="26" t="s">
        <v>36</v>
      </c>
      <c r="J8" s="26">
        <v>1</v>
      </c>
      <c r="K8" s="26" t="s">
        <v>55</v>
      </c>
      <c r="L8" s="27">
        <v>2</v>
      </c>
      <c r="M8" s="27">
        <v>2</v>
      </c>
      <c r="N8" s="27" t="s">
        <v>583</v>
      </c>
      <c r="O8" s="24"/>
      <c r="P8" s="24" t="s">
        <v>56</v>
      </c>
      <c r="Q8" s="28" t="s">
        <v>57</v>
      </c>
    </row>
    <row r="9" spans="1:17" ht="219.95" customHeight="1" thickBot="1" x14ac:dyDescent="0.3">
      <c r="A9" s="21" t="s">
        <v>49</v>
      </c>
      <c r="B9" s="12" t="s">
        <v>28</v>
      </c>
      <c r="C9" s="12" t="s">
        <v>605</v>
      </c>
      <c r="D9" s="22" t="s">
        <v>50</v>
      </c>
      <c r="E9" s="37"/>
      <c r="F9" s="12" t="s">
        <v>52</v>
      </c>
      <c r="G9" s="12" t="s">
        <v>53</v>
      </c>
      <c r="H9" s="12" t="s">
        <v>58</v>
      </c>
      <c r="I9" s="22" t="s">
        <v>30</v>
      </c>
      <c r="J9" s="22" t="s">
        <v>31</v>
      </c>
      <c r="K9" s="22" t="s">
        <v>31</v>
      </c>
      <c r="L9" s="23">
        <v>0</v>
      </c>
      <c r="M9" s="23" t="s">
        <v>31</v>
      </c>
      <c r="N9" s="23" t="s">
        <v>584</v>
      </c>
      <c r="O9" s="12"/>
      <c r="P9" s="12" t="s">
        <v>56</v>
      </c>
      <c r="Q9" s="13" t="s">
        <v>31</v>
      </c>
    </row>
    <row r="10" spans="1:17" ht="219.95" customHeight="1" x14ac:dyDescent="0.25">
      <c r="A10" s="18" t="s">
        <v>59</v>
      </c>
      <c r="B10" s="8" t="s">
        <v>18</v>
      </c>
      <c r="C10" s="8" t="s">
        <v>605</v>
      </c>
      <c r="D10" s="19" t="s">
        <v>19</v>
      </c>
      <c r="E10" s="36" t="s">
        <v>60</v>
      </c>
      <c r="F10" s="8" t="s">
        <v>61</v>
      </c>
      <c r="G10" s="8" t="s">
        <v>607</v>
      </c>
      <c r="H10" s="8" t="s">
        <v>62</v>
      </c>
      <c r="I10" s="19" t="s">
        <v>24</v>
      </c>
      <c r="J10" s="19" t="s">
        <v>22</v>
      </c>
      <c r="K10" s="19" t="s">
        <v>63</v>
      </c>
      <c r="L10" s="20">
        <v>1</v>
      </c>
      <c r="M10" s="20">
        <v>2</v>
      </c>
      <c r="N10" s="20" t="s">
        <v>585</v>
      </c>
      <c r="O10" s="8"/>
      <c r="P10" s="8" t="s">
        <v>64</v>
      </c>
      <c r="Q10" s="9" t="s">
        <v>65</v>
      </c>
    </row>
    <row r="11" spans="1:17" ht="219.95" customHeight="1" thickBot="1" x14ac:dyDescent="0.3">
      <c r="A11" s="21" t="s">
        <v>59</v>
      </c>
      <c r="B11" s="12" t="s">
        <v>28</v>
      </c>
      <c r="C11" s="12" t="s">
        <v>605</v>
      </c>
      <c r="D11" s="22" t="s">
        <v>19</v>
      </c>
      <c r="E11" s="37"/>
      <c r="F11" s="12" t="s">
        <v>61</v>
      </c>
      <c r="G11" s="12" t="s">
        <v>607</v>
      </c>
      <c r="H11" s="12" t="s">
        <v>66</v>
      </c>
      <c r="I11" s="22" t="s">
        <v>30</v>
      </c>
      <c r="J11" s="22" t="s">
        <v>31</v>
      </c>
      <c r="K11" s="22" t="s">
        <v>31</v>
      </c>
      <c r="L11" s="23">
        <v>0</v>
      </c>
      <c r="M11" s="23" t="s">
        <v>31</v>
      </c>
      <c r="N11" s="23" t="s">
        <v>586</v>
      </c>
      <c r="O11" s="12"/>
      <c r="P11" s="12" t="s">
        <v>64</v>
      </c>
      <c r="Q11" s="13" t="s">
        <v>31</v>
      </c>
    </row>
    <row r="12" spans="1:17" ht="219.95" customHeight="1" x14ac:dyDescent="0.25">
      <c r="A12" s="18" t="s">
        <v>67</v>
      </c>
      <c r="B12" s="8" t="s">
        <v>18</v>
      </c>
      <c r="C12" s="8" t="s">
        <v>605</v>
      </c>
      <c r="D12" s="19" t="s">
        <v>50</v>
      </c>
      <c r="E12" s="36" t="s">
        <v>68</v>
      </c>
      <c r="F12" s="8" t="s">
        <v>69</v>
      </c>
      <c r="G12" s="8" t="s">
        <v>70</v>
      </c>
      <c r="H12" s="8" t="s">
        <v>71</v>
      </c>
      <c r="I12" s="19" t="s">
        <v>36</v>
      </c>
      <c r="J12" s="19">
        <v>5</v>
      </c>
      <c r="K12" s="19" t="s">
        <v>72</v>
      </c>
      <c r="L12" s="20">
        <v>1</v>
      </c>
      <c r="M12" s="20">
        <v>2</v>
      </c>
      <c r="N12" s="20" t="s">
        <v>586</v>
      </c>
      <c r="O12" s="8"/>
      <c r="P12" s="8" t="s">
        <v>73</v>
      </c>
      <c r="Q12" s="9" t="s">
        <v>74</v>
      </c>
    </row>
    <row r="13" spans="1:17" ht="219.95" customHeight="1" thickBot="1" x14ac:dyDescent="0.3">
      <c r="A13" s="21" t="s">
        <v>67</v>
      </c>
      <c r="B13" s="12" t="s">
        <v>28</v>
      </c>
      <c r="C13" s="12" t="s">
        <v>605</v>
      </c>
      <c r="D13" s="22" t="s">
        <v>50</v>
      </c>
      <c r="E13" s="37"/>
      <c r="F13" s="12" t="s">
        <v>69</v>
      </c>
      <c r="G13" s="12" t="s">
        <v>70</v>
      </c>
      <c r="H13" s="12" t="s">
        <v>75</v>
      </c>
      <c r="I13" s="22" t="s">
        <v>30</v>
      </c>
      <c r="J13" s="22" t="s">
        <v>31</v>
      </c>
      <c r="K13" s="22" t="s">
        <v>31</v>
      </c>
      <c r="L13" s="23">
        <v>0</v>
      </c>
      <c r="M13" s="23" t="s">
        <v>31</v>
      </c>
      <c r="N13" s="23" t="s">
        <v>586</v>
      </c>
      <c r="O13" s="12"/>
      <c r="P13" s="12" t="s">
        <v>73</v>
      </c>
      <c r="Q13" s="13" t="s">
        <v>31</v>
      </c>
    </row>
    <row r="14" spans="1:17" ht="154.5" customHeight="1" x14ac:dyDescent="0.25">
      <c r="A14" s="18" t="s">
        <v>76</v>
      </c>
      <c r="B14" s="8" t="s">
        <v>18</v>
      </c>
      <c r="C14" s="8" t="s">
        <v>606</v>
      </c>
      <c r="D14" s="19" t="s">
        <v>19</v>
      </c>
      <c r="E14" s="36" t="s">
        <v>77</v>
      </c>
      <c r="F14" s="8" t="s">
        <v>78</v>
      </c>
      <c r="G14" s="8" t="s">
        <v>607</v>
      </c>
      <c r="H14" s="8" t="s">
        <v>79</v>
      </c>
      <c r="I14" s="19" t="s">
        <v>36</v>
      </c>
      <c r="J14" s="19">
        <v>1</v>
      </c>
      <c r="K14" s="19" t="s">
        <v>80</v>
      </c>
      <c r="L14" s="20">
        <v>2</v>
      </c>
      <c r="M14" s="20">
        <v>2</v>
      </c>
      <c r="N14" s="20" t="s">
        <v>583</v>
      </c>
      <c r="O14" s="8"/>
      <c r="P14" s="8" t="s">
        <v>81</v>
      </c>
      <c r="Q14" s="9" t="s">
        <v>82</v>
      </c>
    </row>
    <row r="15" spans="1:17" ht="219.95" customHeight="1" thickBot="1" x14ac:dyDescent="0.3">
      <c r="A15" s="21" t="s">
        <v>76</v>
      </c>
      <c r="B15" s="12" t="s">
        <v>28</v>
      </c>
      <c r="C15" s="12" t="s">
        <v>606</v>
      </c>
      <c r="D15" s="22" t="s">
        <v>19</v>
      </c>
      <c r="E15" s="37"/>
      <c r="F15" s="12" t="s">
        <v>78</v>
      </c>
      <c r="G15" s="12" t="s">
        <v>607</v>
      </c>
      <c r="H15" s="12" t="s">
        <v>83</v>
      </c>
      <c r="I15" s="22" t="s">
        <v>30</v>
      </c>
      <c r="J15" s="22" t="s">
        <v>31</v>
      </c>
      <c r="K15" s="22" t="s">
        <v>31</v>
      </c>
      <c r="L15" s="23">
        <v>0</v>
      </c>
      <c r="M15" s="23" t="s">
        <v>31</v>
      </c>
      <c r="N15" s="23" t="s">
        <v>586</v>
      </c>
      <c r="O15" s="12"/>
      <c r="P15" s="12" t="s">
        <v>81</v>
      </c>
      <c r="Q15" s="13" t="s">
        <v>31</v>
      </c>
    </row>
    <row r="16" spans="1:17" ht="167.25" customHeight="1" x14ac:dyDescent="0.25">
      <c r="A16" s="18" t="s">
        <v>84</v>
      </c>
      <c r="B16" s="8" t="s">
        <v>18</v>
      </c>
      <c r="C16" s="8" t="s">
        <v>605</v>
      </c>
      <c r="D16" s="19" t="s">
        <v>50</v>
      </c>
      <c r="E16" s="36" t="s">
        <v>85</v>
      </c>
      <c r="F16" s="8" t="s">
        <v>86</v>
      </c>
      <c r="G16" s="8" t="s">
        <v>87</v>
      </c>
      <c r="H16" s="8" t="s">
        <v>88</v>
      </c>
      <c r="I16" s="19" t="s">
        <v>24</v>
      </c>
      <c r="J16" s="19" t="s">
        <v>22</v>
      </c>
      <c r="K16" s="19" t="s">
        <v>89</v>
      </c>
      <c r="L16" s="20">
        <v>1</v>
      </c>
      <c r="M16" s="20" t="s">
        <v>31</v>
      </c>
      <c r="N16" s="20" t="s">
        <v>585</v>
      </c>
      <c r="O16" s="8"/>
      <c r="P16" s="8" t="s">
        <v>90</v>
      </c>
      <c r="Q16" s="9" t="s">
        <v>91</v>
      </c>
    </row>
    <row r="17" spans="1:17" ht="219.95" customHeight="1" thickBot="1" x14ac:dyDescent="0.3">
      <c r="A17" s="21" t="s">
        <v>84</v>
      </c>
      <c r="B17" s="12" t="s">
        <v>28</v>
      </c>
      <c r="C17" s="12" t="s">
        <v>605</v>
      </c>
      <c r="D17" s="22" t="s">
        <v>50</v>
      </c>
      <c r="E17" s="37"/>
      <c r="F17" s="12" t="s">
        <v>86</v>
      </c>
      <c r="G17" s="12" t="s">
        <v>87</v>
      </c>
      <c r="H17" s="12" t="s">
        <v>92</v>
      </c>
      <c r="I17" s="22" t="s">
        <v>30</v>
      </c>
      <c r="J17" s="22" t="s">
        <v>31</v>
      </c>
      <c r="K17" s="22" t="s">
        <v>31</v>
      </c>
      <c r="L17" s="23">
        <v>0</v>
      </c>
      <c r="M17" s="23" t="s">
        <v>31</v>
      </c>
      <c r="N17" s="23" t="s">
        <v>586</v>
      </c>
      <c r="O17" s="12"/>
      <c r="P17" s="12" t="s">
        <v>90</v>
      </c>
      <c r="Q17" s="13" t="s">
        <v>31</v>
      </c>
    </row>
    <row r="18" spans="1:17" ht="186.75" customHeight="1" x14ac:dyDescent="0.25">
      <c r="A18" s="18" t="s">
        <v>93</v>
      </c>
      <c r="B18" s="8" t="s">
        <v>18</v>
      </c>
      <c r="C18" s="8" t="s">
        <v>606</v>
      </c>
      <c r="D18" s="19" t="s">
        <v>50</v>
      </c>
      <c r="E18" s="36" t="s">
        <v>94</v>
      </c>
      <c r="F18" s="8" t="s">
        <v>95</v>
      </c>
      <c r="G18" s="8" t="s">
        <v>96</v>
      </c>
      <c r="H18" s="8" t="s">
        <v>97</v>
      </c>
      <c r="I18" s="19" t="s">
        <v>36</v>
      </c>
      <c r="J18" s="19">
        <v>5</v>
      </c>
      <c r="K18" s="19" t="s">
        <v>98</v>
      </c>
      <c r="L18" s="20">
        <v>1</v>
      </c>
      <c r="M18" s="20">
        <v>2</v>
      </c>
      <c r="N18" s="20" t="s">
        <v>585</v>
      </c>
      <c r="O18" s="8"/>
      <c r="P18" s="8" t="s">
        <v>99</v>
      </c>
      <c r="Q18" s="9" t="s">
        <v>100</v>
      </c>
    </row>
    <row r="19" spans="1:17" ht="219.95" customHeight="1" thickBot="1" x14ac:dyDescent="0.3">
      <c r="A19" s="21" t="s">
        <v>93</v>
      </c>
      <c r="B19" s="12" t="s">
        <v>28</v>
      </c>
      <c r="C19" s="12" t="s">
        <v>606</v>
      </c>
      <c r="D19" s="22" t="s">
        <v>50</v>
      </c>
      <c r="E19" s="37"/>
      <c r="F19" s="12" t="s">
        <v>95</v>
      </c>
      <c r="G19" s="12" t="s">
        <v>96</v>
      </c>
      <c r="H19" s="12" t="s">
        <v>101</v>
      </c>
      <c r="I19" s="22" t="s">
        <v>30</v>
      </c>
      <c r="J19" s="22" t="s">
        <v>31</v>
      </c>
      <c r="K19" s="22" t="s">
        <v>31</v>
      </c>
      <c r="L19" s="23">
        <v>0</v>
      </c>
      <c r="M19" s="23" t="s">
        <v>31</v>
      </c>
      <c r="N19" s="23" t="s">
        <v>584</v>
      </c>
      <c r="O19" s="12"/>
      <c r="P19" s="12" t="s">
        <v>99</v>
      </c>
      <c r="Q19" s="13" t="s">
        <v>31</v>
      </c>
    </row>
    <row r="20" spans="1:17" ht="219.95" customHeight="1" x14ac:dyDescent="0.25">
      <c r="A20" s="18" t="s">
        <v>102</v>
      </c>
      <c r="B20" s="8" t="s">
        <v>18</v>
      </c>
      <c r="C20" s="8" t="s">
        <v>605</v>
      </c>
      <c r="D20" s="19" t="s">
        <v>103</v>
      </c>
      <c r="E20" s="36" t="s">
        <v>104</v>
      </c>
      <c r="F20" s="8" t="s">
        <v>105</v>
      </c>
      <c r="G20" s="8" t="s">
        <v>106</v>
      </c>
      <c r="H20" s="8" t="s">
        <v>107</v>
      </c>
      <c r="I20" s="19" t="s">
        <v>108</v>
      </c>
      <c r="J20" s="19" t="s">
        <v>31</v>
      </c>
      <c r="K20" s="19" t="s">
        <v>109</v>
      </c>
      <c r="L20" s="20">
        <v>2</v>
      </c>
      <c r="M20" s="20" t="s">
        <v>31</v>
      </c>
      <c r="N20" s="20" t="s">
        <v>583</v>
      </c>
      <c r="O20" s="8"/>
      <c r="P20" s="8" t="s">
        <v>22</v>
      </c>
      <c r="Q20" s="9" t="s">
        <v>110</v>
      </c>
    </row>
    <row r="21" spans="1:17" ht="219.95" customHeight="1" thickBot="1" x14ac:dyDescent="0.3">
      <c r="A21" s="21" t="s">
        <v>102</v>
      </c>
      <c r="B21" s="12" t="s">
        <v>28</v>
      </c>
      <c r="C21" s="12" t="s">
        <v>605</v>
      </c>
      <c r="D21" s="22" t="s">
        <v>103</v>
      </c>
      <c r="E21" s="37"/>
      <c r="F21" s="12" t="s">
        <v>105</v>
      </c>
      <c r="G21" s="12" t="s">
        <v>106</v>
      </c>
      <c r="H21" s="12" t="s">
        <v>111</v>
      </c>
      <c r="I21" s="22" t="s">
        <v>108</v>
      </c>
      <c r="J21" s="22" t="s">
        <v>31</v>
      </c>
      <c r="K21" s="22" t="s">
        <v>31</v>
      </c>
      <c r="L21" s="23">
        <v>0</v>
      </c>
      <c r="M21" s="23" t="s">
        <v>31</v>
      </c>
      <c r="N21" s="23" t="s">
        <v>584</v>
      </c>
      <c r="O21" s="12"/>
      <c r="P21" s="12" t="s">
        <v>22</v>
      </c>
      <c r="Q21" s="13" t="s">
        <v>31</v>
      </c>
    </row>
    <row r="22" spans="1:17" ht="114.75" customHeight="1" x14ac:dyDescent="0.25">
      <c r="A22" s="18" t="s">
        <v>112</v>
      </c>
      <c r="B22" s="8" t="s">
        <v>18</v>
      </c>
      <c r="C22" s="8" t="s">
        <v>606</v>
      </c>
      <c r="D22" s="19" t="s">
        <v>103</v>
      </c>
      <c r="E22" s="36" t="s">
        <v>113</v>
      </c>
      <c r="F22" s="8" t="s">
        <v>114</v>
      </c>
      <c r="G22" s="8" t="s">
        <v>115</v>
      </c>
      <c r="H22" s="8" t="s">
        <v>116</v>
      </c>
      <c r="I22" s="19" t="s">
        <v>108</v>
      </c>
      <c r="J22" s="19" t="s">
        <v>31</v>
      </c>
      <c r="K22" s="19" t="s">
        <v>117</v>
      </c>
      <c r="L22" s="20">
        <v>2</v>
      </c>
      <c r="M22" s="20" t="s">
        <v>31</v>
      </c>
      <c r="N22" s="20" t="s">
        <v>583</v>
      </c>
      <c r="O22" s="8"/>
      <c r="P22" s="8" t="s">
        <v>22</v>
      </c>
      <c r="Q22" s="9" t="s">
        <v>118</v>
      </c>
    </row>
    <row r="23" spans="1:17" ht="219.95" customHeight="1" thickBot="1" x14ac:dyDescent="0.3">
      <c r="A23" s="21" t="s">
        <v>112</v>
      </c>
      <c r="B23" s="12" t="s">
        <v>28</v>
      </c>
      <c r="C23" s="12" t="s">
        <v>606</v>
      </c>
      <c r="D23" s="22" t="s">
        <v>103</v>
      </c>
      <c r="E23" s="37"/>
      <c r="F23" s="12" t="s">
        <v>114</v>
      </c>
      <c r="G23" s="12" t="s">
        <v>115</v>
      </c>
      <c r="H23" s="12" t="s">
        <v>119</v>
      </c>
      <c r="I23" s="22" t="s">
        <v>108</v>
      </c>
      <c r="J23" s="22" t="s">
        <v>31</v>
      </c>
      <c r="K23" s="22" t="s">
        <v>31</v>
      </c>
      <c r="L23" s="23">
        <v>0</v>
      </c>
      <c r="M23" s="23" t="s">
        <v>31</v>
      </c>
      <c r="N23" s="23" t="s">
        <v>584</v>
      </c>
      <c r="O23" s="12"/>
      <c r="P23" s="12" t="s">
        <v>22</v>
      </c>
      <c r="Q23" s="13" t="s">
        <v>31</v>
      </c>
    </row>
    <row r="24" spans="1:17" ht="137.25" customHeight="1" x14ac:dyDescent="0.25">
      <c r="A24" s="18" t="s">
        <v>120</v>
      </c>
      <c r="B24" s="8" t="s">
        <v>18</v>
      </c>
      <c r="C24" s="8" t="s">
        <v>605</v>
      </c>
      <c r="D24" s="19" t="s">
        <v>103</v>
      </c>
      <c r="E24" s="36" t="s">
        <v>121</v>
      </c>
      <c r="F24" s="8" t="s">
        <v>122</v>
      </c>
      <c r="G24" s="8" t="s">
        <v>106</v>
      </c>
      <c r="H24" s="8" t="s">
        <v>123</v>
      </c>
      <c r="I24" s="19" t="s">
        <v>108</v>
      </c>
      <c r="J24" s="19" t="s">
        <v>31</v>
      </c>
      <c r="K24" s="19" t="s">
        <v>124</v>
      </c>
      <c r="L24" s="20">
        <v>2</v>
      </c>
      <c r="M24" s="20" t="s">
        <v>31</v>
      </c>
      <c r="N24" s="20" t="s">
        <v>583</v>
      </c>
      <c r="O24" s="8"/>
      <c r="P24" s="8" t="s">
        <v>22</v>
      </c>
      <c r="Q24" s="9" t="s">
        <v>125</v>
      </c>
    </row>
    <row r="25" spans="1:17" ht="219.95" customHeight="1" thickBot="1" x14ac:dyDescent="0.3">
      <c r="A25" s="21" t="s">
        <v>120</v>
      </c>
      <c r="B25" s="12" t="s">
        <v>28</v>
      </c>
      <c r="C25" s="12" t="s">
        <v>605</v>
      </c>
      <c r="D25" s="22" t="s">
        <v>103</v>
      </c>
      <c r="E25" s="37"/>
      <c r="F25" s="12" t="s">
        <v>122</v>
      </c>
      <c r="G25" s="12" t="s">
        <v>106</v>
      </c>
      <c r="H25" s="12" t="s">
        <v>126</v>
      </c>
      <c r="I25" s="22" t="s">
        <v>108</v>
      </c>
      <c r="J25" s="22" t="s">
        <v>31</v>
      </c>
      <c r="K25" s="22" t="s">
        <v>31</v>
      </c>
      <c r="L25" s="23">
        <v>2</v>
      </c>
      <c r="M25" s="23" t="s">
        <v>31</v>
      </c>
      <c r="N25" s="23" t="s">
        <v>583</v>
      </c>
      <c r="O25" s="12"/>
      <c r="P25" s="12" t="s">
        <v>22</v>
      </c>
      <c r="Q25" s="13" t="s">
        <v>31</v>
      </c>
    </row>
    <row r="26" spans="1:17" ht="81" customHeight="1" x14ac:dyDescent="0.25">
      <c r="A26" s="18" t="s">
        <v>127</v>
      </c>
      <c r="B26" s="8" t="s">
        <v>18</v>
      </c>
      <c r="C26" s="8" t="s">
        <v>605</v>
      </c>
      <c r="D26" s="19" t="s">
        <v>103</v>
      </c>
      <c r="E26" s="36" t="s">
        <v>128</v>
      </c>
      <c r="F26" s="8" t="s">
        <v>129</v>
      </c>
      <c r="G26" s="8" t="s">
        <v>106</v>
      </c>
      <c r="H26" s="8" t="s">
        <v>130</v>
      </c>
      <c r="I26" s="19" t="s">
        <v>108</v>
      </c>
      <c r="J26" s="19" t="s">
        <v>31</v>
      </c>
      <c r="K26" s="19" t="s">
        <v>131</v>
      </c>
      <c r="L26" s="20">
        <v>2</v>
      </c>
      <c r="M26" s="20" t="s">
        <v>31</v>
      </c>
      <c r="N26" s="20" t="s">
        <v>583</v>
      </c>
      <c r="O26" s="8"/>
      <c r="P26" s="8" t="s">
        <v>22</v>
      </c>
      <c r="Q26" s="9" t="s">
        <v>132</v>
      </c>
    </row>
    <row r="27" spans="1:17" ht="191.25" customHeight="1" thickBot="1" x14ac:dyDescent="0.3">
      <c r="A27" s="21" t="s">
        <v>127</v>
      </c>
      <c r="B27" s="12" t="s">
        <v>28</v>
      </c>
      <c r="C27" s="12" t="s">
        <v>605</v>
      </c>
      <c r="D27" s="22" t="s">
        <v>103</v>
      </c>
      <c r="E27" s="37"/>
      <c r="F27" s="12" t="s">
        <v>129</v>
      </c>
      <c r="G27" s="12" t="s">
        <v>106</v>
      </c>
      <c r="H27" s="12" t="s">
        <v>133</v>
      </c>
      <c r="I27" s="22" t="s">
        <v>108</v>
      </c>
      <c r="J27" s="22" t="s">
        <v>31</v>
      </c>
      <c r="K27" s="22" t="s">
        <v>31</v>
      </c>
      <c r="L27" s="23">
        <v>0</v>
      </c>
      <c r="M27" s="23" t="s">
        <v>31</v>
      </c>
      <c r="N27" s="23" t="s">
        <v>584</v>
      </c>
      <c r="O27" s="12"/>
      <c r="P27" s="12" t="s">
        <v>22</v>
      </c>
      <c r="Q27" s="13" t="s">
        <v>31</v>
      </c>
    </row>
  </sheetData>
  <mergeCells count="16">
    <mergeCell ref="E26:E27"/>
    <mergeCell ref="D2:D3"/>
    <mergeCell ref="F2:F3"/>
    <mergeCell ref="G2:G3"/>
    <mergeCell ref="E14:E15"/>
    <mergeCell ref="E16:E17"/>
    <mergeCell ref="E18:E19"/>
    <mergeCell ref="E20:E21"/>
    <mergeCell ref="E22:E23"/>
    <mergeCell ref="E24:E25"/>
    <mergeCell ref="E2:E3"/>
    <mergeCell ref="E4:E5"/>
    <mergeCell ref="E8:E9"/>
    <mergeCell ref="E6:E7"/>
    <mergeCell ref="E10:E11"/>
    <mergeCell ref="E12:E13"/>
  </mergeCells>
  <dataValidations count="2">
    <dataValidation type="list" allowBlank="1" sqref="L2:M27" xr:uid="{00000000-0002-0000-0000-000000000000}">
      <formula1>"0,1,2,N/A"</formula1>
    </dataValidation>
    <dataValidation type="list" allowBlank="1" sqref="N2:N27" xr:uid="{00000000-0002-0000-0000-000001000000}">
      <formula1>"OK,E0-corpus,E1-recuperacion,E2-generacion,E3-citas"</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2"/>
  <sheetViews>
    <sheetView workbookViewId="0">
      <selection activeCell="D6" sqref="D6"/>
    </sheetView>
  </sheetViews>
  <sheetFormatPr baseColWidth="10" defaultColWidth="9.140625" defaultRowHeight="15" x14ac:dyDescent="0.25"/>
  <cols>
    <col min="1" max="1" width="38" customWidth="1"/>
    <col min="2" max="3" width="14" customWidth="1"/>
  </cols>
  <sheetData>
    <row r="1" spans="1:3" x14ac:dyDescent="0.25">
      <c r="A1" s="5" t="s">
        <v>577</v>
      </c>
      <c r="B1" s="5" t="s">
        <v>18</v>
      </c>
      <c r="C1" s="5" t="s">
        <v>28</v>
      </c>
    </row>
    <row r="2" spans="1:3" x14ac:dyDescent="0.25">
      <c r="A2" t="s">
        <v>578</v>
      </c>
      <c r="B2">
        <f>COUNTIFS(Calificacion!B2:B27,"RAG",Calificacion!L2:L27,"&lt;&gt;")</f>
        <v>13</v>
      </c>
      <c r="C2">
        <f>COUNTIFS(Calificacion!B2:B27,"LLM",Calificacion!L2:L27,"&lt;&gt;")</f>
        <v>13</v>
      </c>
    </row>
    <row r="3" spans="1:3" x14ac:dyDescent="0.25">
      <c r="A3" t="s">
        <v>579</v>
      </c>
      <c r="B3">
        <f>IFERROR(AVERAGEIFS(Calificacion!L2:L27,Calificacion!B2:B27,"RAG"),"")</f>
        <v>1.4615384615384615</v>
      </c>
      <c r="C3">
        <f>IFERROR(AVERAGEIFS(Calificacion!L2:L27,Calificacion!B2:B27,"LLM"),"")</f>
        <v>0.23076923076923078</v>
      </c>
    </row>
    <row r="4" spans="1:3" x14ac:dyDescent="0.25">
      <c r="A4" t="s">
        <v>580</v>
      </c>
      <c r="B4">
        <f>IFERROR(AVERAGEIFS(Calificacion!M2:M27,Calificacion!B2:B27,"RAG"),"")</f>
        <v>1.8571428571428572</v>
      </c>
      <c r="C4" t="s">
        <v>31</v>
      </c>
    </row>
    <row r="5" spans="1:3" ht="30" x14ac:dyDescent="0.25">
      <c r="A5" s="17" t="s">
        <v>581</v>
      </c>
      <c r="B5" t="str">
        <f>COUNTIFS(Calificacion!B2:B27,"RAG",Calificacion!I2:I27,"SI")&amp;" / "&amp;COUNTIFS(Calificacion!B2:B27,"RAG",Calificacion!D2:D27,"&lt;&gt;nula")</f>
        <v>6 / 9</v>
      </c>
      <c r="C5" t="s">
        <v>31</v>
      </c>
    </row>
    <row r="7" spans="1:3" x14ac:dyDescent="0.25">
      <c r="A7" s="5" t="s">
        <v>582</v>
      </c>
      <c r="B7" s="5" t="s">
        <v>18</v>
      </c>
      <c r="C7" s="5" t="s">
        <v>28</v>
      </c>
    </row>
    <row r="8" spans="1:3" x14ac:dyDescent="0.25">
      <c r="A8" t="s">
        <v>583</v>
      </c>
      <c r="B8">
        <f>COUNTIFS(Calificacion!B2:B27,"RAG",Calificacion!N2:N27,"OK")</f>
        <v>7</v>
      </c>
      <c r="C8">
        <f>COUNTIFS(Calificacion!B2:B27,"LLM",Calificacion!N2:N27,"OK")</f>
        <v>1</v>
      </c>
    </row>
    <row r="9" spans="1:3" x14ac:dyDescent="0.25">
      <c r="A9" t="s">
        <v>584</v>
      </c>
      <c r="B9">
        <f>COUNTIFS(Calificacion!B2:B27,"RAG",Calificacion!N2:N27,"E0-corpus")</f>
        <v>0</v>
      </c>
      <c r="C9">
        <f>COUNTIFS(Calificacion!B2:B27,"LLM",Calificacion!N2:N27,"E0-corpus")</f>
        <v>5</v>
      </c>
    </row>
    <row r="10" spans="1:3" x14ac:dyDescent="0.25">
      <c r="A10" t="s">
        <v>585</v>
      </c>
      <c r="B10">
        <f>COUNTIFS(Calificacion!B2:B27,"RAG",Calificacion!N2:N27,"E1-recuperacion")</f>
        <v>5</v>
      </c>
      <c r="C10">
        <f>COUNTIFS(Calificacion!B2:B27,"LLM",Calificacion!N2:N27,"E1-recuperacion")</f>
        <v>0</v>
      </c>
    </row>
    <row r="11" spans="1:3" x14ac:dyDescent="0.25">
      <c r="A11" t="s">
        <v>586</v>
      </c>
      <c r="B11">
        <f>COUNTIFS(Calificacion!B2:B27,"RAG",Calificacion!N2:N27,"E2-generacion")</f>
        <v>1</v>
      </c>
      <c r="C11">
        <f>COUNTIFS(Calificacion!B2:B27,"LLM",Calificacion!N2:N27,"E2-generacion")</f>
        <v>7</v>
      </c>
    </row>
    <row r="12" spans="1:3" x14ac:dyDescent="0.25">
      <c r="A12" t="s">
        <v>587</v>
      </c>
      <c r="B12">
        <f>COUNTIFS(Calificacion!B2:B27,"RAG",Calificacion!N2:N27,"E3-citas")</f>
        <v>0</v>
      </c>
      <c r="C12">
        <f>COUNTIFS(Calificacion!B2:B27,"LLM",Calificacion!N2:N27,"E3-citas")</f>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7"/>
  <sheetViews>
    <sheetView workbookViewId="0">
      <selection activeCell="B5" sqref="B5"/>
    </sheetView>
  </sheetViews>
  <sheetFormatPr baseColWidth="10" defaultColWidth="9.140625" defaultRowHeight="15" x14ac:dyDescent="0.25"/>
  <cols>
    <col min="1" max="1" width="30" customWidth="1"/>
    <col min="2" max="2" width="60.42578125" customWidth="1"/>
  </cols>
  <sheetData>
    <row r="1" spans="1:2" x14ac:dyDescent="0.25">
      <c r="A1" s="5" t="s">
        <v>550</v>
      </c>
    </row>
    <row r="2" spans="1:2" x14ac:dyDescent="0.25">
      <c r="A2" t="s">
        <v>551</v>
      </c>
      <c r="B2" t="s">
        <v>552</v>
      </c>
    </row>
    <row r="3" spans="1:2" x14ac:dyDescent="0.25">
      <c r="A3" t="s">
        <v>553</v>
      </c>
      <c r="B3" t="s">
        <v>554</v>
      </c>
    </row>
    <row r="4" spans="1:2" x14ac:dyDescent="0.25">
      <c r="A4" t="s">
        <v>548</v>
      </c>
      <c r="B4" t="s">
        <v>549</v>
      </c>
    </row>
    <row r="5" spans="1:2" x14ac:dyDescent="0.25">
      <c r="A5" t="s">
        <v>555</v>
      </c>
      <c r="B5">
        <v>384</v>
      </c>
    </row>
    <row r="6" spans="1:2" x14ac:dyDescent="0.25">
      <c r="A6" t="s">
        <v>556</v>
      </c>
    </row>
    <row r="7" spans="1:2" x14ac:dyDescent="0.25">
      <c r="A7" t="s">
        <v>557</v>
      </c>
    </row>
    <row r="8" spans="1:2" x14ac:dyDescent="0.25">
      <c r="A8" t="s">
        <v>558</v>
      </c>
      <c r="B8">
        <v>1200</v>
      </c>
    </row>
    <row r="9" spans="1:2" x14ac:dyDescent="0.25">
      <c r="A9" t="s">
        <v>559</v>
      </c>
      <c r="B9">
        <v>150</v>
      </c>
    </row>
    <row r="10" spans="1:2" x14ac:dyDescent="0.25">
      <c r="A10" t="s">
        <v>560</v>
      </c>
      <c r="B10" t="s">
        <v>561</v>
      </c>
    </row>
    <row r="11" spans="1:2" x14ac:dyDescent="0.25">
      <c r="A11" t="s">
        <v>562</v>
      </c>
      <c r="B11" t="s">
        <v>563</v>
      </c>
    </row>
    <row r="12" spans="1:2" x14ac:dyDescent="0.25">
      <c r="A12" t="s">
        <v>564</v>
      </c>
      <c r="B12">
        <v>2616</v>
      </c>
    </row>
    <row r="13" spans="1:2" x14ac:dyDescent="0.25">
      <c r="A13" t="s">
        <v>565</v>
      </c>
      <c r="B13">
        <v>7241</v>
      </c>
    </row>
    <row r="14" spans="1:2" x14ac:dyDescent="0.25">
      <c r="A14" t="s">
        <v>566</v>
      </c>
      <c r="B14">
        <v>7241</v>
      </c>
    </row>
    <row r="15" spans="1:2" x14ac:dyDescent="0.25">
      <c r="A15" t="s">
        <v>567</v>
      </c>
      <c r="B15">
        <v>1779.6</v>
      </c>
    </row>
    <row r="17" spans="1:2" ht="85.5" customHeight="1" x14ac:dyDescent="0.25">
      <c r="A17" s="29" t="s">
        <v>568</v>
      </c>
      <c r="B17" s="2" t="s">
        <v>569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76A05-72A0-4335-8670-5C01D0769A66}">
  <dimension ref="A1:C5"/>
  <sheetViews>
    <sheetView workbookViewId="0">
      <selection activeCell="C5" sqref="C5"/>
    </sheetView>
  </sheetViews>
  <sheetFormatPr baseColWidth="10" defaultRowHeight="15" x14ac:dyDescent="0.25"/>
  <cols>
    <col min="1" max="1" width="17.28515625" bestFit="1" customWidth="1"/>
    <col min="3" max="3" width="24.42578125" bestFit="1" customWidth="1"/>
  </cols>
  <sheetData>
    <row r="1" spans="1:3" x14ac:dyDescent="0.25">
      <c r="A1" t="s">
        <v>588</v>
      </c>
      <c r="B1" t="s">
        <v>589</v>
      </c>
      <c r="C1" t="s">
        <v>590</v>
      </c>
    </row>
    <row r="2" spans="1:3" x14ac:dyDescent="0.25">
      <c r="A2" t="s">
        <v>519</v>
      </c>
      <c r="B2" t="s">
        <v>592</v>
      </c>
      <c r="C2" t="s">
        <v>594</v>
      </c>
    </row>
    <row r="3" spans="1:3" x14ac:dyDescent="0.25">
      <c r="A3" t="s">
        <v>519</v>
      </c>
      <c r="B3" t="s">
        <v>593</v>
      </c>
      <c r="C3" t="s">
        <v>595</v>
      </c>
    </row>
    <row r="4" spans="1:3" ht="51.75" customHeight="1" x14ac:dyDescent="0.25">
      <c r="A4" s="16" t="s">
        <v>591</v>
      </c>
      <c r="B4" s="16" t="s">
        <v>593</v>
      </c>
      <c r="C4" s="15" t="s">
        <v>596</v>
      </c>
    </row>
    <row r="5" spans="1:3" ht="30" x14ac:dyDescent="0.25">
      <c r="A5" s="14" t="s">
        <v>591</v>
      </c>
      <c r="B5" s="14" t="s">
        <v>592</v>
      </c>
      <c r="C5" s="17" t="s">
        <v>597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7"/>
  <sheetViews>
    <sheetView workbookViewId="0">
      <pane xSplit="2" ySplit="1" topLeftCell="J2" activePane="bottomRight" state="frozen"/>
      <selection pane="topRight"/>
      <selection pane="bottomLeft"/>
      <selection pane="bottomRight" activeCell="M3" sqref="M3"/>
    </sheetView>
  </sheetViews>
  <sheetFormatPr baseColWidth="10" defaultColWidth="9.140625" defaultRowHeight="15" x14ac:dyDescent="0.25"/>
  <cols>
    <col min="1" max="2" width="6" customWidth="1"/>
    <col min="3" max="3" width="18" customWidth="1"/>
    <col min="4" max="6" width="10" customWidth="1"/>
    <col min="7" max="7" width="11" customWidth="1"/>
    <col min="8" max="8" width="10" customWidth="1"/>
    <col min="9" max="9" width="60" customWidth="1"/>
    <col min="10" max="10" width="120" customWidth="1"/>
  </cols>
  <sheetData>
    <row r="1" spans="1:10" ht="30.75" thickBot="1" x14ac:dyDescent="0.3">
      <c r="A1" s="1" t="s">
        <v>0</v>
      </c>
      <c r="B1" s="1" t="s">
        <v>1</v>
      </c>
      <c r="C1" s="1" t="s">
        <v>511</v>
      </c>
      <c r="D1" s="1" t="s">
        <v>512</v>
      </c>
      <c r="E1" s="1" t="s">
        <v>513</v>
      </c>
      <c r="F1" s="1" t="s">
        <v>514</v>
      </c>
      <c r="G1" s="1" t="s">
        <v>515</v>
      </c>
      <c r="H1" s="1" t="s">
        <v>516</v>
      </c>
      <c r="I1" s="1" t="s">
        <v>517</v>
      </c>
      <c r="J1" s="1" t="s">
        <v>518</v>
      </c>
    </row>
    <row r="2" spans="1:10" ht="120" customHeight="1" x14ac:dyDescent="0.25">
      <c r="A2" s="6" t="s">
        <v>17</v>
      </c>
      <c r="B2" s="7" t="s">
        <v>18</v>
      </c>
      <c r="C2" s="7" t="s">
        <v>519</v>
      </c>
      <c r="D2" s="7">
        <v>1854</v>
      </c>
      <c r="E2" s="7">
        <v>54</v>
      </c>
      <c r="F2" s="7">
        <v>662.5</v>
      </c>
      <c r="G2" s="7">
        <v>101607.8</v>
      </c>
      <c r="H2" s="7">
        <v>102270.3</v>
      </c>
      <c r="I2" s="8" t="s">
        <v>520</v>
      </c>
      <c r="J2" s="9" t="s">
        <v>521</v>
      </c>
    </row>
    <row r="3" spans="1:10" ht="54.75" customHeight="1" thickBot="1" x14ac:dyDescent="0.3">
      <c r="A3" s="10" t="s">
        <v>17</v>
      </c>
      <c r="B3" s="11" t="s">
        <v>28</v>
      </c>
      <c r="C3" s="11" t="s">
        <v>519</v>
      </c>
      <c r="D3" s="11">
        <v>162</v>
      </c>
      <c r="E3" s="11">
        <v>1024</v>
      </c>
      <c r="F3" s="11">
        <v>0</v>
      </c>
      <c r="G3" s="11">
        <v>144912.4</v>
      </c>
      <c r="H3" s="11">
        <v>144912.4</v>
      </c>
      <c r="I3" s="12" t="s">
        <v>522</v>
      </c>
      <c r="J3" s="13" t="s">
        <v>523</v>
      </c>
    </row>
    <row r="4" spans="1:10" ht="120" customHeight="1" x14ac:dyDescent="0.25">
      <c r="A4" s="6" t="s">
        <v>32</v>
      </c>
      <c r="B4" s="7" t="s">
        <v>18</v>
      </c>
      <c r="C4" s="7" t="s">
        <v>519</v>
      </c>
      <c r="D4" s="7">
        <v>1294</v>
      </c>
      <c r="E4" s="7">
        <v>253</v>
      </c>
      <c r="F4" s="7">
        <v>52.4</v>
      </c>
      <c r="G4" s="7">
        <v>91625.4</v>
      </c>
      <c r="H4" s="7">
        <v>91677.8</v>
      </c>
      <c r="I4" s="8" t="s">
        <v>520</v>
      </c>
      <c r="J4" s="9" t="s">
        <v>524</v>
      </c>
    </row>
    <row r="5" spans="1:10" ht="58.5" customHeight="1" thickBot="1" x14ac:dyDescent="0.3">
      <c r="A5" s="10" t="s">
        <v>32</v>
      </c>
      <c r="B5" s="11" t="s">
        <v>28</v>
      </c>
      <c r="C5" s="11" t="s">
        <v>519</v>
      </c>
      <c r="D5" s="11">
        <v>158</v>
      </c>
      <c r="E5" s="11">
        <v>434</v>
      </c>
      <c r="F5" s="11">
        <v>0</v>
      </c>
      <c r="G5" s="11">
        <v>57944.5</v>
      </c>
      <c r="H5" s="11">
        <v>57944.5</v>
      </c>
      <c r="I5" s="12" t="s">
        <v>522</v>
      </c>
      <c r="J5" s="13" t="s">
        <v>525</v>
      </c>
    </row>
    <row r="6" spans="1:10" ht="120" customHeight="1" x14ac:dyDescent="0.25">
      <c r="A6" s="6" t="s">
        <v>41</v>
      </c>
      <c r="B6" s="7" t="s">
        <v>18</v>
      </c>
      <c r="C6" s="7" t="s">
        <v>519</v>
      </c>
      <c r="D6" s="7">
        <v>1201</v>
      </c>
      <c r="E6" s="7">
        <v>99</v>
      </c>
      <c r="F6" s="7">
        <v>199.7</v>
      </c>
      <c r="G6" s="7">
        <v>68786.600000000006</v>
      </c>
      <c r="H6" s="7">
        <v>68986.399999999994</v>
      </c>
      <c r="I6" s="8" t="s">
        <v>520</v>
      </c>
      <c r="J6" s="9" t="s">
        <v>526</v>
      </c>
    </row>
    <row r="7" spans="1:10" ht="56.25" customHeight="1" thickBot="1" x14ac:dyDescent="0.3">
      <c r="A7" s="10" t="s">
        <v>41</v>
      </c>
      <c r="B7" s="11" t="s">
        <v>28</v>
      </c>
      <c r="C7" s="11" t="s">
        <v>519</v>
      </c>
      <c r="D7" s="11">
        <v>157</v>
      </c>
      <c r="E7" s="11">
        <v>354</v>
      </c>
      <c r="F7" s="11">
        <v>0</v>
      </c>
      <c r="G7" s="11">
        <v>46220.7</v>
      </c>
      <c r="H7" s="11">
        <v>46220.7</v>
      </c>
      <c r="I7" s="12" t="s">
        <v>522</v>
      </c>
      <c r="J7" s="13" t="s">
        <v>527</v>
      </c>
    </row>
    <row r="8" spans="1:10" ht="120" customHeight="1" x14ac:dyDescent="0.25">
      <c r="A8" s="6" t="s">
        <v>49</v>
      </c>
      <c r="B8" s="7" t="s">
        <v>18</v>
      </c>
      <c r="C8" s="7" t="s">
        <v>519</v>
      </c>
      <c r="D8" s="7">
        <v>1256</v>
      </c>
      <c r="E8" s="7">
        <v>174</v>
      </c>
      <c r="F8" s="7">
        <v>64.8</v>
      </c>
      <c r="G8" s="7">
        <v>74075.3</v>
      </c>
      <c r="H8" s="7">
        <v>74140.100000000006</v>
      </c>
      <c r="I8" s="8" t="s">
        <v>520</v>
      </c>
      <c r="J8" s="9" t="s">
        <v>528</v>
      </c>
    </row>
    <row r="9" spans="1:10" ht="70.5" customHeight="1" thickBot="1" x14ac:dyDescent="0.3">
      <c r="A9" s="10" t="s">
        <v>49</v>
      </c>
      <c r="B9" s="11" t="s">
        <v>28</v>
      </c>
      <c r="C9" s="11" t="s">
        <v>519</v>
      </c>
      <c r="D9" s="11">
        <v>171</v>
      </c>
      <c r="E9" s="11">
        <v>431</v>
      </c>
      <c r="F9" s="11">
        <v>0</v>
      </c>
      <c r="G9" s="11">
        <v>56364.4</v>
      </c>
      <c r="H9" s="11">
        <v>56364.4</v>
      </c>
      <c r="I9" s="12" t="s">
        <v>522</v>
      </c>
      <c r="J9" s="13" t="s">
        <v>529</v>
      </c>
    </row>
    <row r="10" spans="1:10" ht="120" customHeight="1" x14ac:dyDescent="0.25">
      <c r="A10" s="6" t="s">
        <v>59</v>
      </c>
      <c r="B10" s="7" t="s">
        <v>18</v>
      </c>
      <c r="C10" s="7" t="s">
        <v>519</v>
      </c>
      <c r="D10" s="7">
        <v>1661</v>
      </c>
      <c r="E10" s="7">
        <v>220</v>
      </c>
      <c r="F10" s="7">
        <v>61.3</v>
      </c>
      <c r="G10" s="7">
        <v>108365.1</v>
      </c>
      <c r="H10" s="7">
        <v>108426.4</v>
      </c>
      <c r="I10" s="8" t="s">
        <v>520</v>
      </c>
      <c r="J10" s="9" t="s">
        <v>530</v>
      </c>
    </row>
    <row r="11" spans="1:10" ht="70.5" customHeight="1" thickBot="1" x14ac:dyDescent="0.3">
      <c r="A11" s="10" t="s">
        <v>59</v>
      </c>
      <c r="B11" s="11" t="s">
        <v>28</v>
      </c>
      <c r="C11" s="11" t="s">
        <v>519</v>
      </c>
      <c r="D11" s="11">
        <v>171</v>
      </c>
      <c r="E11" s="11">
        <v>415</v>
      </c>
      <c r="F11" s="11">
        <v>0</v>
      </c>
      <c r="G11" s="11">
        <v>55533.9</v>
      </c>
      <c r="H11" s="11">
        <v>55533.9</v>
      </c>
      <c r="I11" s="12" t="s">
        <v>522</v>
      </c>
      <c r="J11" s="13" t="s">
        <v>531</v>
      </c>
    </row>
    <row r="12" spans="1:10" ht="120" customHeight="1" x14ac:dyDescent="0.25">
      <c r="A12" s="6" t="s">
        <v>67</v>
      </c>
      <c r="B12" s="7" t="s">
        <v>18</v>
      </c>
      <c r="C12" s="7" t="s">
        <v>519</v>
      </c>
      <c r="D12" s="7">
        <v>1714</v>
      </c>
      <c r="E12" s="7">
        <v>217</v>
      </c>
      <c r="F12" s="7">
        <v>62.5</v>
      </c>
      <c r="G12" s="7">
        <v>104287.3</v>
      </c>
      <c r="H12" s="7">
        <v>104349.8</v>
      </c>
      <c r="I12" s="8" t="s">
        <v>520</v>
      </c>
      <c r="J12" s="9" t="s">
        <v>532</v>
      </c>
    </row>
    <row r="13" spans="1:10" ht="72" customHeight="1" thickBot="1" x14ac:dyDescent="0.3">
      <c r="A13" s="10" t="s">
        <v>67</v>
      </c>
      <c r="B13" s="11" t="s">
        <v>28</v>
      </c>
      <c r="C13" s="11" t="s">
        <v>519</v>
      </c>
      <c r="D13" s="11">
        <v>177</v>
      </c>
      <c r="E13" s="11">
        <v>282</v>
      </c>
      <c r="F13" s="11">
        <v>0</v>
      </c>
      <c r="G13" s="11">
        <v>37692.199999999997</v>
      </c>
      <c r="H13" s="11">
        <v>37692.199999999997</v>
      </c>
      <c r="I13" s="12" t="s">
        <v>522</v>
      </c>
      <c r="J13" s="13" t="s">
        <v>533</v>
      </c>
    </row>
    <row r="14" spans="1:10" ht="120" customHeight="1" x14ac:dyDescent="0.25">
      <c r="A14" s="6" t="s">
        <v>76</v>
      </c>
      <c r="B14" s="7" t="s">
        <v>18</v>
      </c>
      <c r="C14" s="7" t="s">
        <v>519</v>
      </c>
      <c r="D14" s="7">
        <v>1500</v>
      </c>
      <c r="E14" s="7">
        <v>129</v>
      </c>
      <c r="F14" s="7">
        <v>56</v>
      </c>
      <c r="G14" s="7">
        <v>125662.1</v>
      </c>
      <c r="H14" s="7">
        <v>125718</v>
      </c>
      <c r="I14" s="8" t="s">
        <v>520</v>
      </c>
      <c r="J14" s="9" t="s">
        <v>534</v>
      </c>
    </row>
    <row r="15" spans="1:10" ht="54.75" customHeight="1" thickBot="1" x14ac:dyDescent="0.3">
      <c r="A15" s="10" t="s">
        <v>76</v>
      </c>
      <c r="B15" s="11" t="s">
        <v>28</v>
      </c>
      <c r="C15" s="11" t="s">
        <v>519</v>
      </c>
      <c r="D15" s="11">
        <v>162</v>
      </c>
      <c r="E15" s="11">
        <v>273</v>
      </c>
      <c r="F15" s="11">
        <v>0</v>
      </c>
      <c r="G15" s="11">
        <v>74733.8</v>
      </c>
      <c r="H15" s="11">
        <v>74733.8</v>
      </c>
      <c r="I15" s="12" t="s">
        <v>522</v>
      </c>
      <c r="J15" s="13" t="s">
        <v>535</v>
      </c>
    </row>
    <row r="16" spans="1:10" ht="120" customHeight="1" x14ac:dyDescent="0.25">
      <c r="A16" s="6" t="s">
        <v>84</v>
      </c>
      <c r="B16" s="7" t="s">
        <v>18</v>
      </c>
      <c r="C16" s="7" t="s">
        <v>519</v>
      </c>
      <c r="D16" s="7">
        <v>1481</v>
      </c>
      <c r="E16" s="7">
        <v>118</v>
      </c>
      <c r="F16" s="7">
        <v>73.8</v>
      </c>
      <c r="G16" s="7">
        <v>86751.2</v>
      </c>
      <c r="H16" s="7">
        <v>86825</v>
      </c>
      <c r="I16" s="8" t="s">
        <v>520</v>
      </c>
      <c r="J16" s="9" t="s">
        <v>536</v>
      </c>
    </row>
    <row r="17" spans="1:10" ht="71.25" customHeight="1" thickBot="1" x14ac:dyDescent="0.3">
      <c r="A17" s="10" t="s">
        <v>84</v>
      </c>
      <c r="B17" s="11" t="s">
        <v>28</v>
      </c>
      <c r="C17" s="11" t="s">
        <v>519</v>
      </c>
      <c r="D17" s="11">
        <v>174</v>
      </c>
      <c r="E17" s="11">
        <v>423</v>
      </c>
      <c r="F17" s="11">
        <v>0</v>
      </c>
      <c r="G17" s="11">
        <v>60802.1</v>
      </c>
      <c r="H17" s="11">
        <v>60802.1</v>
      </c>
      <c r="I17" s="12" t="s">
        <v>522</v>
      </c>
      <c r="J17" s="13" t="s">
        <v>537</v>
      </c>
    </row>
    <row r="18" spans="1:10" ht="120" customHeight="1" x14ac:dyDescent="0.25">
      <c r="A18" s="6" t="s">
        <v>93</v>
      </c>
      <c r="B18" s="7" t="s">
        <v>18</v>
      </c>
      <c r="C18" s="7" t="s">
        <v>519</v>
      </c>
      <c r="D18" s="7">
        <v>1444</v>
      </c>
      <c r="E18" s="7">
        <v>126</v>
      </c>
      <c r="F18" s="7">
        <v>55.2</v>
      </c>
      <c r="G18" s="7">
        <v>89873.7</v>
      </c>
      <c r="H18" s="7">
        <v>89928.9</v>
      </c>
      <c r="I18" s="8" t="s">
        <v>520</v>
      </c>
      <c r="J18" s="9" t="s">
        <v>538</v>
      </c>
    </row>
    <row r="19" spans="1:10" ht="71.25" customHeight="1" thickBot="1" x14ac:dyDescent="0.3">
      <c r="A19" s="10" t="s">
        <v>93</v>
      </c>
      <c r="B19" s="11" t="s">
        <v>28</v>
      </c>
      <c r="C19" s="11" t="s">
        <v>519</v>
      </c>
      <c r="D19" s="11">
        <v>160</v>
      </c>
      <c r="E19" s="11">
        <v>543</v>
      </c>
      <c r="F19" s="11">
        <v>0</v>
      </c>
      <c r="G19" s="11">
        <v>96347.1</v>
      </c>
      <c r="H19" s="11">
        <v>96347.1</v>
      </c>
      <c r="I19" s="12" t="s">
        <v>522</v>
      </c>
      <c r="J19" s="13" t="s">
        <v>539</v>
      </c>
    </row>
    <row r="20" spans="1:10" ht="120" customHeight="1" x14ac:dyDescent="0.25">
      <c r="A20" s="6" t="s">
        <v>102</v>
      </c>
      <c r="B20" s="7" t="s">
        <v>18</v>
      </c>
      <c r="C20" s="7" t="s">
        <v>519</v>
      </c>
      <c r="D20" s="7">
        <v>1297</v>
      </c>
      <c r="E20" s="7">
        <v>182</v>
      </c>
      <c r="F20" s="7">
        <v>86.8</v>
      </c>
      <c r="G20" s="7">
        <v>90372.9</v>
      </c>
      <c r="H20" s="7">
        <v>90459.7</v>
      </c>
      <c r="I20" s="8" t="s">
        <v>520</v>
      </c>
      <c r="J20" s="9" t="s">
        <v>540</v>
      </c>
    </row>
    <row r="21" spans="1:10" ht="55.5" customHeight="1" thickBot="1" x14ac:dyDescent="0.3">
      <c r="A21" s="10" t="s">
        <v>102</v>
      </c>
      <c r="B21" s="11" t="s">
        <v>28</v>
      </c>
      <c r="C21" s="11" t="s">
        <v>519</v>
      </c>
      <c r="D21" s="11">
        <v>157</v>
      </c>
      <c r="E21" s="11">
        <v>626</v>
      </c>
      <c r="F21" s="11">
        <v>0</v>
      </c>
      <c r="G21" s="11">
        <v>95539.5</v>
      </c>
      <c r="H21" s="11">
        <v>95539.5</v>
      </c>
      <c r="I21" s="12" t="s">
        <v>522</v>
      </c>
      <c r="J21" s="13" t="s">
        <v>541</v>
      </c>
    </row>
    <row r="22" spans="1:10" ht="120" customHeight="1" x14ac:dyDescent="0.25">
      <c r="A22" s="6" t="s">
        <v>112</v>
      </c>
      <c r="B22" s="7" t="s">
        <v>18</v>
      </c>
      <c r="C22" s="7" t="s">
        <v>519</v>
      </c>
      <c r="D22" s="7">
        <v>1471</v>
      </c>
      <c r="E22" s="7">
        <v>64</v>
      </c>
      <c r="F22" s="7">
        <v>131.30000000000001</v>
      </c>
      <c r="G22" s="7">
        <v>79485.5</v>
      </c>
      <c r="H22" s="7">
        <v>79616.899999999994</v>
      </c>
      <c r="I22" s="8" t="s">
        <v>520</v>
      </c>
      <c r="J22" s="9" t="s">
        <v>542</v>
      </c>
    </row>
    <row r="23" spans="1:10" ht="59.25" customHeight="1" thickBot="1" x14ac:dyDescent="0.3">
      <c r="A23" s="10" t="s">
        <v>112</v>
      </c>
      <c r="B23" s="11" t="s">
        <v>28</v>
      </c>
      <c r="C23" s="11" t="s">
        <v>519</v>
      </c>
      <c r="D23" s="11">
        <v>150</v>
      </c>
      <c r="E23" s="11">
        <v>231</v>
      </c>
      <c r="F23" s="11">
        <v>0</v>
      </c>
      <c r="G23" s="11">
        <v>34224.1</v>
      </c>
      <c r="H23" s="11">
        <v>34224.1</v>
      </c>
      <c r="I23" s="12" t="s">
        <v>522</v>
      </c>
      <c r="J23" s="13" t="s">
        <v>543</v>
      </c>
    </row>
    <row r="24" spans="1:10" ht="120" customHeight="1" x14ac:dyDescent="0.25">
      <c r="A24" s="6" t="s">
        <v>120</v>
      </c>
      <c r="B24" s="7" t="s">
        <v>18</v>
      </c>
      <c r="C24" s="7" t="s">
        <v>519</v>
      </c>
      <c r="D24" s="7">
        <v>1430</v>
      </c>
      <c r="E24" s="7">
        <v>137</v>
      </c>
      <c r="F24" s="7">
        <v>53.5</v>
      </c>
      <c r="G24" s="7">
        <v>83107.100000000006</v>
      </c>
      <c r="H24" s="7">
        <v>83160.600000000006</v>
      </c>
      <c r="I24" s="8" t="s">
        <v>520</v>
      </c>
      <c r="J24" s="9" t="s">
        <v>544</v>
      </c>
    </row>
    <row r="25" spans="1:10" ht="59.25" customHeight="1" thickBot="1" x14ac:dyDescent="0.3">
      <c r="A25" s="10" t="s">
        <v>120</v>
      </c>
      <c r="B25" s="11" t="s">
        <v>28</v>
      </c>
      <c r="C25" s="11" t="s">
        <v>519</v>
      </c>
      <c r="D25" s="11">
        <v>155</v>
      </c>
      <c r="E25" s="11">
        <v>240</v>
      </c>
      <c r="F25" s="11">
        <v>0</v>
      </c>
      <c r="G25" s="11">
        <v>45225.7</v>
      </c>
      <c r="H25" s="11">
        <v>45225.7</v>
      </c>
      <c r="I25" s="12" t="s">
        <v>522</v>
      </c>
      <c r="J25" s="13" t="s">
        <v>545</v>
      </c>
    </row>
    <row r="26" spans="1:10" ht="120" customHeight="1" x14ac:dyDescent="0.25">
      <c r="A26" s="6" t="s">
        <v>127</v>
      </c>
      <c r="B26" s="7" t="s">
        <v>18</v>
      </c>
      <c r="C26" s="7" t="s">
        <v>519</v>
      </c>
      <c r="D26" s="7">
        <v>1619</v>
      </c>
      <c r="E26" s="7">
        <v>52</v>
      </c>
      <c r="F26" s="7">
        <v>54.9</v>
      </c>
      <c r="G26" s="7">
        <v>112896.2</v>
      </c>
      <c r="H26" s="7">
        <v>112951</v>
      </c>
      <c r="I26" s="8" t="s">
        <v>520</v>
      </c>
      <c r="J26" s="9" t="s">
        <v>546</v>
      </c>
    </row>
    <row r="27" spans="1:10" ht="57.75" customHeight="1" thickBot="1" x14ac:dyDescent="0.3">
      <c r="A27" s="10" t="s">
        <v>127</v>
      </c>
      <c r="B27" s="11" t="s">
        <v>28</v>
      </c>
      <c r="C27" s="11" t="s">
        <v>519</v>
      </c>
      <c r="D27" s="11">
        <v>159</v>
      </c>
      <c r="E27" s="11">
        <v>164</v>
      </c>
      <c r="F27" s="11">
        <v>0</v>
      </c>
      <c r="G27" s="11">
        <v>44539.4</v>
      </c>
      <c r="H27" s="11">
        <v>44539.4</v>
      </c>
      <c r="I27" s="12" t="s">
        <v>522</v>
      </c>
      <c r="J27" s="13" t="s">
        <v>547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6"/>
  <sheetViews>
    <sheetView workbookViewId="0">
      <pane xSplit="2" ySplit="1" topLeftCell="C2" activePane="bottomRight" state="frozen"/>
      <selection pane="topRight"/>
      <selection pane="bottomLeft"/>
      <selection pane="bottomRight" activeCell="E2" sqref="E2"/>
    </sheetView>
  </sheetViews>
  <sheetFormatPr baseColWidth="10" defaultColWidth="9.140625" defaultRowHeight="15" x14ac:dyDescent="0.25"/>
  <cols>
    <col min="1" max="2" width="6" customWidth="1"/>
    <col min="3" max="3" width="8" customWidth="1"/>
    <col min="4" max="4" width="9" customWidth="1"/>
    <col min="5" max="5" width="12" customWidth="1"/>
    <col min="6" max="6" width="28" customWidth="1"/>
    <col min="7" max="7" width="16" customWidth="1"/>
    <col min="8" max="8" width="8" customWidth="1"/>
    <col min="9" max="9" width="9" customWidth="1"/>
    <col min="10" max="10" width="120" customWidth="1"/>
    <col min="11" max="11" width="38" customWidth="1"/>
    <col min="12" max="13" width="44" customWidth="1"/>
  </cols>
  <sheetData>
    <row r="1" spans="1:13" ht="30" x14ac:dyDescent="0.25">
      <c r="A1" s="1" t="s">
        <v>0</v>
      </c>
      <c r="B1" s="1" t="s">
        <v>1</v>
      </c>
      <c r="C1" s="1" t="s">
        <v>134</v>
      </c>
      <c r="D1" s="1" t="s">
        <v>135</v>
      </c>
      <c r="E1" s="1" t="s">
        <v>136</v>
      </c>
      <c r="F1" s="1" t="s">
        <v>137</v>
      </c>
      <c r="G1" s="1" t="s">
        <v>138</v>
      </c>
      <c r="H1" s="1" t="s">
        <v>139</v>
      </c>
      <c r="I1" s="1" t="s">
        <v>140</v>
      </c>
      <c r="J1" s="1" t="s">
        <v>141</v>
      </c>
      <c r="K1" s="1" t="s">
        <v>142</v>
      </c>
      <c r="L1" s="1" t="s">
        <v>143</v>
      </c>
      <c r="M1" s="1" t="s">
        <v>144</v>
      </c>
    </row>
    <row r="2" spans="1:13" ht="225" x14ac:dyDescent="0.25">
      <c r="A2" t="s">
        <v>17</v>
      </c>
      <c r="B2" t="s">
        <v>18</v>
      </c>
      <c r="C2">
        <v>1</v>
      </c>
      <c r="D2">
        <v>1</v>
      </c>
      <c r="E2" t="s">
        <v>145</v>
      </c>
      <c r="F2" t="s">
        <v>146</v>
      </c>
      <c r="G2" t="s">
        <v>147</v>
      </c>
      <c r="H2" t="s">
        <v>148</v>
      </c>
      <c r="J2" s="2" t="s">
        <v>149</v>
      </c>
      <c r="K2" t="s">
        <v>150</v>
      </c>
      <c r="L2" t="s">
        <v>151</v>
      </c>
      <c r="M2" t="s">
        <v>152</v>
      </c>
    </row>
    <row r="3" spans="1:13" ht="315" x14ac:dyDescent="0.25">
      <c r="A3" t="s">
        <v>17</v>
      </c>
      <c r="B3" t="s">
        <v>18</v>
      </c>
      <c r="C3">
        <v>2</v>
      </c>
      <c r="D3">
        <v>0.39219999999999999</v>
      </c>
      <c r="E3" t="s">
        <v>153</v>
      </c>
      <c r="F3" t="s">
        <v>154</v>
      </c>
      <c r="G3" t="s">
        <v>155</v>
      </c>
      <c r="H3" t="s">
        <v>156</v>
      </c>
      <c r="J3" s="2" t="s">
        <v>157</v>
      </c>
      <c r="K3" t="s">
        <v>158</v>
      </c>
      <c r="L3" t="s">
        <v>159</v>
      </c>
      <c r="M3" t="s">
        <v>160</v>
      </c>
    </row>
    <row r="4" spans="1:13" ht="409.5" x14ac:dyDescent="0.25">
      <c r="A4" t="s">
        <v>17</v>
      </c>
      <c r="B4" t="s">
        <v>18</v>
      </c>
      <c r="C4">
        <v>3</v>
      </c>
      <c r="D4">
        <v>0.33329999999999999</v>
      </c>
      <c r="E4" t="s">
        <v>161</v>
      </c>
      <c r="F4" t="s">
        <v>162</v>
      </c>
      <c r="G4" t="s">
        <v>163</v>
      </c>
      <c r="H4" t="s">
        <v>164</v>
      </c>
      <c r="J4" s="2" t="s">
        <v>165</v>
      </c>
      <c r="K4" t="s">
        <v>166</v>
      </c>
      <c r="L4" t="s">
        <v>167</v>
      </c>
      <c r="M4" t="s">
        <v>168</v>
      </c>
    </row>
    <row r="5" spans="1:13" ht="409.5" x14ac:dyDescent="0.25">
      <c r="A5" t="s">
        <v>17</v>
      </c>
      <c r="B5" t="s">
        <v>18</v>
      </c>
      <c r="C5">
        <v>4</v>
      </c>
      <c r="D5">
        <v>0.25559999999999999</v>
      </c>
      <c r="E5" t="s">
        <v>169</v>
      </c>
      <c r="F5" t="s">
        <v>170</v>
      </c>
      <c r="G5" t="s">
        <v>171</v>
      </c>
      <c r="H5" t="s">
        <v>172</v>
      </c>
      <c r="J5" s="2" t="s">
        <v>173</v>
      </c>
      <c r="K5" t="s">
        <v>174</v>
      </c>
      <c r="L5" t="s">
        <v>175</v>
      </c>
      <c r="M5" t="s">
        <v>176</v>
      </c>
    </row>
    <row r="6" spans="1:13" ht="270" x14ac:dyDescent="0.25">
      <c r="A6" t="s">
        <v>17</v>
      </c>
      <c r="B6" t="s">
        <v>18</v>
      </c>
      <c r="C6">
        <v>5</v>
      </c>
      <c r="D6">
        <v>0.25</v>
      </c>
      <c r="E6" t="s">
        <v>177</v>
      </c>
      <c r="F6" t="s">
        <v>178</v>
      </c>
      <c r="G6" t="s">
        <v>155</v>
      </c>
      <c r="H6" t="s">
        <v>156</v>
      </c>
      <c r="J6" s="2" t="s">
        <v>179</v>
      </c>
      <c r="K6" t="s">
        <v>180</v>
      </c>
      <c r="L6" t="s">
        <v>181</v>
      </c>
      <c r="M6" t="s">
        <v>182</v>
      </c>
    </row>
    <row r="7" spans="1:13" ht="375" x14ac:dyDescent="0.25">
      <c r="A7" t="s">
        <v>32</v>
      </c>
      <c r="B7" t="s">
        <v>18</v>
      </c>
      <c r="C7">
        <v>1</v>
      </c>
      <c r="D7">
        <v>0.5</v>
      </c>
      <c r="E7" t="s">
        <v>183</v>
      </c>
      <c r="F7" t="s">
        <v>184</v>
      </c>
      <c r="G7" t="s">
        <v>171</v>
      </c>
      <c r="H7" t="s">
        <v>185</v>
      </c>
      <c r="J7" s="2" t="s">
        <v>186</v>
      </c>
      <c r="K7" t="s">
        <v>187</v>
      </c>
      <c r="L7" t="s">
        <v>188</v>
      </c>
      <c r="M7" t="s">
        <v>189</v>
      </c>
    </row>
    <row r="8" spans="1:13" ht="150" x14ac:dyDescent="0.25">
      <c r="A8" s="4" t="s">
        <v>32</v>
      </c>
      <c r="B8" s="4" t="s">
        <v>18</v>
      </c>
      <c r="C8" s="4">
        <v>2</v>
      </c>
      <c r="D8" s="4">
        <v>0.5</v>
      </c>
      <c r="E8" s="4" t="s">
        <v>190</v>
      </c>
      <c r="F8" s="4" t="s">
        <v>191</v>
      </c>
      <c r="G8" s="4" t="s">
        <v>171</v>
      </c>
      <c r="H8" s="4" t="s">
        <v>192</v>
      </c>
      <c r="I8" s="4" t="s">
        <v>36</v>
      </c>
      <c r="J8" s="3" t="s">
        <v>193</v>
      </c>
      <c r="K8" s="4" t="s">
        <v>194</v>
      </c>
      <c r="L8" s="4" t="s">
        <v>195</v>
      </c>
      <c r="M8" s="4" t="s">
        <v>196</v>
      </c>
    </row>
    <row r="9" spans="1:13" ht="180" x14ac:dyDescent="0.25">
      <c r="A9" t="s">
        <v>32</v>
      </c>
      <c r="B9" t="s">
        <v>18</v>
      </c>
      <c r="C9">
        <v>3</v>
      </c>
      <c r="D9">
        <v>0.36109999999999998</v>
      </c>
      <c r="E9" t="s">
        <v>197</v>
      </c>
      <c r="F9" t="s">
        <v>198</v>
      </c>
      <c r="G9" t="s">
        <v>147</v>
      </c>
      <c r="H9" t="s">
        <v>199</v>
      </c>
      <c r="J9" s="2" t="s">
        <v>200</v>
      </c>
      <c r="K9" t="s">
        <v>201</v>
      </c>
      <c r="L9" t="s">
        <v>202</v>
      </c>
      <c r="M9" t="s">
        <v>203</v>
      </c>
    </row>
    <row r="10" spans="1:13" ht="360" x14ac:dyDescent="0.25">
      <c r="A10" t="s">
        <v>32</v>
      </c>
      <c r="B10" t="s">
        <v>18</v>
      </c>
      <c r="C10">
        <v>4</v>
      </c>
      <c r="D10">
        <v>0.33329999999999999</v>
      </c>
      <c r="E10" t="s">
        <v>204</v>
      </c>
      <c r="F10" t="s">
        <v>205</v>
      </c>
      <c r="G10" t="s">
        <v>206</v>
      </c>
      <c r="H10" t="s">
        <v>156</v>
      </c>
      <c r="J10" s="2" t="s">
        <v>207</v>
      </c>
      <c r="K10" t="s">
        <v>208</v>
      </c>
      <c r="L10" t="s">
        <v>209</v>
      </c>
      <c r="M10" t="s">
        <v>210</v>
      </c>
    </row>
    <row r="11" spans="1:13" ht="210" x14ac:dyDescent="0.25">
      <c r="A11" t="s">
        <v>32</v>
      </c>
      <c r="B11" t="s">
        <v>18</v>
      </c>
      <c r="C11">
        <v>5</v>
      </c>
      <c r="D11">
        <v>0.33329999999999999</v>
      </c>
      <c r="E11" t="s">
        <v>211</v>
      </c>
      <c r="F11" t="s">
        <v>212</v>
      </c>
      <c r="G11" t="s">
        <v>171</v>
      </c>
      <c r="H11" t="s">
        <v>213</v>
      </c>
      <c r="J11" s="2" t="s">
        <v>214</v>
      </c>
      <c r="K11" t="s">
        <v>215</v>
      </c>
      <c r="L11" t="s">
        <v>216</v>
      </c>
      <c r="M11" t="s">
        <v>217</v>
      </c>
    </row>
    <row r="12" spans="1:13" ht="150" x14ac:dyDescent="0.25">
      <c r="A12" s="4" t="s">
        <v>41</v>
      </c>
      <c r="B12" s="4" t="s">
        <v>18</v>
      </c>
      <c r="C12" s="4">
        <v>1</v>
      </c>
      <c r="D12" s="4">
        <v>1</v>
      </c>
      <c r="E12" s="4" t="s">
        <v>218</v>
      </c>
      <c r="F12" s="4" t="s">
        <v>219</v>
      </c>
      <c r="G12" s="4" t="s">
        <v>206</v>
      </c>
      <c r="H12" s="4" t="s">
        <v>220</v>
      </c>
      <c r="I12" s="4" t="s">
        <v>36</v>
      </c>
      <c r="J12" s="3" t="s">
        <v>221</v>
      </c>
      <c r="K12" s="4" t="s">
        <v>46</v>
      </c>
      <c r="L12" s="4" t="s">
        <v>222</v>
      </c>
      <c r="M12" s="4" t="s">
        <v>223</v>
      </c>
    </row>
    <row r="13" spans="1:13" ht="240" x14ac:dyDescent="0.25">
      <c r="A13" t="s">
        <v>41</v>
      </c>
      <c r="B13" t="s">
        <v>18</v>
      </c>
      <c r="C13">
        <v>2</v>
      </c>
      <c r="D13">
        <v>0.33329999999999999</v>
      </c>
      <c r="E13" t="s">
        <v>224</v>
      </c>
      <c r="F13" t="s">
        <v>225</v>
      </c>
      <c r="G13" t="s">
        <v>147</v>
      </c>
      <c r="H13" t="s">
        <v>199</v>
      </c>
      <c r="J13" s="2" t="s">
        <v>226</v>
      </c>
      <c r="K13" t="s">
        <v>227</v>
      </c>
      <c r="L13" t="s">
        <v>228</v>
      </c>
      <c r="M13" t="s">
        <v>229</v>
      </c>
    </row>
    <row r="14" spans="1:13" ht="180" x14ac:dyDescent="0.25">
      <c r="A14" t="s">
        <v>41</v>
      </c>
      <c r="B14" t="s">
        <v>18</v>
      </c>
      <c r="C14">
        <v>3</v>
      </c>
      <c r="D14">
        <v>0.33329999999999999</v>
      </c>
      <c r="E14" t="s">
        <v>230</v>
      </c>
      <c r="F14" t="s">
        <v>231</v>
      </c>
      <c r="G14" t="s">
        <v>171</v>
      </c>
      <c r="H14" t="s">
        <v>232</v>
      </c>
      <c r="J14" s="2" t="s">
        <v>233</v>
      </c>
      <c r="K14" t="s">
        <v>234</v>
      </c>
      <c r="L14" t="s">
        <v>235</v>
      </c>
      <c r="M14" t="s">
        <v>236</v>
      </c>
    </row>
    <row r="15" spans="1:13" ht="165" x14ac:dyDescent="0.25">
      <c r="A15" t="s">
        <v>41</v>
      </c>
      <c r="B15" t="s">
        <v>18</v>
      </c>
      <c r="C15">
        <v>4</v>
      </c>
      <c r="D15">
        <v>0.25</v>
      </c>
      <c r="E15" t="s">
        <v>237</v>
      </c>
      <c r="F15" t="s">
        <v>238</v>
      </c>
      <c r="G15" t="s">
        <v>147</v>
      </c>
      <c r="H15" t="s">
        <v>232</v>
      </c>
      <c r="J15" s="2" t="s">
        <v>239</v>
      </c>
      <c r="K15" t="s">
        <v>240</v>
      </c>
      <c r="L15" t="s">
        <v>241</v>
      </c>
      <c r="M15" t="s">
        <v>242</v>
      </c>
    </row>
    <row r="16" spans="1:13" ht="225" x14ac:dyDescent="0.25">
      <c r="A16" t="s">
        <v>41</v>
      </c>
      <c r="B16" t="s">
        <v>18</v>
      </c>
      <c r="C16">
        <v>5</v>
      </c>
      <c r="D16">
        <v>0.25</v>
      </c>
      <c r="E16" t="s">
        <v>243</v>
      </c>
      <c r="F16" t="s">
        <v>244</v>
      </c>
      <c r="G16" t="s">
        <v>147</v>
      </c>
      <c r="H16" t="s">
        <v>220</v>
      </c>
      <c r="J16" s="2" t="s">
        <v>245</v>
      </c>
      <c r="K16" t="s">
        <v>246</v>
      </c>
      <c r="L16" t="s">
        <v>247</v>
      </c>
      <c r="M16" t="s">
        <v>248</v>
      </c>
    </row>
    <row r="17" spans="1:13" ht="180" x14ac:dyDescent="0.25">
      <c r="A17" s="4" t="s">
        <v>49</v>
      </c>
      <c r="B17" s="4" t="s">
        <v>18</v>
      </c>
      <c r="C17" s="4">
        <v>1</v>
      </c>
      <c r="D17" s="4">
        <v>1</v>
      </c>
      <c r="E17" s="4" t="s">
        <v>249</v>
      </c>
      <c r="F17" s="4" t="s">
        <v>250</v>
      </c>
      <c r="G17" s="4" t="s">
        <v>155</v>
      </c>
      <c r="H17" s="4" t="s">
        <v>199</v>
      </c>
      <c r="I17" s="4" t="s">
        <v>36</v>
      </c>
      <c r="J17" s="3" t="s">
        <v>251</v>
      </c>
      <c r="K17" s="4" t="s">
        <v>56</v>
      </c>
      <c r="L17" s="4" t="s">
        <v>252</v>
      </c>
      <c r="M17" s="4" t="s">
        <v>253</v>
      </c>
    </row>
    <row r="18" spans="1:13" ht="90" x14ac:dyDescent="0.25">
      <c r="A18" t="s">
        <v>49</v>
      </c>
      <c r="B18" t="s">
        <v>18</v>
      </c>
      <c r="C18">
        <v>2</v>
      </c>
      <c r="D18">
        <v>0.66669999999999996</v>
      </c>
      <c r="E18" t="s">
        <v>254</v>
      </c>
      <c r="F18" t="s">
        <v>255</v>
      </c>
      <c r="G18" t="s">
        <v>147</v>
      </c>
      <c r="H18" t="s">
        <v>256</v>
      </c>
      <c r="J18" s="2" t="s">
        <v>257</v>
      </c>
      <c r="K18" t="s">
        <v>258</v>
      </c>
      <c r="L18" t="s">
        <v>259</v>
      </c>
      <c r="M18" t="s">
        <v>260</v>
      </c>
    </row>
    <row r="19" spans="1:13" ht="210" x14ac:dyDescent="0.25">
      <c r="A19" t="s">
        <v>49</v>
      </c>
      <c r="B19" t="s">
        <v>18</v>
      </c>
      <c r="C19">
        <v>3</v>
      </c>
      <c r="D19">
        <v>0.3</v>
      </c>
      <c r="E19" t="s">
        <v>261</v>
      </c>
      <c r="F19" t="s">
        <v>262</v>
      </c>
      <c r="G19" t="s">
        <v>163</v>
      </c>
      <c r="H19" t="s">
        <v>185</v>
      </c>
      <c r="J19" s="2" t="s">
        <v>263</v>
      </c>
      <c r="K19" t="s">
        <v>264</v>
      </c>
      <c r="L19" t="s">
        <v>265</v>
      </c>
      <c r="M19" t="s">
        <v>266</v>
      </c>
    </row>
    <row r="20" spans="1:13" ht="285" x14ac:dyDescent="0.25">
      <c r="A20" t="s">
        <v>49</v>
      </c>
      <c r="B20" t="s">
        <v>18</v>
      </c>
      <c r="C20">
        <v>4</v>
      </c>
      <c r="D20">
        <v>0.2576</v>
      </c>
      <c r="E20" t="s">
        <v>267</v>
      </c>
      <c r="F20" t="s">
        <v>268</v>
      </c>
      <c r="G20" t="s">
        <v>155</v>
      </c>
      <c r="H20" t="s">
        <v>156</v>
      </c>
      <c r="J20" s="2" t="s">
        <v>269</v>
      </c>
      <c r="K20" t="s">
        <v>270</v>
      </c>
      <c r="L20" t="s">
        <v>271</v>
      </c>
      <c r="M20" t="s">
        <v>272</v>
      </c>
    </row>
    <row r="21" spans="1:13" ht="300" x14ac:dyDescent="0.25">
      <c r="A21" t="s">
        <v>49</v>
      </c>
      <c r="B21" t="s">
        <v>18</v>
      </c>
      <c r="C21">
        <v>5</v>
      </c>
      <c r="D21">
        <v>0.25</v>
      </c>
      <c r="E21" t="s">
        <v>273</v>
      </c>
      <c r="F21" t="s">
        <v>274</v>
      </c>
      <c r="G21" t="s">
        <v>147</v>
      </c>
      <c r="H21" t="s">
        <v>275</v>
      </c>
      <c r="J21" s="2" t="s">
        <v>276</v>
      </c>
      <c r="K21" t="s">
        <v>277</v>
      </c>
      <c r="L21" t="s">
        <v>278</v>
      </c>
      <c r="M21" t="s">
        <v>279</v>
      </c>
    </row>
    <row r="22" spans="1:13" ht="225" x14ac:dyDescent="0.25">
      <c r="A22" t="s">
        <v>59</v>
      </c>
      <c r="B22" t="s">
        <v>18</v>
      </c>
      <c r="C22">
        <v>1</v>
      </c>
      <c r="D22">
        <v>0.75</v>
      </c>
      <c r="E22" t="s">
        <v>280</v>
      </c>
      <c r="F22" t="s">
        <v>281</v>
      </c>
      <c r="G22" t="s">
        <v>147</v>
      </c>
      <c r="H22" t="s">
        <v>282</v>
      </c>
      <c r="J22" s="2" t="s">
        <v>283</v>
      </c>
      <c r="K22" t="s">
        <v>284</v>
      </c>
      <c r="L22" t="s">
        <v>285</v>
      </c>
      <c r="M22" t="s">
        <v>286</v>
      </c>
    </row>
    <row r="23" spans="1:13" ht="225" x14ac:dyDescent="0.25">
      <c r="A23" t="s">
        <v>59</v>
      </c>
      <c r="B23" t="s">
        <v>18</v>
      </c>
      <c r="C23">
        <v>2</v>
      </c>
      <c r="D23">
        <v>0.55559999999999998</v>
      </c>
      <c r="E23" t="s">
        <v>280</v>
      </c>
      <c r="F23" t="s">
        <v>281</v>
      </c>
      <c r="G23" t="s">
        <v>147</v>
      </c>
      <c r="H23" t="s">
        <v>287</v>
      </c>
      <c r="J23" s="2" t="s">
        <v>288</v>
      </c>
      <c r="K23" t="s">
        <v>289</v>
      </c>
      <c r="L23" t="s">
        <v>285</v>
      </c>
      <c r="M23" t="s">
        <v>286</v>
      </c>
    </row>
    <row r="24" spans="1:13" ht="255" x14ac:dyDescent="0.25">
      <c r="A24" t="s">
        <v>59</v>
      </c>
      <c r="B24" t="s">
        <v>18</v>
      </c>
      <c r="C24">
        <v>3</v>
      </c>
      <c r="D24">
        <v>0.44440000000000002</v>
      </c>
      <c r="E24" t="s">
        <v>290</v>
      </c>
      <c r="F24" t="s">
        <v>291</v>
      </c>
      <c r="G24" t="s">
        <v>147</v>
      </c>
      <c r="H24" t="s">
        <v>292</v>
      </c>
      <c r="J24" s="2" t="s">
        <v>293</v>
      </c>
      <c r="K24" t="s">
        <v>294</v>
      </c>
      <c r="L24" t="s">
        <v>295</v>
      </c>
      <c r="M24" t="s">
        <v>296</v>
      </c>
    </row>
    <row r="25" spans="1:13" ht="285" x14ac:dyDescent="0.25">
      <c r="A25" t="s">
        <v>59</v>
      </c>
      <c r="B25" t="s">
        <v>18</v>
      </c>
      <c r="C25">
        <v>4</v>
      </c>
      <c r="D25">
        <v>0.33329999999999999</v>
      </c>
      <c r="E25" t="s">
        <v>297</v>
      </c>
      <c r="F25" t="s">
        <v>298</v>
      </c>
      <c r="G25" t="s">
        <v>155</v>
      </c>
      <c r="H25" t="s">
        <v>156</v>
      </c>
      <c r="J25" s="2" t="s">
        <v>299</v>
      </c>
      <c r="K25" t="s">
        <v>300</v>
      </c>
      <c r="L25" t="s">
        <v>301</v>
      </c>
      <c r="M25" t="s">
        <v>302</v>
      </c>
    </row>
    <row r="26" spans="1:13" ht="210" x14ac:dyDescent="0.25">
      <c r="A26" t="s">
        <v>59</v>
      </c>
      <c r="B26" t="s">
        <v>18</v>
      </c>
      <c r="C26">
        <v>5</v>
      </c>
      <c r="D26">
        <v>0.30259999999999998</v>
      </c>
      <c r="E26" t="s">
        <v>303</v>
      </c>
      <c r="F26" t="s">
        <v>304</v>
      </c>
      <c r="G26" t="s">
        <v>147</v>
      </c>
      <c r="H26" t="s">
        <v>305</v>
      </c>
      <c r="J26" s="2" t="s">
        <v>306</v>
      </c>
      <c r="K26" t="s">
        <v>307</v>
      </c>
      <c r="L26" t="s">
        <v>308</v>
      </c>
      <c r="M26" t="s">
        <v>309</v>
      </c>
    </row>
    <row r="27" spans="1:13" ht="315" x14ac:dyDescent="0.25">
      <c r="A27" t="s">
        <v>67</v>
      </c>
      <c r="B27" t="s">
        <v>18</v>
      </c>
      <c r="C27">
        <v>1</v>
      </c>
      <c r="D27">
        <v>0.5</v>
      </c>
      <c r="E27" t="s">
        <v>310</v>
      </c>
      <c r="F27" t="s">
        <v>311</v>
      </c>
      <c r="G27" t="s">
        <v>155</v>
      </c>
      <c r="H27" t="s">
        <v>156</v>
      </c>
      <c r="J27" s="2" t="s">
        <v>312</v>
      </c>
      <c r="K27" t="s">
        <v>313</v>
      </c>
      <c r="L27" t="s">
        <v>314</v>
      </c>
      <c r="M27" t="s">
        <v>315</v>
      </c>
    </row>
    <row r="28" spans="1:13" ht="135" x14ac:dyDescent="0.25">
      <c r="A28" t="s">
        <v>67</v>
      </c>
      <c r="B28" t="s">
        <v>18</v>
      </c>
      <c r="C28">
        <v>2</v>
      </c>
      <c r="D28">
        <v>0.5</v>
      </c>
      <c r="E28" t="s">
        <v>161</v>
      </c>
      <c r="F28" t="s">
        <v>162</v>
      </c>
      <c r="G28" t="s">
        <v>163</v>
      </c>
      <c r="H28" t="s">
        <v>232</v>
      </c>
      <c r="J28" s="2" t="s">
        <v>316</v>
      </c>
      <c r="K28" t="s">
        <v>317</v>
      </c>
      <c r="L28" t="s">
        <v>167</v>
      </c>
      <c r="M28" t="s">
        <v>168</v>
      </c>
    </row>
    <row r="29" spans="1:13" ht="405" x14ac:dyDescent="0.25">
      <c r="A29" t="s">
        <v>67</v>
      </c>
      <c r="B29" t="s">
        <v>18</v>
      </c>
      <c r="C29">
        <v>3</v>
      </c>
      <c r="D29">
        <v>0.38600000000000001</v>
      </c>
      <c r="E29" t="s">
        <v>318</v>
      </c>
      <c r="F29" t="s">
        <v>319</v>
      </c>
      <c r="G29" t="s">
        <v>155</v>
      </c>
      <c r="H29" t="s">
        <v>156</v>
      </c>
      <c r="J29" s="2" t="s">
        <v>320</v>
      </c>
      <c r="K29" t="s">
        <v>321</v>
      </c>
      <c r="L29" t="s">
        <v>322</v>
      </c>
      <c r="M29" t="s">
        <v>323</v>
      </c>
    </row>
    <row r="30" spans="1:13" ht="150" x14ac:dyDescent="0.25">
      <c r="A30" t="s">
        <v>67</v>
      </c>
      <c r="B30" t="s">
        <v>18</v>
      </c>
      <c r="C30">
        <v>4</v>
      </c>
      <c r="D30">
        <v>0.36670000000000003</v>
      </c>
      <c r="E30" t="s">
        <v>324</v>
      </c>
      <c r="F30" t="s">
        <v>325</v>
      </c>
      <c r="G30" t="s">
        <v>163</v>
      </c>
      <c r="H30" t="s">
        <v>213</v>
      </c>
      <c r="J30" s="2" t="s">
        <v>326</v>
      </c>
      <c r="K30" t="s">
        <v>327</v>
      </c>
      <c r="L30" t="s">
        <v>328</v>
      </c>
      <c r="M30" t="s">
        <v>329</v>
      </c>
    </row>
    <row r="31" spans="1:13" ht="409.5" x14ac:dyDescent="0.25">
      <c r="A31" s="4" t="s">
        <v>67</v>
      </c>
      <c r="B31" s="4" t="s">
        <v>18</v>
      </c>
      <c r="C31" s="4">
        <v>5</v>
      </c>
      <c r="D31" s="4">
        <v>0.33329999999999999</v>
      </c>
      <c r="E31" s="4" t="s">
        <v>324</v>
      </c>
      <c r="F31" s="4" t="s">
        <v>325</v>
      </c>
      <c r="G31" s="4" t="s">
        <v>163</v>
      </c>
      <c r="H31" s="4" t="s">
        <v>330</v>
      </c>
      <c r="I31" s="4" t="s">
        <v>36</v>
      </c>
      <c r="J31" s="3" t="s">
        <v>331</v>
      </c>
      <c r="K31" s="4" t="s">
        <v>73</v>
      </c>
      <c r="L31" s="4" t="s">
        <v>328</v>
      </c>
      <c r="M31" s="4" t="s">
        <v>329</v>
      </c>
    </row>
    <row r="32" spans="1:13" ht="315" x14ac:dyDescent="0.25">
      <c r="A32" s="4" t="s">
        <v>76</v>
      </c>
      <c r="B32" s="4" t="s">
        <v>18</v>
      </c>
      <c r="C32" s="4">
        <v>1</v>
      </c>
      <c r="D32" s="4">
        <v>1</v>
      </c>
      <c r="E32" s="4" t="s">
        <v>332</v>
      </c>
      <c r="F32" s="4" t="s">
        <v>333</v>
      </c>
      <c r="G32" s="4" t="s">
        <v>147</v>
      </c>
      <c r="H32" s="4" t="s">
        <v>334</v>
      </c>
      <c r="I32" s="4" t="s">
        <v>36</v>
      </c>
      <c r="J32" s="3" t="s">
        <v>335</v>
      </c>
      <c r="K32" s="4" t="s">
        <v>336</v>
      </c>
      <c r="L32" s="4" t="s">
        <v>337</v>
      </c>
      <c r="M32" s="4" t="s">
        <v>338</v>
      </c>
    </row>
    <row r="33" spans="1:13" ht="300" x14ac:dyDescent="0.25">
      <c r="A33" s="4" t="s">
        <v>76</v>
      </c>
      <c r="B33" s="4" t="s">
        <v>18</v>
      </c>
      <c r="C33" s="4">
        <v>2</v>
      </c>
      <c r="D33" s="4">
        <v>0.5</v>
      </c>
      <c r="E33" s="4" t="s">
        <v>332</v>
      </c>
      <c r="F33" s="4" t="s">
        <v>333</v>
      </c>
      <c r="G33" s="4" t="s">
        <v>147</v>
      </c>
      <c r="H33" s="4" t="s">
        <v>339</v>
      </c>
      <c r="I33" s="4" t="s">
        <v>36</v>
      </c>
      <c r="J33" s="3" t="s">
        <v>340</v>
      </c>
      <c r="K33" s="4" t="s">
        <v>341</v>
      </c>
      <c r="L33" s="4" t="s">
        <v>337</v>
      </c>
      <c r="M33" s="4" t="s">
        <v>338</v>
      </c>
    </row>
    <row r="34" spans="1:13" ht="210" x14ac:dyDescent="0.25">
      <c r="A34" t="s">
        <v>76</v>
      </c>
      <c r="B34" t="s">
        <v>18</v>
      </c>
      <c r="C34">
        <v>3</v>
      </c>
      <c r="D34">
        <v>0.47620000000000001</v>
      </c>
      <c r="E34" t="s">
        <v>332</v>
      </c>
      <c r="F34" t="s">
        <v>333</v>
      </c>
      <c r="G34" t="s">
        <v>147</v>
      </c>
      <c r="H34" t="s">
        <v>342</v>
      </c>
      <c r="J34" s="2" t="s">
        <v>343</v>
      </c>
      <c r="K34" t="s">
        <v>344</v>
      </c>
      <c r="L34" t="s">
        <v>337</v>
      </c>
      <c r="M34" t="s">
        <v>338</v>
      </c>
    </row>
    <row r="35" spans="1:13" ht="60" x14ac:dyDescent="0.25">
      <c r="A35" t="s">
        <v>76</v>
      </c>
      <c r="B35" t="s">
        <v>18</v>
      </c>
      <c r="C35">
        <v>4</v>
      </c>
      <c r="D35">
        <v>0.41670000000000001</v>
      </c>
      <c r="E35" t="s">
        <v>345</v>
      </c>
      <c r="F35" t="s">
        <v>346</v>
      </c>
      <c r="G35" t="s">
        <v>347</v>
      </c>
      <c r="H35" t="s">
        <v>199</v>
      </c>
      <c r="J35" s="2" t="s">
        <v>348</v>
      </c>
      <c r="K35" t="s">
        <v>349</v>
      </c>
      <c r="L35" t="s">
        <v>350</v>
      </c>
      <c r="M35" t="s">
        <v>351</v>
      </c>
    </row>
    <row r="36" spans="1:13" ht="409.5" x14ac:dyDescent="0.25">
      <c r="A36" t="s">
        <v>76</v>
      </c>
      <c r="B36" t="s">
        <v>18</v>
      </c>
      <c r="C36">
        <v>5</v>
      </c>
      <c r="D36">
        <v>0.39290000000000003</v>
      </c>
      <c r="E36" t="s">
        <v>352</v>
      </c>
      <c r="F36" t="s">
        <v>353</v>
      </c>
      <c r="G36" t="s">
        <v>354</v>
      </c>
      <c r="H36" t="s">
        <v>355</v>
      </c>
      <c r="J36" s="2" t="s">
        <v>356</v>
      </c>
      <c r="K36" t="s">
        <v>357</v>
      </c>
      <c r="L36" t="s">
        <v>358</v>
      </c>
      <c r="M36" t="s">
        <v>359</v>
      </c>
    </row>
    <row r="37" spans="1:13" ht="210" x14ac:dyDescent="0.25">
      <c r="A37" t="s">
        <v>84</v>
      </c>
      <c r="B37" t="s">
        <v>18</v>
      </c>
      <c r="C37">
        <v>1</v>
      </c>
      <c r="D37">
        <v>0.83330000000000004</v>
      </c>
      <c r="E37" t="s">
        <v>332</v>
      </c>
      <c r="F37" t="s">
        <v>333</v>
      </c>
      <c r="G37" t="s">
        <v>147</v>
      </c>
      <c r="H37" t="s">
        <v>342</v>
      </c>
      <c r="J37" s="2" t="s">
        <v>343</v>
      </c>
      <c r="K37" t="s">
        <v>344</v>
      </c>
      <c r="L37" t="s">
        <v>337</v>
      </c>
      <c r="M37" t="s">
        <v>338</v>
      </c>
    </row>
    <row r="38" spans="1:13" ht="60" x14ac:dyDescent="0.25">
      <c r="A38" t="s">
        <v>84</v>
      </c>
      <c r="B38" t="s">
        <v>18</v>
      </c>
      <c r="C38">
        <v>2</v>
      </c>
      <c r="D38">
        <v>0.83330000000000004</v>
      </c>
      <c r="E38" t="s">
        <v>345</v>
      </c>
      <c r="F38" t="s">
        <v>346</v>
      </c>
      <c r="G38" t="s">
        <v>347</v>
      </c>
      <c r="H38" t="s">
        <v>199</v>
      </c>
      <c r="J38" s="2" t="s">
        <v>348</v>
      </c>
      <c r="K38" t="s">
        <v>349</v>
      </c>
      <c r="L38" t="s">
        <v>350</v>
      </c>
      <c r="M38" t="s">
        <v>351</v>
      </c>
    </row>
    <row r="39" spans="1:13" ht="240" x14ac:dyDescent="0.25">
      <c r="A39" t="s">
        <v>84</v>
      </c>
      <c r="B39" t="s">
        <v>18</v>
      </c>
      <c r="C39">
        <v>3</v>
      </c>
      <c r="D39">
        <v>0.29089999999999999</v>
      </c>
      <c r="E39" t="s">
        <v>332</v>
      </c>
      <c r="F39" t="s">
        <v>333</v>
      </c>
      <c r="G39" t="s">
        <v>147</v>
      </c>
      <c r="H39" t="s">
        <v>360</v>
      </c>
      <c r="J39" s="2" t="s">
        <v>361</v>
      </c>
      <c r="K39" t="s">
        <v>362</v>
      </c>
      <c r="L39" t="s">
        <v>337</v>
      </c>
      <c r="M39" t="s">
        <v>338</v>
      </c>
    </row>
    <row r="40" spans="1:13" ht="409.5" x14ac:dyDescent="0.25">
      <c r="A40" t="s">
        <v>84</v>
      </c>
      <c r="B40" t="s">
        <v>18</v>
      </c>
      <c r="C40">
        <v>4</v>
      </c>
      <c r="D40">
        <v>0.25</v>
      </c>
      <c r="E40" t="s">
        <v>363</v>
      </c>
      <c r="F40" t="s">
        <v>364</v>
      </c>
      <c r="G40" t="s">
        <v>163</v>
      </c>
      <c r="H40" t="s">
        <v>185</v>
      </c>
      <c r="J40" s="2" t="s">
        <v>365</v>
      </c>
      <c r="K40" t="s">
        <v>366</v>
      </c>
      <c r="L40" t="s">
        <v>367</v>
      </c>
      <c r="M40" t="s">
        <v>368</v>
      </c>
    </row>
    <row r="41" spans="1:13" ht="180" x14ac:dyDescent="0.25">
      <c r="A41" t="s">
        <v>84</v>
      </c>
      <c r="B41" t="s">
        <v>18</v>
      </c>
      <c r="C41">
        <v>5</v>
      </c>
      <c r="D41">
        <v>0.25</v>
      </c>
      <c r="E41" t="s">
        <v>369</v>
      </c>
      <c r="F41" t="s">
        <v>370</v>
      </c>
      <c r="G41" t="s">
        <v>147</v>
      </c>
      <c r="H41" t="s">
        <v>287</v>
      </c>
      <c r="J41" s="2" t="s">
        <v>371</v>
      </c>
      <c r="K41" t="s">
        <v>372</v>
      </c>
      <c r="L41" t="s">
        <v>373</v>
      </c>
      <c r="M41" t="s">
        <v>374</v>
      </c>
    </row>
    <row r="42" spans="1:13" ht="195" x14ac:dyDescent="0.25">
      <c r="A42" t="s">
        <v>93</v>
      </c>
      <c r="B42" t="s">
        <v>18</v>
      </c>
      <c r="C42">
        <v>1</v>
      </c>
      <c r="D42">
        <v>0.57689999999999997</v>
      </c>
      <c r="E42" t="s">
        <v>375</v>
      </c>
      <c r="F42" t="s">
        <v>376</v>
      </c>
      <c r="G42" t="s">
        <v>147</v>
      </c>
      <c r="H42" t="s">
        <v>213</v>
      </c>
      <c r="J42" s="2" t="s">
        <v>377</v>
      </c>
      <c r="K42" t="s">
        <v>378</v>
      </c>
      <c r="L42" t="s">
        <v>379</v>
      </c>
      <c r="M42" t="s">
        <v>380</v>
      </c>
    </row>
    <row r="43" spans="1:13" ht="150" x14ac:dyDescent="0.25">
      <c r="A43" t="s">
        <v>93</v>
      </c>
      <c r="B43" t="s">
        <v>18</v>
      </c>
      <c r="C43">
        <v>2</v>
      </c>
      <c r="D43">
        <v>0.5</v>
      </c>
      <c r="E43" t="s">
        <v>190</v>
      </c>
      <c r="F43" t="s">
        <v>191</v>
      </c>
      <c r="G43" t="s">
        <v>171</v>
      </c>
      <c r="H43" t="s">
        <v>192</v>
      </c>
      <c r="J43" s="2" t="s">
        <v>193</v>
      </c>
      <c r="K43" t="s">
        <v>194</v>
      </c>
      <c r="L43" t="s">
        <v>195</v>
      </c>
      <c r="M43" t="s">
        <v>196</v>
      </c>
    </row>
    <row r="44" spans="1:13" ht="180" x14ac:dyDescent="0.25">
      <c r="A44" t="s">
        <v>93</v>
      </c>
      <c r="B44" t="s">
        <v>18</v>
      </c>
      <c r="C44">
        <v>3</v>
      </c>
      <c r="D44">
        <v>0.35</v>
      </c>
      <c r="E44" t="s">
        <v>190</v>
      </c>
      <c r="F44" t="s">
        <v>191</v>
      </c>
      <c r="G44" t="s">
        <v>171</v>
      </c>
      <c r="H44" t="s">
        <v>381</v>
      </c>
      <c r="J44" s="2" t="s">
        <v>382</v>
      </c>
      <c r="K44" t="s">
        <v>383</v>
      </c>
      <c r="L44" t="s">
        <v>195</v>
      </c>
      <c r="M44" t="s">
        <v>196</v>
      </c>
    </row>
    <row r="45" spans="1:13" ht="240" x14ac:dyDescent="0.25">
      <c r="A45" t="s">
        <v>93</v>
      </c>
      <c r="B45" t="s">
        <v>18</v>
      </c>
      <c r="C45">
        <v>4</v>
      </c>
      <c r="D45">
        <v>0.33329999999999999</v>
      </c>
      <c r="E45" t="s">
        <v>384</v>
      </c>
      <c r="F45" t="s">
        <v>376</v>
      </c>
      <c r="G45" t="s">
        <v>147</v>
      </c>
      <c r="H45" t="s">
        <v>192</v>
      </c>
      <c r="J45" s="2" t="s">
        <v>385</v>
      </c>
      <c r="K45" t="s">
        <v>386</v>
      </c>
      <c r="L45" t="s">
        <v>387</v>
      </c>
      <c r="M45" t="s">
        <v>388</v>
      </c>
    </row>
    <row r="46" spans="1:13" ht="390" x14ac:dyDescent="0.25">
      <c r="A46" s="4" t="s">
        <v>93</v>
      </c>
      <c r="B46" s="4" t="s">
        <v>18</v>
      </c>
      <c r="C46" s="4">
        <v>5</v>
      </c>
      <c r="D46" s="4">
        <v>0.33329999999999999</v>
      </c>
      <c r="E46" s="4" t="s">
        <v>190</v>
      </c>
      <c r="F46" s="4" t="s">
        <v>191</v>
      </c>
      <c r="G46" s="4" t="s">
        <v>171</v>
      </c>
      <c r="H46" s="4" t="s">
        <v>275</v>
      </c>
      <c r="I46" s="4" t="s">
        <v>36</v>
      </c>
      <c r="J46" s="3" t="s">
        <v>389</v>
      </c>
      <c r="K46" s="4" t="s">
        <v>390</v>
      </c>
      <c r="L46" s="4" t="s">
        <v>195</v>
      </c>
      <c r="M46" s="4" t="s">
        <v>196</v>
      </c>
    </row>
    <row r="47" spans="1:13" ht="165" x14ac:dyDescent="0.25">
      <c r="A47" t="s">
        <v>102</v>
      </c>
      <c r="B47" t="s">
        <v>18</v>
      </c>
      <c r="C47">
        <v>1</v>
      </c>
      <c r="D47">
        <v>1</v>
      </c>
      <c r="E47" t="s">
        <v>391</v>
      </c>
      <c r="F47" t="s">
        <v>392</v>
      </c>
      <c r="G47" t="s">
        <v>171</v>
      </c>
      <c r="H47" t="s">
        <v>287</v>
      </c>
      <c r="J47" s="2" t="s">
        <v>393</v>
      </c>
      <c r="K47" t="s">
        <v>394</v>
      </c>
      <c r="L47" t="s">
        <v>395</v>
      </c>
      <c r="M47" t="s">
        <v>396</v>
      </c>
    </row>
    <row r="48" spans="1:13" ht="225" x14ac:dyDescent="0.25">
      <c r="A48" t="s">
        <v>102</v>
      </c>
      <c r="B48" t="s">
        <v>18</v>
      </c>
      <c r="C48">
        <v>2</v>
      </c>
      <c r="D48">
        <v>0.41670000000000001</v>
      </c>
      <c r="E48" t="s">
        <v>397</v>
      </c>
      <c r="F48" t="s">
        <v>398</v>
      </c>
      <c r="G48" t="s">
        <v>147</v>
      </c>
      <c r="H48" t="s">
        <v>199</v>
      </c>
      <c r="J48" s="2" t="s">
        <v>399</v>
      </c>
      <c r="K48" t="s">
        <v>400</v>
      </c>
      <c r="L48" t="s">
        <v>401</v>
      </c>
      <c r="M48" t="s">
        <v>402</v>
      </c>
    </row>
    <row r="49" spans="1:13" ht="225" x14ac:dyDescent="0.25">
      <c r="A49" t="s">
        <v>102</v>
      </c>
      <c r="B49" t="s">
        <v>18</v>
      </c>
      <c r="C49">
        <v>3</v>
      </c>
      <c r="D49">
        <v>0.39290000000000003</v>
      </c>
      <c r="E49" t="s">
        <v>403</v>
      </c>
      <c r="F49" t="s">
        <v>404</v>
      </c>
      <c r="G49" t="s">
        <v>147</v>
      </c>
      <c r="H49" t="s">
        <v>405</v>
      </c>
      <c r="J49" s="2" t="s">
        <v>406</v>
      </c>
      <c r="K49" t="s">
        <v>407</v>
      </c>
      <c r="L49" t="s">
        <v>408</v>
      </c>
      <c r="M49" t="s">
        <v>409</v>
      </c>
    </row>
    <row r="50" spans="1:13" ht="270" x14ac:dyDescent="0.25">
      <c r="A50" t="s">
        <v>102</v>
      </c>
      <c r="B50" t="s">
        <v>18</v>
      </c>
      <c r="C50">
        <v>4</v>
      </c>
      <c r="D50">
        <v>0.38329999999999997</v>
      </c>
      <c r="E50" t="s">
        <v>410</v>
      </c>
      <c r="F50" t="s">
        <v>411</v>
      </c>
      <c r="G50" t="s">
        <v>347</v>
      </c>
      <c r="H50" t="s">
        <v>220</v>
      </c>
      <c r="J50" s="2" t="s">
        <v>412</v>
      </c>
      <c r="K50" t="s">
        <v>413</v>
      </c>
      <c r="L50" t="s">
        <v>414</v>
      </c>
      <c r="M50" t="s">
        <v>415</v>
      </c>
    </row>
    <row r="51" spans="1:13" ht="210" x14ac:dyDescent="0.25">
      <c r="A51" t="s">
        <v>102</v>
      </c>
      <c r="B51" t="s">
        <v>18</v>
      </c>
      <c r="C51">
        <v>5</v>
      </c>
      <c r="D51">
        <v>0.33329999999999999</v>
      </c>
      <c r="E51" t="s">
        <v>403</v>
      </c>
      <c r="F51" t="s">
        <v>404</v>
      </c>
      <c r="G51" t="s">
        <v>147</v>
      </c>
      <c r="H51" t="s">
        <v>416</v>
      </c>
      <c r="J51" s="2" t="s">
        <v>417</v>
      </c>
      <c r="K51" t="s">
        <v>418</v>
      </c>
      <c r="L51" t="s">
        <v>408</v>
      </c>
      <c r="M51" t="s">
        <v>409</v>
      </c>
    </row>
    <row r="52" spans="1:13" ht="375" x14ac:dyDescent="0.25">
      <c r="A52" t="s">
        <v>112</v>
      </c>
      <c r="B52" t="s">
        <v>18</v>
      </c>
      <c r="C52">
        <v>1</v>
      </c>
      <c r="D52">
        <v>0.5</v>
      </c>
      <c r="E52" t="s">
        <v>419</v>
      </c>
      <c r="F52" t="s">
        <v>420</v>
      </c>
      <c r="G52" t="s">
        <v>206</v>
      </c>
      <c r="H52" t="s">
        <v>355</v>
      </c>
      <c r="J52" s="2" t="s">
        <v>421</v>
      </c>
      <c r="K52" t="s">
        <v>422</v>
      </c>
      <c r="L52" t="s">
        <v>423</v>
      </c>
      <c r="M52" t="s">
        <v>424</v>
      </c>
    </row>
    <row r="53" spans="1:13" ht="285" x14ac:dyDescent="0.25">
      <c r="A53" t="s">
        <v>112</v>
      </c>
      <c r="B53" t="s">
        <v>18</v>
      </c>
      <c r="C53">
        <v>2</v>
      </c>
      <c r="D53">
        <v>0.5</v>
      </c>
      <c r="E53" t="s">
        <v>425</v>
      </c>
      <c r="F53" t="s">
        <v>426</v>
      </c>
      <c r="G53" t="s">
        <v>171</v>
      </c>
      <c r="H53" t="s">
        <v>185</v>
      </c>
      <c r="J53" s="2" t="s">
        <v>427</v>
      </c>
      <c r="K53" t="s">
        <v>428</v>
      </c>
      <c r="L53" t="s">
        <v>429</v>
      </c>
      <c r="M53" t="s">
        <v>430</v>
      </c>
    </row>
    <row r="54" spans="1:13" ht="300" x14ac:dyDescent="0.25">
      <c r="A54" t="s">
        <v>112</v>
      </c>
      <c r="B54" t="s">
        <v>18</v>
      </c>
      <c r="C54">
        <v>3</v>
      </c>
      <c r="D54">
        <v>0.33329999999999999</v>
      </c>
      <c r="E54" t="s">
        <v>431</v>
      </c>
      <c r="F54" t="s">
        <v>432</v>
      </c>
      <c r="G54" t="s">
        <v>171</v>
      </c>
      <c r="H54" t="s">
        <v>433</v>
      </c>
      <c r="J54" s="2" t="s">
        <v>434</v>
      </c>
      <c r="K54" t="s">
        <v>435</v>
      </c>
      <c r="L54" t="s">
        <v>436</v>
      </c>
      <c r="M54" t="s">
        <v>437</v>
      </c>
    </row>
    <row r="55" spans="1:13" ht="165" x14ac:dyDescent="0.25">
      <c r="A55" t="s">
        <v>112</v>
      </c>
      <c r="B55" t="s">
        <v>18</v>
      </c>
      <c r="C55">
        <v>4</v>
      </c>
      <c r="D55">
        <v>0.33329999999999999</v>
      </c>
      <c r="E55" t="s">
        <v>438</v>
      </c>
      <c r="F55" t="s">
        <v>439</v>
      </c>
      <c r="G55" t="s">
        <v>147</v>
      </c>
      <c r="H55" t="s">
        <v>199</v>
      </c>
      <c r="J55" s="2" t="s">
        <v>440</v>
      </c>
      <c r="K55" t="s">
        <v>441</v>
      </c>
      <c r="L55" t="s">
        <v>442</v>
      </c>
      <c r="M55" t="s">
        <v>443</v>
      </c>
    </row>
    <row r="56" spans="1:13" ht="409.5" x14ac:dyDescent="0.25">
      <c r="A56" t="s">
        <v>112</v>
      </c>
      <c r="B56" t="s">
        <v>18</v>
      </c>
      <c r="C56">
        <v>5</v>
      </c>
      <c r="D56">
        <v>0.27139999999999997</v>
      </c>
      <c r="E56" t="s">
        <v>444</v>
      </c>
      <c r="F56" t="s">
        <v>445</v>
      </c>
      <c r="G56" t="s">
        <v>206</v>
      </c>
      <c r="H56" t="s">
        <v>156</v>
      </c>
      <c r="J56" s="2" t="s">
        <v>446</v>
      </c>
      <c r="K56" t="s">
        <v>447</v>
      </c>
      <c r="L56" t="s">
        <v>448</v>
      </c>
      <c r="M56" t="s">
        <v>449</v>
      </c>
    </row>
    <row r="57" spans="1:13" ht="409.5" x14ac:dyDescent="0.25">
      <c r="A57" t="s">
        <v>120</v>
      </c>
      <c r="B57" t="s">
        <v>18</v>
      </c>
      <c r="C57">
        <v>1</v>
      </c>
      <c r="D57">
        <v>0.5</v>
      </c>
      <c r="E57" t="s">
        <v>450</v>
      </c>
      <c r="F57" t="s">
        <v>450</v>
      </c>
      <c r="G57" t="s">
        <v>354</v>
      </c>
      <c r="H57" t="s">
        <v>156</v>
      </c>
      <c r="J57" s="2" t="s">
        <v>451</v>
      </c>
      <c r="K57" t="s">
        <v>452</v>
      </c>
      <c r="L57" t="s">
        <v>453</v>
      </c>
      <c r="M57" t="s">
        <v>454</v>
      </c>
    </row>
    <row r="58" spans="1:13" ht="195" x14ac:dyDescent="0.25">
      <c r="A58" t="s">
        <v>120</v>
      </c>
      <c r="B58" t="s">
        <v>18</v>
      </c>
      <c r="C58">
        <v>2</v>
      </c>
      <c r="D58">
        <v>0.5</v>
      </c>
      <c r="E58" t="s">
        <v>455</v>
      </c>
      <c r="F58" t="s">
        <v>456</v>
      </c>
      <c r="G58" t="s">
        <v>155</v>
      </c>
      <c r="H58" t="s">
        <v>220</v>
      </c>
      <c r="J58" s="2" t="s">
        <v>457</v>
      </c>
      <c r="K58" t="s">
        <v>458</v>
      </c>
      <c r="L58" t="s">
        <v>459</v>
      </c>
      <c r="M58" t="s">
        <v>460</v>
      </c>
    </row>
    <row r="59" spans="1:13" ht="150" x14ac:dyDescent="0.25">
      <c r="A59" t="s">
        <v>120</v>
      </c>
      <c r="B59" t="s">
        <v>18</v>
      </c>
      <c r="C59">
        <v>3</v>
      </c>
      <c r="D59">
        <v>0.33329999999999999</v>
      </c>
      <c r="E59" t="s">
        <v>461</v>
      </c>
      <c r="F59" t="s">
        <v>462</v>
      </c>
      <c r="G59" t="s">
        <v>155</v>
      </c>
      <c r="H59" t="s">
        <v>232</v>
      </c>
      <c r="J59" s="2" t="s">
        <v>463</v>
      </c>
      <c r="K59" t="s">
        <v>464</v>
      </c>
      <c r="L59" t="s">
        <v>465</v>
      </c>
      <c r="M59" t="s">
        <v>466</v>
      </c>
    </row>
    <row r="60" spans="1:13" ht="75" x14ac:dyDescent="0.25">
      <c r="A60" t="s">
        <v>120</v>
      </c>
      <c r="B60" t="s">
        <v>18</v>
      </c>
      <c r="C60">
        <v>4</v>
      </c>
      <c r="D60">
        <v>0.33329999999999999</v>
      </c>
      <c r="E60" t="s">
        <v>467</v>
      </c>
      <c r="F60" t="s">
        <v>468</v>
      </c>
      <c r="G60" t="s">
        <v>147</v>
      </c>
      <c r="H60" t="s">
        <v>192</v>
      </c>
      <c r="J60" s="2" t="s">
        <v>469</v>
      </c>
      <c r="K60" t="s">
        <v>470</v>
      </c>
      <c r="L60" t="s">
        <v>471</v>
      </c>
      <c r="M60" t="s">
        <v>472</v>
      </c>
    </row>
    <row r="61" spans="1:13" ht="150" x14ac:dyDescent="0.25">
      <c r="A61" t="s">
        <v>120</v>
      </c>
      <c r="B61" t="s">
        <v>18</v>
      </c>
      <c r="C61">
        <v>5</v>
      </c>
      <c r="D61">
        <v>0.25</v>
      </c>
      <c r="E61" t="s">
        <v>473</v>
      </c>
      <c r="F61" t="s">
        <v>474</v>
      </c>
      <c r="G61" t="s">
        <v>155</v>
      </c>
      <c r="H61" t="s">
        <v>232</v>
      </c>
      <c r="J61" s="2" t="s">
        <v>475</v>
      </c>
      <c r="K61" t="s">
        <v>476</v>
      </c>
      <c r="L61" t="s">
        <v>477</v>
      </c>
      <c r="M61" t="s">
        <v>478</v>
      </c>
    </row>
    <row r="62" spans="1:13" ht="409.5" x14ac:dyDescent="0.25">
      <c r="A62" t="s">
        <v>127</v>
      </c>
      <c r="B62" t="s">
        <v>18</v>
      </c>
      <c r="C62">
        <v>1</v>
      </c>
      <c r="D62">
        <v>0.5</v>
      </c>
      <c r="E62" t="s">
        <v>479</v>
      </c>
      <c r="F62" t="s">
        <v>480</v>
      </c>
      <c r="G62" t="s">
        <v>481</v>
      </c>
      <c r="H62" t="s">
        <v>164</v>
      </c>
      <c r="J62" s="2" t="s">
        <v>482</v>
      </c>
      <c r="K62" t="s">
        <v>483</v>
      </c>
      <c r="L62" t="s">
        <v>484</v>
      </c>
      <c r="M62" t="s">
        <v>485</v>
      </c>
    </row>
    <row r="63" spans="1:13" ht="270" x14ac:dyDescent="0.25">
      <c r="A63" t="s">
        <v>127</v>
      </c>
      <c r="B63" t="s">
        <v>18</v>
      </c>
      <c r="C63">
        <v>2</v>
      </c>
      <c r="D63">
        <v>0.5</v>
      </c>
      <c r="E63" t="s">
        <v>486</v>
      </c>
      <c r="F63" t="s">
        <v>487</v>
      </c>
      <c r="G63" t="s">
        <v>147</v>
      </c>
      <c r="H63" t="s">
        <v>287</v>
      </c>
      <c r="J63" s="2" t="s">
        <v>488</v>
      </c>
      <c r="K63" t="s">
        <v>489</v>
      </c>
      <c r="L63" t="s">
        <v>490</v>
      </c>
      <c r="M63" t="s">
        <v>491</v>
      </c>
    </row>
    <row r="64" spans="1:13" ht="240" x14ac:dyDescent="0.25">
      <c r="A64" t="s">
        <v>127</v>
      </c>
      <c r="B64" t="s">
        <v>18</v>
      </c>
      <c r="C64">
        <v>3</v>
      </c>
      <c r="D64">
        <v>0.38329999999999997</v>
      </c>
      <c r="E64" t="s">
        <v>492</v>
      </c>
      <c r="F64" t="s">
        <v>493</v>
      </c>
      <c r="G64" t="s">
        <v>147</v>
      </c>
      <c r="H64" t="s">
        <v>232</v>
      </c>
      <c r="J64" s="2" t="s">
        <v>494</v>
      </c>
      <c r="K64" t="s">
        <v>495</v>
      </c>
      <c r="L64" t="s">
        <v>496</v>
      </c>
      <c r="M64" t="s">
        <v>497</v>
      </c>
    </row>
    <row r="65" spans="1:13" ht="90" x14ac:dyDescent="0.25">
      <c r="A65" t="s">
        <v>127</v>
      </c>
      <c r="B65" t="s">
        <v>18</v>
      </c>
      <c r="C65">
        <v>4</v>
      </c>
      <c r="D65">
        <v>0.33329999999999999</v>
      </c>
      <c r="E65" t="s">
        <v>498</v>
      </c>
      <c r="F65" t="s">
        <v>499</v>
      </c>
      <c r="G65" t="s">
        <v>500</v>
      </c>
      <c r="H65" t="s">
        <v>156</v>
      </c>
      <c r="J65" s="2" t="s">
        <v>501</v>
      </c>
      <c r="K65" t="s">
        <v>502</v>
      </c>
      <c r="L65" t="s">
        <v>503</v>
      </c>
      <c r="M65" t="s">
        <v>504</v>
      </c>
    </row>
    <row r="66" spans="1:13" ht="225" x14ac:dyDescent="0.25">
      <c r="A66" t="s">
        <v>127</v>
      </c>
      <c r="B66" t="s">
        <v>18</v>
      </c>
      <c r="C66">
        <v>5</v>
      </c>
      <c r="D66">
        <v>0.29170000000000001</v>
      </c>
      <c r="E66" t="s">
        <v>505</v>
      </c>
      <c r="F66" t="s">
        <v>506</v>
      </c>
      <c r="G66" t="s">
        <v>147</v>
      </c>
      <c r="H66" t="s">
        <v>199</v>
      </c>
      <c r="J66" s="2" t="s">
        <v>507</v>
      </c>
      <c r="K66" t="s">
        <v>508</v>
      </c>
      <c r="L66" t="s">
        <v>509</v>
      </c>
      <c r="M66" t="s">
        <v>510</v>
      </c>
    </row>
  </sheetData>
  <autoFilter ref="A1:M66" xr:uid="{00000000-0001-0000-01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Guia</vt:lpstr>
      <vt:lpstr>Calificacion</vt:lpstr>
      <vt:lpstr>Resumen</vt:lpstr>
      <vt:lpstr>Config</vt:lpstr>
      <vt:lpstr>LLM_ToggleThink</vt:lpstr>
      <vt:lpstr>Prompts</vt:lpstr>
      <vt:lpstr>Contextos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Helpdesk csoc4</cp:lastModifiedBy>
  <dcterms:created xsi:type="dcterms:W3CDTF">2026-09-23T03:25:35Z</dcterms:created>
  <dcterms:modified xsi:type="dcterms:W3CDTF">2026-09-24T14:29:07Z</dcterms:modified>
</cp:coreProperties>
</file>