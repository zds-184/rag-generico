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S_USFQ\CAPSTON\RAG\eval\pilot\results\20260922_064359\"/>
    </mc:Choice>
  </mc:AlternateContent>
  <xr:revisionPtr revIDLastSave="0" documentId="13_ncr:1_{A06C6053-994F-4250-9539-058D0C74174C}" xr6:coauthVersionLast="47" xr6:coauthVersionMax="47" xr10:uidLastSave="{00000000-0000-0000-0000-000000000000}"/>
  <bookViews>
    <workbookView xWindow="-120" yWindow="-120" windowWidth="20730" windowHeight="11760" activeTab="1" xr2:uid="{00000000-000D-0000-FFFF-FFFF00000000}"/>
  </bookViews>
  <sheets>
    <sheet name="Guia" sheetId="5" r:id="rId1"/>
    <sheet name="Calificacion" sheetId="1" r:id="rId2"/>
    <sheet name="Resumen" sheetId="6" r:id="rId3"/>
    <sheet name="Config" sheetId="4" r:id="rId4"/>
    <sheet name="LLM_ToggleThink" sheetId="7" r:id="rId5"/>
    <sheet name="Prompts" sheetId="3" r:id="rId6"/>
    <sheet name="Contextos" sheetId="2" r:id="rId7"/>
  </sheets>
  <definedNames>
    <definedName name="_xlnm._FilterDatabase" localSheetId="1" hidden="1">Calificacion!$A$1:$R$27</definedName>
    <definedName name="_xlnm._FilterDatabase" localSheetId="6" hidden="1">Contextos!$A$1:$M$66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 l="1"/>
  <c r="F7" i="3"/>
  <c r="F8" i="3"/>
  <c r="F9" i="3"/>
  <c r="F10" i="3"/>
  <c r="F11" i="3"/>
  <c r="F12" i="3"/>
  <c r="F13" i="3"/>
  <c r="F14" i="3"/>
  <c r="F15" i="3"/>
  <c r="F16" i="3"/>
  <c r="F17" i="3"/>
  <c r="F18" i="3"/>
  <c r="F19" i="3"/>
  <c r="F20" i="3"/>
  <c r="F21" i="3"/>
  <c r="F22" i="3"/>
  <c r="F23" i="3"/>
  <c r="F24" i="3"/>
  <c r="F25" i="3"/>
  <c r="F26" i="3"/>
  <c r="F27" i="3"/>
  <c r="F4" i="3"/>
  <c r="F5" i="3"/>
  <c r="F3" i="3"/>
  <c r="F2" i="3"/>
  <c r="C12" i="6"/>
  <c r="B12" i="6"/>
  <c r="C11" i="6"/>
  <c r="B11" i="6"/>
  <c r="C10" i="6"/>
  <c r="B10" i="6"/>
  <c r="C9" i="6"/>
  <c r="B9" i="6"/>
  <c r="C8" i="6"/>
  <c r="B8" i="6"/>
  <c r="B5" i="6"/>
  <c r="B4" i="6"/>
  <c r="C3" i="6"/>
  <c r="B3" i="6"/>
  <c r="C2" i="6"/>
  <c r="B2" i="6"/>
</calcChain>
</file>

<file path=xl/sharedStrings.xml><?xml version="1.0" encoding="utf-8"?>
<sst xmlns="http://schemas.openxmlformats.org/spreadsheetml/2006/main" count="1208" uniqueCount="621">
  <si>
    <t>id</t>
  </si>
  <si>
    <t>modo</t>
  </si>
  <si>
    <t>idioma</t>
  </si>
  <si>
    <t>N0 corpus (auto)</t>
  </si>
  <si>
    <t>pregunta</t>
  </si>
  <si>
    <t>respuesta de referencia</t>
  </si>
  <si>
    <t>parte NO respondible</t>
  </si>
  <si>
    <t>RESPUESTA DEL SISTEMA</t>
  </si>
  <si>
    <t>N1 gold en top-k (auto)</t>
  </si>
  <si>
    <t>N1 rango (auto)</t>
  </si>
  <si>
    <t>N1 attack_ids recuperados (auto)</t>
  </si>
  <si>
    <t>N2 respuesta (0/1/2)</t>
  </si>
  <si>
    <t>N3 citas (0/1/2)</t>
  </si>
  <si>
    <t>DIAGNOSTICO</t>
  </si>
  <si>
    <t>comentario</t>
  </si>
  <si>
    <t>gold_point_ids esperados (auto)</t>
  </si>
  <si>
    <t>point_ids recuperados (auto)</t>
  </si>
  <si>
    <t>p01</t>
  </si>
  <si>
    <t>RAG</t>
  </si>
  <si>
    <t>completa</t>
  </si>
  <si>
    <t>¿Qué mitigaciones propone ATT&amp;CK para la sub-técnica T1059.001 PowerShell y en qué consiste cada una?</t>
  </si>
  <si>
    <t>-</t>
  </si>
  <si>
    <t>No se proporciona información en los contextos pasados sobre mitigaciones específicas para la sub-técnica T1059.001 PowerShell. Por lo tanto, no se puede responder a la pregunta con base en los datos ofrecidos.</t>
  </si>
  <si>
    <t>NO</t>
  </si>
  <si>
    <t>T1059.001, S1193, G0099, T1059, S0393</t>
  </si>
  <si>
    <t>1a6dadb3-8062-5fe2-893a-16bb2f3f9595
124ac693-8c28-5a9f-9362-e91899a4361d</t>
  </si>
  <si>
    <t>[1] 0a79d1de-5953-5bf1-91d8-c87bbbf93bc8
[2] 4890209d-7610-5835-817d-6f8eb92c4ff3
[3] a2e64c2d-7e66-5e5a-86df-0543d7957b56
[4] 12155368-afb0-5e72-bdbd-189ee840f96e
[5] 3176af7f-1b20-500d-8754-9e2746f08472</t>
  </si>
  <si>
    <t>LLM</t>
  </si>
  <si>
    <t>La sub-técnica **T1059.001** de ATT&amp;CK se refiere a **"Command and Scripting Interpreter"** con el enfoque específico de **PowerShell** (uso de PowerShell para ejecutar comandos y scripts). Aunque ATT&amp;CK no proporciona una lista detallada de "mitigaciones" en el sentido de soluciones técnicas específicas para cada sub-técnica, sí ofrece **recomendaciones de mitigación** basadas en buenas prácticas de seguridad y en el contexto de detección y prevención.
A continuación, se presentan las **mitigaciones propuestas o recomendadas** para T1059.001 (PowerShell), junto con una explicación de cada una:
---
### 1. **Restricción de ejecución de PowerShell**
- **Qué consiste**: Limitar el uso de PowerShell a entornos de ejecución seguros (por ejemplo, solo en modo "Restricted" o "RemoteSigned") y evitar que se ejecute scripts no firmados.
- **Por qué ayuda**: El modo "Restricted" bloquea la ejecución de scripts, lo que impide que un atacante ejecute código malicioso a través de PowerShell.
- **Ejemplo**: Configurar el registro de Windows para que PowerShell solo permita comandos interactivos y no scripts.
---
### 2. **Uso de firmas digitales y validación de scripts**
- **Qué consiste**: Requerir que los scripts PowerShell estén firmados por un certificado de firma válida antes de que se ejecuten.
- **Por qué ayuda**: Los scripts firmados son más fáciles de verificar y reducen el riesgo de ejecutar código malicioso.
- **Ejemplo**: Configurar el sistema para que solo se permita la ejecución de scripts firmados (usando el parámetro `-ExecutionPolicy` en PowerShell).
---
### 3. **Monitoreo y auditoría de comandos PowerShell**
- **Qué consiste**: Implementar herramientas de detección que monitoren los comandos ejecutados en PowerShell (por ejemplo, registros de eventos del sistema).
- **Por qué ayuda**: Permite detectar comportamientos sospechosos, como comandos que no son típicos de uso normal.
- **Ejemplo**: Usar herramientas como **Windows Event Logs (Event ID 4688)** o **SIEM** (como Splunk, QRadar) para analizar comandos ejecutados.
---
### 或 4. **Detección de comportamientos anómalos**
- **Qué consiste**: Aplicar análisis de comportamiento para detectar actividades inusuales, como la ejecución de comandos en horarios fuera de lo normal o en entornos no autorizados.
- **Por qué ayuda**: Aunque el atacante pueda ejecutar PowerShell, su comportamiento puede ser detectado como anómalo.
- **Ejemplo**: Detección de comandos como `Invoke-Expression`, `IEX`, o `System.Net.WebClient` que se usan comúnmente en ataques.
---
### 5. **Control de acceso y políticas de grupo (Group Policy)**
- **Qué consiste**: Aplicar políticas de grupo que limiten el acceso a PowerShell y a los permisos de ejecución.
- **Por qué ayuda**: Reduce el riesgo de que usuarios no autorizados o maliciosos puedan ejecutar PowerShell.
- **Ejemplo**: Configurar políticas de grupo para que solo los usuarios autorizados puedan ejecutar PowerShell.
---
### 6. **Uso de alternativas seguras a PowerShell**
- **Qué consiste**: En entornos críticos, usar herramientas más seguras como **Windows Command Prompt**, **batch files**, o **PowerShell con ejecución restringida**.
- **Por qué ayuda**: Reduce la superficie de ataque al evitar el uso de PowerShell en entornos sensibles.
---
### Nota importante:
ATT&amp;CK no proporciona una lista oficial de "mitigaciones" como un documento técnico detallado. Las mencionadas anteriormente son **recomendaciones basadas en buenas prácticas de seguridad** y en el marco de la estrategia de mitigación de la sub-técnica T1059.001.
---
✅ **Resumen**:
| Mitigación | Descripción |
|----------|-------------|
| Restricción de ejecución | Usar modos seguros (ej. Restricted) en PowerShell |
| Firmas digitales | Requerir firmas válidas para scripts |
| Monitoreo de eventos | Auditar comandos ejecutados en PowerShell</t>
  </si>
  <si>
    <t>N/A (llm)</t>
  </si>
  <si>
    <t>N/A</t>
  </si>
  <si>
    <t>p02</t>
  </si>
  <si>
    <t>According to ATT&amp;CK, which tactic does Phishing (T1566) belong to and what are its four sub-techniques?</t>
  </si>
  <si>
    <t>According to ATT&amp;CK, Phishing (T1566) belongs to the tactic **Initial Access** [4].
The context does not list four sub-techniques of T1566. It mentions the following sub-techniques:
- T1566.004 - Spearphishing Voice [3]
- T1566.001 - Social Media Accounts [1]
- T1566.002 - Email Accounts [1]
- T1566.003 - Cloud Accounts [1]
However, only three of these are explicitly listed as sub-techniques of T1566 in the provided context. There is no mention of a fourth sub-technique.
Therefore, based on the provided context, Phishing (T1566) belongs to the **Initial Access** tactic, and its sub-techniques are:
- T1566.001 Social Media Accounts  
- T1566.002 Email Accounts  
- T1566.003 Cloud Accounts  
- T1566.004 Spearphishing Voice  
[1][3][4]</t>
  </si>
  <si>
    <t>SI</t>
  </si>
  <si>
    <t>T1586, T1566, T1566.004, TA0001, T1598</t>
  </si>
  <si>
    <t>af42649d-952f-5dfb-afab-8c8e51a00019
22e1f629-ed75-57fb-9dfd-767e49dde3de</t>
  </si>
  <si>
    <t>[1] b2a9cfd5-44fa-5197-8cfd-a36ce303763f
[2] af42649d-952f-5dfb-afab-8c8e51a00019
[3] 7d5a91ab-56d5-5ca2-b89b-c33ea61c6f5c
[4] ff4c0835-7fe5-59cd-a94d-d82a9c87c07c
[5] f4d8f7cf-221f-59d8-8020-429a851befef</t>
  </si>
  <si>
    <t>Phishing (T1566) belongs to the **Tactic: Initial Access** in the MITRE ATT&amp;CK framework.
However, it's important to clarify: **T1566 is not a tactic** — it is a **technique**. The correct categorization is:
- **Tactic**: Initial Access  
- **Technique**: T1566 – Phishing
T1566 – Phishing is a technique under the **Initial Access** tactic.
Regarding sub-techniques of T1566 (Phishing), MITRE ATT&amp;CK does **not** define four distinct sub-techniques under T1566. Instead, T1566 is a single technique with various **sub-techniques** (or forms) that describe different types of phishing, such as:
- T1566.001 – Spear Phishing Email  
- T1566.002 – Phishing Website  
- T1566.003 – Phishing SMS (Smishing)  
- T1566.004 – Phishing via Voice (Vishing)
Thus, the four sub-techniques of T1566 are:
- T1566.001 – Spear Phishing Email  
- T1566.002 – Phishing Website  
- T1566.003 – Phishing SMS (Smishing)  
- T1566.004 – Phishing via Voice (Vishing)
✅ Final Answer:
According to ATT&amp;CK, Phishing (T1566) belongs to the **Initial Access** tactic. Its four sub-techniques are:
- T1566.001 – Spear Phishing Email  
- T1566.002 – Phishing Website  
- T1566.003 – Phishing SMS (Smishing)  
- T1566.004 – Phishing via Voice (Vishing)</t>
  </si>
  <si>
    <t>p03</t>
  </si>
  <si>
    <t>¿Qué es la táctica Persistencia (TA0003) en ATT&amp;CK y qué busca conseguir el adversario con ella?</t>
  </si>
  <si>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</si>
  <si>
    <t>La táctica Persistencia (TA0003) en ATT&amp;CK consiste en técnicas que los adversarios utilizan para mantener su acceso a los sistemas a pesar de reinicios, cambios de credenciales o interrupciones que podrían cortar su acceso [1]. Esta táctica busca que el adversario mantenga su presencia en los sistemas tras eventos que podrían eliminar su acceso, como reinicios o cambios de credenciales [1].</t>
  </si>
  <si>
    <t>TA0003, T1070.010, T1668, T1596.003, T1547.007</t>
  </si>
  <si>
    <t>259ce106-5bf5-5095-9060-49c5e3501b01</t>
  </si>
  <si>
    <t>[1] 259ce106-5bf5-5095-9060-49c5e3501b01
[2] e10a631d-09ba-51f0-875b-5eb8736daa53
[3] b0eccfc2-c562-56d9-a9c2-b5fb87c09c21
[4] 5eecfeb4-7ff3-5476-a857-a696b2cfa777
[5] d594b40b-00a7-5682-b595-8e660593de1f</t>
  </si>
  <si>
    <t>La táctica Persistencia (TA0003) en el marco MITRE ATT&amp;CK se refiere a la capacidad de un atacante para mantener acceso a un sistema o red tras la inicialización de una amenaza. Este objetivo permite que el atacante se mantenga activo en el entorno durante períodos prolongados, incluso después de que se hayan aplicado medidas de seguridad o se hayan detectado actividades inusuales.
El adversario busca conseguir que su acceso a la infraestructura sea **persistente**, es decir, que no se pierda al reiniciar el sistema o al aplicar controles de seguridad. Esto permite que el atacante realice actividades de recolección de datos, ejecución de comandos, propagación a otros sistemas o monitoreo continuo sin que se detecte inmediatamente.
Algunos ejemplos de técnicas asociadas a esta táctica incluyen:
- T1059.001 (Comandos y scripts maliciosos)
- T1059.002 (Ejecución de scripts)
- T1059.003 (Ejecución de comandos)
- T1059.004 (Ejecución de comandos a través de servicios)
- T1059.005 (Ejecución de comandos a través de servicios de red)
En resumen, la táctica Persistencia (TA0003) busca **mantener un acceso continuo y sin interrupción** al sistema objetivo, lo que facilita la ejecución de ataques más complejos y prolongados.</t>
  </si>
  <si>
    <t>p04</t>
  </si>
  <si>
    <t>parcial</t>
  </si>
  <si>
    <t>Según ATT&amp;CK, ¿qué es Cobalt Strike (S0154) y de qué otras herramientas conocidas aprovecha capacidades? ¿Cuánto cuesta su licencia anual?</t>
  </si>
  <si>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</si>
  <si>
    <t>El precio de la licencia no está en el corpus (ATT&amp;CK no registra precios; la única aparición de 'price' en el corpus es en el software CoinTicker, sin relación).</t>
  </si>
  <si>
    <t>Según ATT&amp;CK, Cobalt Strike (S0154) es un software de tipo malware, perteneciente al dominio de ataque empresarial, que se describe como "una herramienta de acceso remoto comercial, completa, diseñada para ejecutar ataques dirigidos y emular las acciones de post-explotación de actores de amenazas avanzadas". [1]
Cobalt Strike aprovecha las capacidades de otras herramientas conocidas, como Metasploit y Mimikatz. [1]
No se proporciona información en los contextos sobre el costo anual de la licencia de Cobalt Strike. [1][2][3][4][5]
Por lo tanto, no se puede determinar cuánto cuesta su licencia anual basándose en los datos proporcionados.</t>
  </si>
  <si>
    <t>S0154, T1021.004, G0080, S0637, T1001.003</t>
  </si>
  <si>
    <t>71c1c43a-b0b2-569d-8a65-7d55faff7ef8</t>
  </si>
  <si>
    <t>[1] 71c1c43a-b0b2-569d-8a65-7d55faff7ef8
[2] b27606ce-c40b-57f1-92e7-d18ac7673f0e
[3] c7c1e3ef-2447-55be-8bab-3de4d5e3fa0b
[4] ee34623e-b92f-55b0-bf27-6b757ee1681d
[5] a8f8bb82-ac11-5f17-b51c-536281194ec5</t>
  </si>
  <si>
    <t>Cobalt Strike (S0154) es una herramienta de red de seguridad y de ataque que permite a los investigadores y profesionales de ciberseguridad realizar pruebas de penetración y análisis de vulnerabilidades en entornos de red. Según el MITRE ATT&amp;CK, S0154 se clasifica como una herramienta de "iniciación de sesión" (initial access) y se utiliza principalmente para simular ataques de red, como la ejecución remota de comandos en sistemas.
Cobalt Strike aprovecha capacidades de otras herramientas conocidas, como:
- **Metasploit**: para la ejecución de payloads y la gestión de sesiones.
- **PowerShell**: para la ejecución de comandos en sistemas Windows.
- **Meterpreter**: un módulo de Metasploit que permite la ejecución remota de comandos y la gestión de sesiones en sistemas operativos.
Sin embargo, es importante aclarar que **Cobalt Strike no es una herramienta de ataque comercial que se venda con una licencia anual**. Es una herramienta de investigación y pruebas de penetración que se ofrece como software de uso académico y profesional, y **no tiene un costo oficial de licencia anual** como producto comercializado en el mercado.
En su sitio oficial, Cobalt Strike está disponible para uso en entornos de pruebas y educación, y **no se cobra una licencia anual**. Su uso está regulado por las políticas de uso de la herramienta, y se recomienda su uso solo en entornos autorizados y bajo supervisión.
👉 **Respuesta final**:  
Cobalt Strike (S0150) es una herramienta de pruebas de penetración que simula ataques de red y aprovecha capacidades de herramientas como Metasploit y PowerShell. **No tiene una licencia anual y no se cobra un costo oficial** para su uso en entornos educativos o de investigación.</t>
  </si>
  <si>
    <t>p05</t>
  </si>
  <si>
    <t>Según ATT&amp;CK, ¿APT29 (G0016) utiliza Mimikatz? Y en caso afirmativo, ¿qué técnicas relacionadas con tickets Kerberos implementa esa herramienta?</t>
  </si>
  <si>
    <t>Sí, según ATT&amp;CK, APT29 (G0016) utiliza Mimikatz.  
En el contexto se indica que:  
- G0016 APT29 (grupo) ha utilizado ataques de Kerberos para el movimiento lateral [1].  
- S0002 Mimikatz (software) tiene el módulo &lt;code&gt;KERBEROS::PTT&lt;/code&gt; que implementa los tres pasos necesarios para extraer la contraseña del cuenta krbtgt y crear o usar tickets de Kerberos [1].  
Por lo tanto, Mimikatz implementa la técnica **T1550.003 - Pass the Ticket**, que es una técnica relacionada con tickets de Kerberos.  
**Respuesta final:**  
Sí, APT29 (G0016) utiliza Mimikatz, y la técnica relacionada con tickets de Kerberos que implementa esa herramienta es **T1550.003 - Pass the Ticket** [1].</t>
  </si>
  <si>
    <t>T1550.003, T1550.003, T1558.003, S0079, T1558.001</t>
  </si>
  <si>
    <t>06bdc461-ede8-5f49-9b73-19f127c7b746
765c8a68-965f-5232-b1a9-29c9ef4a5769
bd4e8cd4-5326-5459-bc70-8e91db2275a6</t>
  </si>
  <si>
    <t>[1] 750bebf0-a34b-5f77-9ddb-6fe2a3f246ba
[2] 7056425c-0a49-5208-8a73-967b7b0834c4
[3] 304f8585-a1e6-5623-9b25-a13b95dab776
[4] daaa4cb7-91e0-5cc0-82b5-3b2bb2ca454a
[5] aad4bf53-34e3-513d-a9bc-9661d1985753</t>
  </si>
  <si>
    <t>No, según el marco MITRE ATT&amp;CK, el grupo APT29 (identificado como G0016) no se ha documentado como usuario directo de Mimikatz. Aunque APT29 ha sido asociado con técnicas de acceso a sistemas mediante el uso de tickets Kerberos (como T1547.001 - "Exploitation of Kerberos"), estas acciones se realizan mediante herramientas o métodos específicos de ataque, no necesariamente mediante Mimikatz.
Además, Mimikatz es una herramienta de análisis de seguridad que permite la extracción de credenciales almacenadas en memoria (como los tickets Kerberos), y aunque puede ser utilizada por atacantes para obtener acceso a sistemas, su uso no está directamente vinculado a APT29 en fuentes oficiales del MITRE ATT&amp;CK.
En cuanto a técnicas relacionadas con tickets Kerberos que podría implementar APT29:
- **T1547.001 - Exploitation of Kerberos**: Este es el principal sub-técnico relacionado con el uso de tickets Kerberos para obtener acceso a sistemas. APT29 ha sido asociado con este comportamiento, especialmente en ataques que aprovechan vulnerabilidades en el protocolo Kerberos (por ejemplo, en el uso de tickets de tiempo de vida o en la reutilización de tickets).
Por lo tanto:
✅ APT29 (G0016) **no utiliza directamente Mimikatz**.  
✅ APT29 **sí implementa técnicas relacionadas con el uso de tickets Kerberos**, principalmente **T1547.001**.
**Respuesta final:**  
No, APT29 (G0016) no utiliza Mimikatz. Sin embargo, sí implementa la técnica T1547.001 - Exploitation of Kerberos.</t>
  </si>
  <si>
    <t>p06</t>
  </si>
  <si>
    <t>¿Qué sub-técnicas de intérpretes de comandos (T1059.*) usa Lazarus Group (G0032) según ATT&amp;CK, y qué ataques ha realizado este grupo contra Ecuador?</t>
  </si>
  <si>
    <t>ATT&amp;CK atribuye a Lazarus Group tres sub-técnicas de T1059: T1059.001 PowerShell, T1059.003 Windows Command Shell y T1059.005 Visual Basic.</t>
  </si>
  <si>
    <t>Ataques contra Ecuador: el documento de G0032 no menciona Ecuador (la única aparición de 'Ecuador' en todo el corpus está en T1480 Execution Guardrails, sin relación con Lazarus).</t>
  </si>
  <si>
    <t>No se proporciona información en los contextos sobre qué sub-técnicas de intérpretes de comandos (T1059.*) usa el Lazarus Group (G0032) o sobre ataques específicos que haya realizado contra Ecuador. Aunque se menciona que el Lazarus Group utiliza técnicas como T1059.003 Windows Command Shell y T1059.005 Visual Basic en el contexto de software como AuditCred y TYPEFRAME [1][3], no se especifica explícitamente el uso de sub-técnicas de T1059.* en general, ni se menciona cualquier actividad contra Ecuador.
Además, no hay ninguna referencia en los contextos a ataques realizados por el Lazarus Group contra Ecuador.
Por lo tanto, **no se puede responder con certeza** a la pregunta basándose únicamente en los contextos proporcionados.
**Respuesta: No se puede determinar a partir de los contextos proporcionados.**</t>
  </si>
  <si>
    <t>S0347, G0099, S0263, G0032, G0032</t>
  </si>
  <si>
    <t>d5484bb9-a214-54b4-8984-3d35d6ac7bfe</t>
  </si>
  <si>
    <t>[1] 72ef6bf9-f375-5969-8f05-be8b358a87ba
[2] 82b5059b-bba0-51c6-a72e-3cf74d782138
[3] 77ea47c9-d1b8-55f4-8c12-d291eda4256b
[4] d7ced4c8-3901-5447-a0b3-c2fbf5b3ae9f
[5] d5484bb9-a214-54b4-8984-3d35d6ac7bfe</t>
  </si>
  <si>
    <t>No se ha documentado oficialmente en el MITRE ATT&amp;CK que el grupo Lazarus (G0032) haya utilizado específicamente sub-técnicas de intérpretes de comandos (T1059.*) como parte de sus actividades conocidas, ni se ha registrado un ataque directo contra Ecuador atribuido a este grupo en fuentes oficiales del MITRE ATT&amp;CK.
Además, el MITRE ATT&amp;CK no proporciona una lista detallada de sub-técnicas (como T1059.001, T1059.002, etc.) que el grupo Lazarus haya utilizado en operaciones específicas, ni hay evidencia verificada de que el grupo haya atacado a Ecuador.
Por lo tanto, **no se puede afirmar con certeza** que Lazarus haya usado sub-técnicas de intérpretes de comandos (T1059.*) o que haya realizado ataques contra Ecuador según el MITRE ATT&amp;CK.
**Respuesta final:**  
No hay evidencia oficial en el MITRE ATT&amp;CK de que el grupo Lazarus (G0032) haya utilizado sub-técnicas de intérpretes de comandos (T1059.*) o haya realizado ataques contra Ecuador.</t>
  </si>
  <si>
    <t>p07</t>
  </si>
  <si>
    <t>According to ATT&amp;CK, how has APT28 (G0007) carried out password spraying (T1110.003)?</t>
  </si>
  <si>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</si>
  <si>
    <t>APT28 (G0007) has carried out password spraying (T1110.003) by using a brute-force/password-spray tooling that operated in two modes: in password-spraying mode, it conducted approximately four authentication attempts per hour per targeted account over the course of several days or weeks. Additionally, APT28 has used a Kubernetes cluster to conduct distributed, large-scale password spray attacks. During the APT28 Nearest Neighbor Campaign (C0051), APT28 performed password-spray attacks against public-facing services to validate credentials [1][2].</t>
  </si>
  <si>
    <t>T1110.003, T1110.003, T1110.003, DET0487, C0051</t>
  </si>
  <si>
    <t>ef7bd43e-42d4-5dd2-bc0e-1abd0cbf802f
bda60f05-afc9-5623-a785-ce6ba574ed8e</t>
  </si>
  <si>
    <t>[1] bda60f05-afc9-5623-a785-ce6ba574ed8e
[2] ef7bd43e-42d4-5dd2-bc0e-1abd0cbf802f
[3] 157456b8-c03f-5096-98d8-1d1e43a443e8
[4] f62c8db0-8f71-599b-b664-010c60d7b022
[5] 9f28e3b3-46cd-5d07-ba72-040ae936815b</t>
  </si>
  <si>
    <t>As of now, there is no publicly documented or verified evidence in the MITRE ATT&amp;CK framework that APT28 (G0007) has specifically carried out password spraying (T1110.003) in a manner that is explicitly attributed or detailed within the ATT&amp;CK knowledge base.
While APT28 is known to use credential harvesting and phishing techniques, and password spraying is a common technique used in credential access (T1110.003), the ATT&amp;CK framework does not provide a specific, confirmed instance of APT28 executing password spraying as a tactic or technique.
Therefore, based on available ATT&amp;CK data, **there is no confirmed or documented instance of APT28 (G0007) carrying out password spraying (T1110.003)**.
Note: The MITRE ATT&amp;CK framework describes techniques and behaviors observed in cyberattacks, but it does not assign specific attribution to individual threat actors in all cases—especially for less publicly documented or unverified activities. Attribution remains a complex and often uncertain process.
Answer: There is no confirmed or documented instance in the MITRE ATT&amp;CK framework of APT28 (G0007) carrying out password spraying (T1110.003).</t>
  </si>
  <si>
    <t>p08</t>
  </si>
  <si>
    <t>¿Qué mitigaciones recomienda ATT&amp;CK contra Password Spraying (T1110.003) y qué porcentaje de las intrusiones registradas en 2025 comenzó con esta técnica?</t>
  </si>
  <si>
    <t>El porcentaje de intrusiones de 2025 no existe en el corpus: ATT&amp;CK no contiene estadísticas de incidencia.</t>
  </si>
  <si>
    <t>No se proporciona información en los contextos sobre mitigaciones contra Password Spraying (T1110.003) ni sobre el porcentaje de intrusiones registradas en 2025 que comenzaron con esta técnica. Por lo tanto, no se puede responder a la pregunta con base en los datos ofrecidos.
[1][2][3][4][5] — ninguno de estos pasajes menciona mitigaciones específicas para T1110.003 ni proporciona datos sobre intrusiones en 2025.</t>
  </si>
  <si>
    <t>T1110.003, DET0487, T1110.003, G0114, T1110.002</t>
  </si>
  <si>
    <t>9ba81dbd-2475-5872-aac0-2ad4b53a7ba3</t>
  </si>
  <si>
    <t>[1] 157456b8-c03f-5096-98d8-1d1e43a443e8
[2] f62c8db0-8f71-599b-b664-010c60d7b022
[3] bc411276-2b2d-57fd-b20f-7feb6b7f2b0b
[4] 8e3c7f9a-1c02-5e07-a4ae-509c8f1580e1
[5] 0204f726-7c2b-510e-a2cf-0d16f6c05c61</t>
  </si>
  <si>
    <t>No se proporciona información oficial en el MITRE ATT&amp;CK sobre mitigaciones específicas para la técnica de Password Spraying (T1110.003), ni se tiene datos disponibles sobre el porcentaje de intrusiones registradas en 2025 que comenzaron con esta técnica.  
El MITRE ATT&amp;CK no publica estadísticas anuales sobre el número o porcentaje de intrusiones que comenzaron con una técnica específica en un año futuro como 2025, ya que es un conjunto de conocimiento de amenazas y no un repositorio de datos de incidentes históricos o proyectados.  
Por lo tanto, **no se puede afirmar un porcentaje de intrusiones en 2025 que comenzaron con Password Spraying**, y **no se recomiendan mitigaciones específicas en el MITRE ATT&amp;CK para esta técnica** en el contexto de datos de 2025.  
Las mitigaciones recomendadas para Password Spraying (T1110.003) en general, basadas en buenas prácticas de seguridad, incluyen:  
- Uso de políticas de contraseñas fuertes y complejas.  
- Implementación de autenticación multifactor (MFA).  
- Configuración de alertas para intentos de acceso múltiples con credenciales.  
- Uso de herramientas de detección de comportamiento anómalo.  
- Educación del personal sobre riesgos de ataques de "spraying".  
Sin embargo, estas no son mitigaciones directamente especificadas por el MITRE ATT&amp;CK para T1110.003.  
✅ Respuesta final:  
**No se proporcionan mitigaciones específicas en el MITRE ATT&amp;CK para Password Spraying (T1110.003), y no se tiene datos sobre el porcentaje de intrusiones registradas en 2025 que comenzaron con esta técnica.**</t>
  </si>
  <si>
    <t>p09</t>
  </si>
  <si>
    <t>Which mitigations does ATT&amp;CK list for Phishing (T1566), and which commercial email security product does MITRE recommend to implement them?</t>
  </si>
  <si>
    <t>MITRE ATT&amp;CK does not recommend commercial vendors or products; no such recommendation exists in the corpus.</t>
  </si>
  <si>
    <t>The provided context passages do not list any mitigations for Phishing (T1566) nor do they specify any commercial email security product that MITRE recommends to implement them. While the passages mention email authentication mechanisms such as SPF, DKIM, and DMARC as part of filtering and validation, they do not explicitly state these as mitigations for T1566 or identify a specific commercial product to implement them [5]. Therefore, based on the given context, no mitigations or recommended commercial products are specified.
Answer: None of the mitigations or commercial email security products are listed in the provided context.</t>
  </si>
  <si>
    <t>T1586.002, T1566, T1566, T1585.002, T1566</t>
  </si>
  <si>
    <t>60567a05-573f-5585-bac9-fb6962c3a42f
22e1f629-ed75-57fb-9dfd-767e49dde3de</t>
  </si>
  <si>
    <t>[1] 302a1537-027f-57a0-81b9-9063712870ce
[2] af42649d-952f-5dfb-afab-8c8e51a00019
[3] 6a49f47f-97c7-51c1-9b8c-11a512eb628c
[4] e3dc1b98-151d-514e-a176-c74fb584fe19
[5] 22e1f629-ed75-57fb-9dfd-767e49dde3de</t>
  </si>
  <si>
    <t>MITRE ATT&amp;CK does not list specific mitigations for Phishing (T1566) in the traditional sense of "mitigations" like firewall rules or endpoint protections. Instead, ATT&amp;CK provides a structured framework of tactics, techniques, and sub-techniques that adversaries use—such as phishing (T1566)—and recommends detection and prevention strategies based on real-world threat intelligence.
For Phishing (T1566), ATT&amp;CK recommends the following **detection and mitigation approaches**:
- **Email content filtering** to detect suspicious or malicious content.
- **Domain-based message authentication, reporting, and conformance (DMARC)** to prevent spoofed emails.
- **Sender Policy Framework (SPF)** and **DomainKeys Identified Mail (DKIM)** to verify sender authenticity.
- **User education and awareness programs** to reduce human susceptibility to phishing.
- **Real-time threat intelligence integration** to identify known phishing domains or URLs.
- **Behavioral analysis** to detect anomalies in email patterns (e.g., unusual senders, attachments, or links).
These are not "mitigations" in the sense of a product feature, but rather **security controls and practices** that help prevent or detect phishing attacks.
Regarding commercial email security products, MITRE does **not** recommend a specific commercial product** for implementing these mitigations. However, MITRE often references or aligns with industry-leading email security solutions that support these controls. For example:
- **Microsoft 365 Defender** (formerly Microsoft Defender for Office 365) is frequently cited in ATT&amp;CK for its capabilities in detecting and blocking phishing emails using DMARC, SPF, DKIM, and AI-driven content analysis.
- **Proofpoint**, **Palo Alto Networks Prisma Cloud**, and **Symantec Email Security** are also known to support many of these ATT&amp;CK-aligned controls.
✅ Therefore, while MITRE does not explicitly recommend a single commercial product for phishing mitigation, **Microsoft 365 Defender** is widely recognized and referenced in the ATT&amp;CK framework as a product that effectively implements many of the recommended mitigations for T1566 (Phishing).
**Final Answer:**
MITRE ATT&amp;CK does not list specific "mitigations" for Phishing (T1566) as a standalone category, but recommends controls such as DMARC/SPF/DKIM, user awareness, and real-time threat intelligence. MITRE does not recommend a single commercial product; however, **Microsoft 365 Defender** is a widely recognized email security solution that supports these ATT&amp;CK-aligned mitigations.</t>
  </si>
  <si>
    <t>p10</t>
  </si>
  <si>
    <t>nula</t>
  </si>
  <si>
    <t>¿Qué es la técnica T1417 Input Capture de ATT&amp;CK Mobile y qué mitigaciones propone ATT&amp;CK para ella?</t>
  </si>
  <si>
    <t>No respondible con el corpus: sólo está ingestado el dominio enterprise-attack; T1417 pertenece a mobile-attack y no existe ningún chunk con ese ID. La respuesta correcta es abstenerse indicando que el contexto no contiene esa información.</t>
  </si>
  <si>
    <t>Toda la pregunta.</t>
  </si>
  <si>
    <t>No se proporciona información sobre la técnica T1417 Input Capture en el contexto dado. Además, no hay menciones a ninguna técnica denominada "T1417 Input Capture" ni a mitigaciones específicas para ella en los pasajes proporcionados. Los pasajes mencionan exclusivamente la técnica T1056 - Input Capture y sus sub-técnicas (como T1056.001 y T1056.003), así como estrategias de detección (DET0102), pero no T1417 ni ninguna mitigación relacionada con ella.
Por lo tanto, no se puede responder a la pregunta con base en el contexto proporcionado.
Respuesta: No se proporciona información sobre la técnica T1417 Input Capture ni sobre mitigaciones para ella en el contexto dado.</t>
  </si>
  <si>
    <t>N/A (nula)</t>
  </si>
  <si>
    <t>T1056, T1056.003, T1056.001, DET0102, T1056.001</t>
  </si>
  <si>
    <t>[1] 49082e7a-665e-52fc-913f-e16e250c69fc
[2] 53bb75a3-204c-582f-aebf-0aa453578979
[3] 9552e904-33ef-5bad-a469-7fa1bf0d2107
[4] b125294d-a3b8-5227-a30b-108b917e557a
[5] 1e3aef33-c042-58ea-a36d-b1176cfd929c</t>
  </si>
  <si>
    <t>La técnica **T1417** en el marco de **MITRE ATT&amp;CK** no corresponde a "Input Capture" en el contexto móvil. De hecho, **T1417** está relacionada con **"Input Capture" en dispositivos móviles**, pero es importante aclarar que **T1417** es una técnica de **ciberataque en dispositivos móviles**, y su descripción oficial es:
&gt; **T1417: Input Capture** – *An attacker can capture input from a mobile device (e.g., keyboard, microphone, camera) to gather sensitive data such as passwords, messages, or voice recordings.*
Esta técnica implica que un atacante puede utilizar una aplicación maliciosa o un exploit para capturar entradas del usuario (como contraseñas, mensajes, llamadas o grabaciones) en un dispositivo móvil, lo cual puede ser usado para obtener información sensible.
### Mitigaciones propuestas por ATT&amp;CK para T1417:
El marco de ATT&amp;CK **no proporciona una lista detallada de mitigaciones específicas para T1417** como se hace con otras técnicas. En cambio, **los controles de seguridad y buenas prácticas** recomendados para prevenir esta técnica incluyen:
- **Revisar y restringir las permisos de aplicaciones** (por ejemplo, evitar que las apps accedan a micrófonos, cámaras o teclado).
- **Habilitar y usar funciones de seguridad del sistema** (como el modo de privacidad o protección de entradas).
- **Usar aplicaciones oficiales y verificadas** para evitar maliciosas que puedan capturar entradas.
- **Educación del usuario** sobre el riesgo de compartir información sensible en aplicaciones no confiables.
- **Monitoreo de actividad de entrada** (como teclado o micrófono) para detectar comportamientos anómalos.
&gt; ⚠️ Importante: T1417 está clasificada como **técnicas de ataque en dispositivos móviles**, y aunque está en el marco de ATT&amp;CK, **no tiene una sección específica de "mitigaciones" detalladas** como otras técnicas. Las recomendaciones provienen de buenas prácticas de seguridad móvil.
---
✅ **Resumen:**
- **T1417 (Input Capture)**: Permite a un atacante capturar entradas del usuario (contraseñas, mensajes, grabaciones) en dispositivos móviles.
- **Mitigaciones**: Control de permisos, uso de apps oficiales, educación del usuario, monitoreo de actividad anómala.
&gt; Nota: ATT&amp;CK no proporciona una lista oficial de mitigaciones para T1417. Las recomendaciones son derivadas de buenas prácticas de ciberseguridad móvil.</t>
  </si>
  <si>
    <t>p11</t>
  </si>
  <si>
    <t>Which ICS tactic does T0855 Unauthorized Command Message belong to and which assets does it target?</t>
  </si>
  <si>
    <t>Not answerable from the corpus: T0855 belongs to the ics-attack domain, which is not ingested; no chunk carries that ID. The correct behaviour is to state that the context does not contain the information.</t>
  </si>
  <si>
    <t>The context provided does not contain information about T0855 Unauthorized Command Message or any ICS (Industrial Control Systems) tactic. Therefore, it is not possible to determine which ICS tactic T0855 belongs to or which assets it targets based on the given passages.
[No relevant context found.]</t>
  </si>
  <si>
    <t>TA0002, T1683, T1040, T1552.008, TA0011</t>
  </si>
  <si>
    <t>[1] 57665f89-6f5d-57ec-8cfb-d409cf0b4a97
[2] dc4c60b8-5e00-5802-a63c-64dc3695a236
[3] b616fa4b-7322-5a04-a57b-56babba5fb56
[4] 94ece3fd-e305-5ee5-991d-3a563d13b80a
[5] a0d301c9-8f03-56e0-b461-3ea0fd74d96e</t>
  </si>
  <si>
    <t>The technique T0855 (Unauthorized Command Message) is not a valid or recognized entry in the MITRE ATT&amp;CK framework. There is no official technique with the ID "T0855" in the current MITRE ATT&amp;CK database for cyberattack tactics and techniques, including those related to Industrial Control Systems (ICS).
Additionally, the MITRE ATT&amp;CK framework does not have a technique labeled "T0855" — the "T" prefix is used for techniques, but the numbering (e.g., T1059 for command and script injection) follows a specific structure and does not include T0855.
Therefore, T0855 is not a valid or documented technique in the MITRE ATT&amp;CK framework, and thus it does not belong to any ICS tactic, nor does it target any specific assets.
If you meant a different technique or are referring to a non-standard or outdated identifier, please clarify.
Answer: T0855 is not a valid technique in the MITRE ATT&amp;CK framework and does not exist in any ICS tactic or asset targeting.</t>
  </si>
  <si>
    <t>p12</t>
  </si>
  <si>
    <t>¿Cuál fue la técnica ATT&amp;CK más utilizada por los atacantes a nivel mundial durante 2026?</t>
  </si>
  <si>
    <t>No respondible: ATT&amp;CK describe técnicas, grupos y procedimientos, pero no contiene estadísticas de frecuencia de uso por año. La respuesta correcta es abstenerse.</t>
  </si>
  <si>
    <t>No se proporciona información en los contextos sobre cuál fue la técnica ATT&amp;CK más utilizada por los atacantes a nivel mundial durante 2026. Aunque se mencionan varias herramientas y tácticas (como T1608.004, S9041, S9042, S9044), no hay datos que indiquen cuál fue la técnica más utilizada a nivel mundial en ese año. Por lo tanto, no se puede determinar la respuesta basándose únicamente en el contenido dado.
Respuesta: No se puede determinar con la información proporcionada.</t>
  </si>
  <si>
    <t>C0026, S9044, S9042, T1608.004, S9041</t>
  </si>
  <si>
    <t>[1] 9888dea1-f3ec-5e03-b541-8e05afd7c088
[2] 5ee65033-bb02-5e33-a22a-e68d67f875c3
[3] 605edb9c-54db-520d-a3ae-5bb981c67366
[4] b431edc2-e2fb-5bff-8750-f61ceb269ea8
[5] 896b042c-adbc-5362-a6f3-8ed624e1d88b</t>
  </si>
  <si>
    <t>No se dispone de datos oficiales o públicos que indiquen cuál fue la técnica ATT&amp;CK más utilizada por los atacantes a nivel mundial durante 2026, ya que ese año aún no ha ocurrido y no se han publicado estadísticas oficiales sobre el uso de técnicas de ataque en el marco del MITRE ATT&amp;CK para ese período.
Además, el MITRE ATT&amp;CK no proporciona un ranking anual de técnicas más utilizadas por atacantes en un año futuro. Los datos sobre el uso de técnicas de ataque se basan en análisis de incidentes reales, reportes de amenazas y estudios de seguridad que se publican en años pasados.
Por lo tanto, no es posible responder con precisión a la pregunta sobre la técnica más utilizada en 2026.
Si te interesa, puedo proporcionar información sobre las técnicas más comunes en años pasados (por ejemplo, 2023 o 2024) o sobre las más frecuentes en el marco del MITRE ATT&amp;CK actual.</t>
  </si>
  <si>
    <t>p13</t>
  </si>
  <si>
    <t>¿Qué describe la sub-técnica T1059.099 de ATT&amp;CK y a qué táctica pertenece?</t>
  </si>
  <si>
    <t>No respondible: T1059.099 no existe en ATT&amp;CK ni en el corpus. La respuesta correcta es indicar que no hay información sobre ese identificador (sin inventar una sub-técnica de T1059).</t>
  </si>
  <si>
    <t>No se proporciona información sobre la sub-técnica T1059.099 en los contextos dados. Por lo tanto, no se puede describir ni identificar a qué táctica pertenece. [N/A]</t>
  </si>
  <si>
    <t>M1031, T1555.006, T1059.010, DC0095, T1059.009</t>
  </si>
  <si>
    <t>[1] ee4e36d8-7c86-5b85-8aeb-140dce27f98e
[2] 70553fe9-95e9-503b-b5be-5d50bb3b406e
[3] 952ba9e9-02f1-5a73-9728-d18d3b697266
[4] f7d9b154-5446-578c-b6ef-6f5413298f0e
[5] 60d08f9a-0633-524e-8298-fe7bc19f2408</t>
  </si>
  <si>
    <t>La sub-técnica T1059.099 de ATT&amp;CK describe **"Command and Scripting Interpreter: PowerShell"**, específicamente el uso de **PowerShell para ejecutar comandos y scripts**.  
Pertenece a la **táctica T1059: Command and Scripting Interpreter**, que incluye el uso de interpretadores de comandos y scripts para ejecutar código en sistemas operativos, como PowerShell, Bash, o otros lenguajes de scripting.
**Respuesta final:**  
La sub-técnica T1059.099 describe el uso de PowerShell como interpretador de comandos y scripts, y pertenece a la táctica T1059: Command and Scripting Interpreter.</t>
  </si>
  <si>
    <t>[n] rango</t>
  </si>
  <si>
    <t>score</t>
  </si>
  <si>
    <t>attack_id</t>
  </si>
  <si>
    <t>nombre</t>
  </si>
  <si>
    <t>tipo</t>
  </si>
  <si>
    <t>chunk</t>
  </si>
  <si>
    <t>ES GOLD</t>
  </si>
  <si>
    <t>texto</t>
  </si>
  <si>
    <t>point_id (chunks.jsonl)</t>
  </si>
  <si>
    <t>doc_id</t>
  </si>
  <si>
    <t>url ATT&amp;CK</t>
  </si>
  <si>
    <t>T1059.001</t>
  </si>
  <si>
    <t>PowerShell</t>
  </si>
  <si>
    <t>sub-technique</t>
  </si>
  <si>
    <t>1/11</t>
  </si>
  <si>
    <t>#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t>
  </si>
  <si>
    <t>0a79d1de-5953-5bf1-91d8-c87bbbf93bc8</t>
  </si>
  <si>
    <t>attack-pattern--970a3432-3237-47ad-bcca-7d8cbb217736</t>
  </si>
  <si>
    <t>https://attack.mitre.org/techniques/T1059/001</t>
  </si>
  <si>
    <t>S1193</t>
  </si>
  <si>
    <t>TAMECAT</t>
  </si>
  <si>
    <t>software</t>
  </si>
  <si>
    <t>1/1</t>
  </si>
  <si>
    <t>#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t>
  </si>
  <si>
    <t>4890209d-7610-5835-817d-6f8eb92c4ff3</t>
  </si>
  <si>
    <t>malware--12fdf05a-4bd1-4f45-9cde-d3af35f82db1</t>
  </si>
  <si>
    <t>https://attack.mitre.org/software/S1193</t>
  </si>
  <si>
    <t>G0099</t>
  </si>
  <si>
    <t>APT-C-36</t>
  </si>
  <si>
    <t>group</t>
  </si>
  <si>
    <t>2/3</t>
  </si>
  <si>
    <t>#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t>
  </si>
  <si>
    <t>a2e64c2d-7e66-5e5a-86df-0543d7957b56</t>
  </si>
  <si>
    <t>intrusion-set--c4d50cdf-87ce-407d-86d8-862883485842</t>
  </si>
  <si>
    <t>https://attack.mitre.org/groups/G0099</t>
  </si>
  <si>
    <t>T1059</t>
  </si>
  <si>
    <t>Command and Scripting Interpreter</t>
  </si>
  <si>
    <t>technique</t>
  </si>
  <si>
    <t>6/10</t>
  </si>
  <si>
    <t>#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t>
  </si>
  <si>
    <t>12155368-afb0-5e72-bdbd-189ee840f96e</t>
  </si>
  <si>
    <t>attack-pattern--7385dfaf-6886-4229-9ecd-6fd678040830</t>
  </si>
  <si>
    <t>https://attack.mitre.org/techniques/T1059</t>
  </si>
  <si>
    <t>S0393</t>
  </si>
  <si>
    <t>PowerStallion</t>
  </si>
  <si>
    <t>#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t>
  </si>
  <si>
    <t>3176af7f-1b20-500d-8754-9e2746f08472</t>
  </si>
  <si>
    <t>malware--dcac85c1-6485-4790-84f6-de5e6f6b91dd</t>
  </si>
  <si>
    <t>https://attack.mitre.org/software/S0393</t>
  </si>
  <si>
    <t>T1586</t>
  </si>
  <si>
    <t>Compromise Accounts</t>
  </si>
  <si>
    <t>3/3</t>
  </si>
  <si>
    <t>#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t>
  </si>
  <si>
    <t>b2a9cfd5-44fa-5197-8cfd-a36ce303763f</t>
  </si>
  <si>
    <t>attack-pattern--81033c3b-16a4-46e4-8fed-9b030dd03c4a</t>
  </si>
  <si>
    <t>https://attack.mitre.org/techniques/T1586</t>
  </si>
  <si>
    <t>T1566</t>
  </si>
  <si>
    <t>Phishing</t>
  </si>
  <si>
    <t>1/8</t>
  </si>
  <si>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</si>
  <si>
    <t>af42649d-952f-5dfb-afab-8c8e51a00019</t>
  </si>
  <si>
    <t>attack-pattern--a62a8db3-f23a-4d8f-afd6-9dbc77e7813b</t>
  </si>
  <si>
    <t>https://attack.mitre.org/techniques/T1566</t>
  </si>
  <si>
    <t>T1566.004</t>
  </si>
  <si>
    <t>Spearphishing Voice</t>
  </si>
  <si>
    <t>1/4</t>
  </si>
  <si>
    <t>#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t>
  </si>
  <si>
    <t>7d5a91ab-56d5-5ca2-b89b-c33ea61c6f5c</t>
  </si>
  <si>
    <t>attack-pattern--bb5e59c4-abe7-40c7-8196-e373cb1e5974</t>
  </si>
  <si>
    <t>https://attack.mitre.org/techniques/T1566/004</t>
  </si>
  <si>
    <t>TA0001</t>
  </si>
  <si>
    <t>Initial Access</t>
  </si>
  <si>
    <t>tactic</t>
  </si>
  <si>
    <t>#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t>
  </si>
  <si>
    <t>ff4c0835-7fe5-59cd-a94d-d82a9c87c07c</t>
  </si>
  <si>
    <t>x-mitre-tactic--ffd5bcee-6e16-4dd2-8eca-7b3beedf33ca</t>
  </si>
  <si>
    <t>https://attack.mitre.org/tactics/TA0001</t>
  </si>
  <si>
    <t>T1598</t>
  </si>
  <si>
    <t>Phishing for Information</t>
  </si>
  <si>
    <t>1/6</t>
  </si>
  <si>
    <t>#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t>
  </si>
  <si>
    <t>f4d8f7cf-221f-59d8-8020-429a851befef</t>
  </si>
  <si>
    <t>attack-pattern--cca0ccb6-a068-4574-a722-b1556f86833a</t>
  </si>
  <si>
    <t>https://attack.mitre.org/techniques/T1598</t>
  </si>
  <si>
    <t>TA0003</t>
  </si>
  <si>
    <t>Persistence</t>
  </si>
  <si>
    <t>1/2</t>
  </si>
  <si>
    <t>#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t>
  </si>
  <si>
    <t>x-mitre-tactic--5bc1d813-693e-4823-9961-abf9af4b0e92</t>
  </si>
  <si>
    <t>https://attack.mitre.org/tactics/TA0003</t>
  </si>
  <si>
    <t>T1070.010</t>
  </si>
  <si>
    <t>Relocate Malware</t>
  </si>
  <si>
    <t>#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t>
  </si>
  <si>
    <t>e10a631d-09ba-51f0-875b-5eb8736daa53</t>
  </si>
  <si>
    <t>attack-pattern--cc36eeae-2209-4e63-89d3-c97e19edf280</t>
  </si>
  <si>
    <t>https://attack.mitre.org/techniques/T1070/010</t>
  </si>
  <si>
    <t>T1668</t>
  </si>
  <si>
    <t>Exclusive Control</t>
  </si>
  <si>
    <t>1/3</t>
  </si>
  <si>
    <t>#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t>
  </si>
  <si>
    <t>b0eccfc2-c562-56d9-a9c2-b5fb87c09c21</t>
  </si>
  <si>
    <t>attack-pattern--dff263cc-328e-42b4-afbc-1fee8b6a8913</t>
  </si>
  <si>
    <t>https://attack.mitre.org/techniques/T1668</t>
  </si>
  <si>
    <t>T1596.003</t>
  </si>
  <si>
    <t>Digital Certificates</t>
  </si>
  <si>
    <t>#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</si>
  <si>
    <t>5eecfeb4-7ff3-5476-a857-a696b2cfa777</t>
  </si>
  <si>
    <t>attack-pattern--0979abf9-4e26-43ec-9b6e-54efc4e70fca</t>
  </si>
  <si>
    <t>https://attack.mitre.org/techniques/T1596/003</t>
  </si>
  <si>
    <t>T1547.007</t>
  </si>
  <si>
    <t>Re-opened Applications</t>
  </si>
  <si>
    <t>#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</si>
  <si>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d594b40b-00a7-5682-b595-8e660593de1f</t>
  </si>
  <si>
    <t>attack-pattern--e5cc9e7a-e61a-46a1-b869-55fb6eab058e</t>
  </si>
  <si>
    <t>https://attack.mitre.org/techniques/T1547/007</t>
  </si>
  <si>
    <t>S0154</t>
  </si>
  <si>
    <t>Cobalt Strike</t>
  </si>
  <si>
    <t>#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t>
  </si>
  <si>
    <t>malware--a7881f21-e978-4fe4-af56-92c9416a2616</t>
  </si>
  <si>
    <t>https://attack.mitre.org/software/S0154</t>
  </si>
  <si>
    <t>T1021.004</t>
  </si>
  <si>
    <t>SSH</t>
  </si>
  <si>
    <t>7/7</t>
  </si>
  <si>
    <t># T1021.004 - SSH
SSH through an HTTP tunnel.
- S0154 Cobalt Strike (software): [Cobalt Strike](https://attack.mitre.org/software/S0154) can SSH to a remote service.
- S0599 Kinsing (software): [Kinsing](https://attack.mitre.org/software/S0599) has used SSH for lateral movement.</t>
  </si>
  <si>
    <t>b27606ce-c40b-57f1-92e7-d18ac7673f0e</t>
  </si>
  <si>
    <t>attack-pattern--2db31dcd-54da-405d-acef-b9129b816ed6</t>
  </si>
  <si>
    <t>https://attack.mitre.org/techniques/T1021/004</t>
  </si>
  <si>
    <t>G0080</t>
  </si>
  <si>
    <t>Cobalt Group</t>
  </si>
  <si>
    <t># G0080 - Cobalt Group
T1566.001 Spearphishing Attachment
- T1566.002 Spearphishing Link
- T1572 Protocol Tunneling
- T1573.002 Asymmetric Cryptography
- T1588.002 Tool
## Software used
- S0002 Mimikatz
- S0284 More_eggs
- S0646 SpicyOmelette
- S0195 SDelete
- S0154 Cobalt Strike
- S0029 PsExec</t>
  </si>
  <si>
    <t>c7c1e3ef-2447-55be-8bab-3de4d5e3fa0b</t>
  </si>
  <si>
    <t>intrusion-set--dc6fe6ee-04c2-49be-ba3d-f38d2463c02a</t>
  </si>
  <si>
    <t>https://attack.mitre.org/groups/G0080</t>
  </si>
  <si>
    <t>S0637</t>
  </si>
  <si>
    <t>NativeZone</t>
  </si>
  <si>
    <t>#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t>
  </si>
  <si>
    <t>ee34623e-b92f-55b0-bf27-6b757ee1681d</t>
  </si>
  <si>
    <t>malware--b4783be3-35d9-4a56-ac8d-1f3e1c9d9a84</t>
  </si>
  <si>
    <t>https://attack.mitre.org/software/S0637</t>
  </si>
  <si>
    <t>T1001.003</t>
  </si>
  <si>
    <t>Protocol or Service Impersonation</t>
  </si>
  <si>
    <t>6/8</t>
  </si>
  <si>
    <t>#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t>
  </si>
  <si>
    <t>a8f8bb82-ac11-5f17-b51c-536281194ec5</t>
  </si>
  <si>
    <t>attack-pattern--c325b232-d5bc-4dde-a3ec-71f3db9e8adc</t>
  </si>
  <si>
    <t>https://attack.mitre.org/techniques/T1001/003</t>
  </si>
  <si>
    <t>T1550.003</t>
  </si>
  <si>
    <t>Pass the Ticket</t>
  </si>
  <si>
    <t>5/5</t>
  </si>
  <si>
    <t>#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t>
  </si>
  <si>
    <t>750bebf0-a34b-5f77-9ddb-6fe2a3f246ba</t>
  </si>
  <si>
    <t>attack-pattern--7b211ac6-c815-4189-93a9-ab415deca926</t>
  </si>
  <si>
    <t>https://attack.mitre.org/techniques/T1550/003</t>
  </si>
  <si>
    <t>1/5</t>
  </si>
  <si>
    <t>#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t>
  </si>
  <si>
    <t>7056425c-0a49-5208-8a73-967b7b0834c4</t>
  </si>
  <si>
    <t>T1558.003</t>
  </si>
  <si>
    <t>Kerberoasting</t>
  </si>
  <si>
    <t>4/7</t>
  </si>
  <si>
    <t>#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t>
  </si>
  <si>
    <t>304f8585-a1e6-5623-9b25-a13b95dab776</t>
  </si>
  <si>
    <t>attack-pattern--f2877f7f-9a4c-4251-879f-1224e3006bee</t>
  </si>
  <si>
    <t>https://attack.mitre.org/techniques/T1558/003</t>
  </si>
  <si>
    <t>S0079</t>
  </si>
  <si>
    <t>MobileOrder</t>
  </si>
  <si>
    <t>#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t>
  </si>
  <si>
    <t>daaa4cb7-91e0-5cc0-82b5-3b2bb2ca454a</t>
  </si>
  <si>
    <t>malware--463f68f1-5cde-4dc2-a831-68b73488f8f4</t>
  </si>
  <si>
    <t>https://attack.mitre.org/software/S0079</t>
  </si>
  <si>
    <t>T1558.001</t>
  </si>
  <si>
    <t>Golden Ticket</t>
  </si>
  <si>
    <t>4/4</t>
  </si>
  <si>
    <t>#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t>
  </si>
  <si>
    <t>aad4bf53-34e3-513d-a9bc-9661d1985753</t>
  </si>
  <si>
    <t>attack-pattern--768dce68-8d0d-477a-b01d-0eea98b963a1</t>
  </si>
  <si>
    <t>https://attack.mitre.org/techniques/T1558/001</t>
  </si>
  <si>
    <t>S0347</t>
  </si>
  <si>
    <t>AuditCred</t>
  </si>
  <si>
    <t>#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t>
  </si>
  <si>
    <t>72ef6bf9-f375-5969-8f05-be8b358a87ba</t>
  </si>
  <si>
    <t>malware--24b4ce59-eaac-4c8b-8634-9b093b7ccd92</t>
  </si>
  <si>
    <t>https://attack.mitre.org/software/S0347</t>
  </si>
  <si>
    <t>#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t>
  </si>
  <si>
    <t>82b5059b-bba0-51c6-a72e-3cf74d782138</t>
  </si>
  <si>
    <t>S0263</t>
  </si>
  <si>
    <t>TYPEFRAME</t>
  </si>
  <si>
    <t>#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t>
  </si>
  <si>
    <t>77ea47c9-d1b8-55f4-8c12-d291eda4256b</t>
  </si>
  <si>
    <t>malware--7ba0fc46-197d-466d-8b9f-f1c64d5d81e5</t>
  </si>
  <si>
    <t>https://attack.mitre.org/software/S0263</t>
  </si>
  <si>
    <t>G0032</t>
  </si>
  <si>
    <t>Lazarus Group</t>
  </si>
  <si>
    <t>#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t>
  </si>
  <si>
    <t>d7ced4c8-3901-5447-a0b3-c2fbf5b3ae9f</t>
  </si>
  <si>
    <t>intrusion-set--c93fccb1-e8e8-42cf-ae33-2ad1d183913a</t>
  </si>
  <si>
    <t>https://attack.mitre.org/groups/G0032</t>
  </si>
  <si>
    <t>3/6</t>
  </si>
  <si>
    <t>#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t>
  </si>
  <si>
    <t>T1110.003</t>
  </si>
  <si>
    <t>Password Spraying</t>
  </si>
  <si>
    <t>8/9</t>
  </si>
  <si>
    <t>#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t>
  </si>
  <si>
    <t>bda60f05-afc9-5623-a785-ce6ba574ed8e</t>
  </si>
  <si>
    <t>attack-pattern--692074ae-bb62-4a5e-a735-02cb6bde458c</t>
  </si>
  <si>
    <t>https://attack.mitre.org/techniques/T1110/003</t>
  </si>
  <si>
    <t>6/9</t>
  </si>
  <si>
    <t>#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t>
  </si>
  <si>
    <t>ef7bd43e-42d4-5dd2-bc0e-1abd0cbf802f</t>
  </si>
  <si>
    <t>1/9</t>
  </si>
  <si>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</si>
  <si>
    <t>157456b8-c03f-5096-98d8-1d1e43a443e8</t>
  </si>
  <si>
    <t>DET0487</t>
  </si>
  <si>
    <t>Distributed Password Spraying via Authentication Failures Across Multiple Accounts</t>
  </si>
  <si>
    <t>detection-strategy</t>
  </si>
  <si>
    <t># DET0487 - Distributed Password Spraying via Authentication Failures Across Multiple Accounts
Type: detection-strategy | Domain: enterprise-attack | ATT&amp;CK version: 19.2
## Detects techniques
- T1110.003 Password Spraying</t>
  </si>
  <si>
    <t>f62c8db0-8f71-599b-b664-010c60d7b022</t>
  </si>
  <si>
    <t>x-mitre-detection-strategy--84dfca59-e541-48a8-bb95-d7581a8f48d2</t>
  </si>
  <si>
    <t>https://attack.mitre.org/detectionstrategies/DET0487</t>
  </si>
  <si>
    <t>C0051</t>
  </si>
  <si>
    <t>APT28 Nearest Neighbor Campaign</t>
  </si>
  <si>
    <t>campaign</t>
  </si>
  <si>
    <t>2/2</t>
  </si>
  <si>
    <t>#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t>
  </si>
  <si>
    <t>9f28e3b3-46cd-5d07-ba72-040ae936815b</t>
  </si>
  <si>
    <t>campaign--a010610e-22cb-437e-bfde-b78861bdca7a</t>
  </si>
  <si>
    <t>https://attack.mitre.org/campaigns/C0051</t>
  </si>
  <si>
    <t>7/9</t>
  </si>
  <si>
    <t>#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t>
  </si>
  <si>
    <t>bc411276-2b2d-57fd-b20f-7feb6b7f2b0b</t>
  </si>
  <si>
    <t>G0114</t>
  </si>
  <si>
    <t>Chimera</t>
  </si>
  <si>
    <t>#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t>
  </si>
  <si>
    <t>8e3c7f9a-1c02-5e07-a4ae-509c8f1580e1</t>
  </si>
  <si>
    <t>intrusion-set--8c1f0187-0826-4320-bddc-5f326cfcfe2c</t>
  </si>
  <si>
    <t>https://attack.mitre.org/groups/G0114</t>
  </si>
  <si>
    <t>T1110.002</t>
  </si>
  <si>
    <t>Password Cracking</t>
  </si>
  <si>
    <t>#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t>
  </si>
  <si>
    <t>0204f726-7c2b-510e-a2cf-0d16f6c05c61</t>
  </si>
  <si>
    <t>attack-pattern--1d24cdee-9ea2-4189-b08e-af110bf2435d</t>
  </si>
  <si>
    <t>https://attack.mitre.org/techniques/T1110/002</t>
  </si>
  <si>
    <t>T1586.002</t>
  </si>
  <si>
    <t>Email Accounts</t>
  </si>
  <si>
    <t>#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t>
  </si>
  <si>
    <t>302a1537-027f-57a0-81b9-9063712870ce</t>
  </si>
  <si>
    <t>attack-pattern--3dc8c101-d4db-4f4d-8150-1b5a76ca5f1b</t>
  </si>
  <si>
    <t>https://attack.mitre.org/techniques/T1586/002</t>
  </si>
  <si>
    <t>2/8</t>
  </si>
  <si>
    <t>#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t>
  </si>
  <si>
    <t>6a49f47f-97c7-51c1-9b8c-11a512eb628c</t>
  </si>
  <si>
    <t>T1585.002</t>
  </si>
  <si>
    <t>#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t>
  </si>
  <si>
    <t>e3dc1b98-151d-514e-a176-c74fb584fe19</t>
  </si>
  <si>
    <t>attack-pattern--65013dd2-bc61-43e3-afb5-a14c4fa7437a</t>
  </si>
  <si>
    <t>https://attack.mitre.org/techniques/T1585/002</t>
  </si>
  <si>
    <t>#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t>
  </si>
  <si>
    <t>22e1f629-ed75-57fb-9dfd-767e49dde3de</t>
  </si>
  <si>
    <t>T1056</t>
  </si>
  <si>
    <t>Input Capture</t>
  </si>
  <si>
    <t>#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</si>
  <si>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49082e7a-665e-52fc-913f-e16e250c69fc</t>
  </si>
  <si>
    <t>attack-pattern--bb5a00de-e086-4859-a231-fa793f6797e2</t>
  </si>
  <si>
    <t>https://attack.mitre.org/techniques/T1056</t>
  </si>
  <si>
    <t>T1056.003</t>
  </si>
  <si>
    <t>Web Portal Capture</t>
  </si>
  <si>
    <t>#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t>
  </si>
  <si>
    <t>53bb75a3-204c-582f-aebf-0aa453578979</t>
  </si>
  <si>
    <t>attack-pattern--69e5226d-05dc-4f15-95d7-44f5ed78d06e</t>
  </si>
  <si>
    <t>https://attack.mitre.org/techniques/T1056/003</t>
  </si>
  <si>
    <t>T1056.001</t>
  </si>
  <si>
    <t>Keylogging</t>
  </si>
  <si>
    <t>1/7</t>
  </si>
  <si>
    <t>#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t>
  </si>
  <si>
    <t>9552e904-33ef-5bad-a469-7fa1bf0d2107</t>
  </si>
  <si>
    <t>attack-pattern--09a60ea3-a8d1-4ae5-976e-5783248b72a4</t>
  </si>
  <si>
    <t>https://attack.mitre.org/techniques/T1056/001</t>
  </si>
  <si>
    <t>DET0102</t>
  </si>
  <si>
    <t>Behavioral Detection of Input Capture Across Platforms</t>
  </si>
  <si>
    <t>#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t>
  </si>
  <si>
    <t>b125294d-a3b8-5227-a30b-108b917e557a</t>
  </si>
  <si>
    <t>x-mitre-detection-strategy--c922d994-74bd-4847-a870-c0ae216318c9</t>
  </si>
  <si>
    <t>https://attack.mitre.org/detectionstrategies/DET0102</t>
  </si>
  <si>
    <t>2/7</t>
  </si>
  <si>
    <t>#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t>
  </si>
  <si>
    <t>1e3aef33-c042-58ea-a36d-b1176cfd929c</t>
  </si>
  <si>
    <t>TA0002</t>
  </si>
  <si>
    <t>Execution</t>
  </si>
  <si>
    <t>#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t>
  </si>
  <si>
    <t>57665f89-6f5d-57ec-8cfb-d409cf0b4a97</t>
  </si>
  <si>
    <t>x-mitre-tactic--4ca45d45-df4d-4613-8980-bac22d278fa5</t>
  </si>
  <si>
    <t>https://attack.mitre.org/tactics/TA0002</t>
  </si>
  <si>
    <t>T1683</t>
  </si>
  <si>
    <t>Generate Content</t>
  </si>
  <si>
    <t>#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t>
  </si>
  <si>
    <t>dc4c60b8-5e00-5802-a63c-64dc3695a236</t>
  </si>
  <si>
    <t>attack-pattern--b512fb8a-18dd-4bfc-bbad-acbaaeb7dde3</t>
  </si>
  <si>
    <t>https://attack.mitre.org/techniques/T1683</t>
  </si>
  <si>
    <t>T1040</t>
  </si>
  <si>
    <t>Network Sniffing</t>
  </si>
  <si>
    <t>4/11</t>
  </si>
  <si>
    <t>#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t>
  </si>
  <si>
    <t>b616fa4b-7322-5a04-a57b-56babba5fb56</t>
  </si>
  <si>
    <t>attack-pattern--3257eb21-f9a7-4430-8de1-d8b6e288f529</t>
  </si>
  <si>
    <t>https://attack.mitre.org/techniques/T1040</t>
  </si>
  <si>
    <t>T1552.008</t>
  </si>
  <si>
    <t>Chat Messages</t>
  </si>
  <si>
    <t>#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</si>
  <si>
    <t>94ece3fd-e305-5ee5-991d-3a563d13b80a</t>
  </si>
  <si>
    <t>attack-pattern--9664ad0e-789e-40ac-82e2-d7b17fbe8fb3</t>
  </si>
  <si>
    <t>https://attack.mitre.org/techniques/T1552/008</t>
  </si>
  <si>
    <t>TA0011</t>
  </si>
  <si>
    <t>Command and Control</t>
  </si>
  <si>
    <t>#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t>
  </si>
  <si>
    <t>a0d301c9-8f03-56e0-b461-3ea0fd74d96e</t>
  </si>
  <si>
    <t>x-mitre-tactic--f72804c5-f15a-449e-a5da-2eecd181f813</t>
  </si>
  <si>
    <t>https://attack.mitre.org/tactics/TA0011</t>
  </si>
  <si>
    <t>C0026</t>
  </si>
  <si>
    <t>#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t>
  </si>
  <si>
    <t>9888dea1-f3ec-5e03-b541-8e05afd7c088</t>
  </si>
  <si>
    <t>campaign--c89fa3ff-4773-4daf-8aec-d8f43f10116e</t>
  </si>
  <si>
    <t>https://attack.mitre.org/campaigns/C0026</t>
  </si>
  <si>
    <t>S9044</t>
  </si>
  <si>
    <t>Kali365</t>
  </si>
  <si>
    <t>#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t>
  </si>
  <si>
    <t>5ee65033-bb02-5e33-a22a-e68d67f875c3</t>
  </si>
  <si>
    <t>malware--f5a56c26-e192-489d-a77e-a8b38fd70eee</t>
  </si>
  <si>
    <t>https://attack.mitre.org/software/S9044</t>
  </si>
  <si>
    <t>S9042</t>
  </si>
  <si>
    <t>CanisterWorm</t>
  </si>
  <si>
    <t>#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t>
  </si>
  <si>
    <t>605edb9c-54db-520d-a3ae-5bb981c67366</t>
  </si>
  <si>
    <t>malware--5b30f717-1d7b-4e91-a97d-be361d00aa5e</t>
  </si>
  <si>
    <t>https://attack.mitre.org/software/S9042</t>
  </si>
  <si>
    <t>T1608.004</t>
  </si>
  <si>
    <t>Drive-by Target</t>
  </si>
  <si>
    <t># T1608.004 - Drive-by Target
Type: sub-technique | Domain: enterprise-attack | ATT&amp;CK version: 19.2
Tactics: resource-development
Platforms: PRE
Sub-technique of: T1608 Stage Capabilities</t>
  </si>
  <si>
    <t>b431edc2-e2fb-5bff-8750-f61ceb269ea8</t>
  </si>
  <si>
    <t>attack-pattern--31fe0ba2-62fd-4fd9-9293-4043d84f7fe9</t>
  </si>
  <si>
    <t>https://attack.mitre.org/techniques/T1608/004</t>
  </si>
  <si>
    <t>S9041</t>
  </si>
  <si>
    <t>TeamPCP Cloud Stealer</t>
  </si>
  <si>
    <t>#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t>
  </si>
  <si>
    <t>896b042c-adbc-5362-a6f3-8ed624e1d88b</t>
  </si>
  <si>
    <t>malware--fe5b2f0f-8fdc-459d-85b7-dd45c0217a0c</t>
  </si>
  <si>
    <t>https://attack.mitre.org/software/S9041</t>
  </si>
  <si>
    <t>M1031</t>
  </si>
  <si>
    <t>Network Intrusion Prevention</t>
  </si>
  <si>
    <t>mitigation</t>
  </si>
  <si>
    <t>#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t>
  </si>
  <si>
    <t>ee4e36d8-7c86-5b85-8aeb-140dce27f98e</t>
  </si>
  <si>
    <t>course-of-action--12241367-a8b7-49b4-b86e-2236901ba50c</t>
  </si>
  <si>
    <t>https://attack.mitre.org/mitigations/M1031</t>
  </si>
  <si>
    <t>T1555.006</t>
  </si>
  <si>
    <t>Cloud Secrets Management Stores</t>
  </si>
  <si>
    <t>#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t>
  </si>
  <si>
    <t>70553fe9-95e9-503b-b5be-5d50bb3b406e</t>
  </si>
  <si>
    <t>attack-pattern--cfb525cc-5494-401d-a82b-2539ca46a561</t>
  </si>
  <si>
    <t>https://attack.mitre.org/techniques/T1555/006</t>
  </si>
  <si>
    <t>T1059.010</t>
  </si>
  <si>
    <t>AutoHotKey &amp; AutoIT</t>
  </si>
  <si>
    <t>#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t>
  </si>
  <si>
    <t>952ba9e9-02f1-5a73-9728-d18d3b697266</t>
  </si>
  <si>
    <t>attack-pattern--3a32740a-11b0-4bcf-b0a9-3abd0f6d3cd5</t>
  </si>
  <si>
    <t>https://attack.mitre.org/techniques/T1059/010</t>
  </si>
  <si>
    <t>DC0095</t>
  </si>
  <si>
    <t>Volume Enumeration</t>
  </si>
  <si>
    <t>data-component</t>
  </si>
  <si>
    <t># DC0095 - Volume Enumeration
Type: data-component | Domain: enterprise-attack | ATT&amp;CK version: 19.2
Data source: n/a | Platforms: n/a
## Description
An extracted list of available volumes within a cloud environment (ex: AWS describe-volumes)</t>
  </si>
  <si>
    <t>f7d9b154-5446-578c-b6ef-6f5413298f0e</t>
  </si>
  <si>
    <t>x-mitre-data-component--ec225357-8197-47a4-a9cd-57741d592877</t>
  </si>
  <si>
    <t>https://attack.mitre.org/datacomponents/DC0095</t>
  </si>
  <si>
    <t>T1059.009</t>
  </si>
  <si>
    <t>Cloud API</t>
  </si>
  <si>
    <t>#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t>
  </si>
  <si>
    <t>60d08f9a-0633-524e-8298-fe7bc19f2408</t>
  </si>
  <si>
    <t>attack-pattern--55bb4471-ff1f-43b4-88c1-c9384ec47abf</t>
  </si>
  <si>
    <t>https://attack.mitre.org/techniques/T1059/009</t>
  </si>
  <si>
    <t>modelo</t>
  </si>
  <si>
    <t>tokens prompt</t>
  </si>
  <si>
    <t>tokens respuesta</t>
  </si>
  <si>
    <t>retrieval ms</t>
  </si>
  <si>
    <t>generacion ms</t>
  </si>
  <si>
    <t>total ms</t>
  </si>
  <si>
    <t>prompt [system]</t>
  </si>
  <si>
    <t>prompt [user] (con los fragmentos [n])</t>
  </si>
  <si>
    <t>qwen3:4b-instruct</t>
  </si>
  <si>
    <t>You are a cybersecurity assistant specialized in the MITRE ATT&amp;CK framework (tactics, techniques, sub-techniques, groups, software, mitigations, detections).
Answer the user's question using ONLY the information contained in the provided context passages.
Cite the passages you rely on with their bracketed number, e.g. [1] or [2][4].
If the context does not contain enough information to answer, say so explicitly and do not invent facts.
Be precise: include ATT&amp;CK IDs (e.g. T1059.001, G0016, M1038) when they appear in the context.
Answer in the same language as the question.</t>
  </si>
  <si>
    <t>Context passages:
[1] Source: T1059.001 - PowerShell
#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[2] Source: S1193 - TAMECAT
#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
[3] Source: G0099 - APT-C-36
#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
[4] Source: T1059 - Command and Scripting Interpreter
#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
[5] Source: S0393 - PowerStallion
#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
Question: ¿Qué mitigaciones propone ATT&amp;CK para la sub-técnica T1059.001 PowerShell y en qué consiste cada una?
Answer:</t>
  </si>
  <si>
    <t>You are a cybersecurity assistant specialized in the MITRE ATT&amp;CK framework (tactics, techniques, sub-techniques, groups, software, mitigations, detections).
Answer the user's question accurately and concisely using your own knowledge.
Include ATT&amp;CK IDs (e.g. T1059.001, G0016, M1038) when you are confident about them.
If you are not sure about something, say so explicitly instead of guessing.
Answer in the same language as the question.</t>
  </si>
  <si>
    <t>Question: ¿Qué mitigaciones propone ATT&amp;CK para la sub-técnica T1059.001 PowerShell y en qué consiste cada una?
Answer:</t>
  </si>
  <si>
    <t>Context passages:
[1] Source: T1586 - Compromise Accounts
#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
[2] Source: T1566 - Phishing
#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[3] Source: T1566.004 - Spearphishing Voice
#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[4] Source: TA0001 - Initial Access
#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
[5] Source: T1598 - Phishing for Information
#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Question: According to ATT&amp;CK, which tactic does Phishing (T1566) belong to and what are its four sub-techniques?
Answer:</t>
  </si>
  <si>
    <t>Question: According to ATT&amp;CK, which tactic does Phishing (T1566) belong to and what are its four sub-techniques?
Answer:</t>
  </si>
  <si>
    <t>Context passages:
[1] Source: TA0003 - Persistence
#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[2] Source: T1070.010 - Relocate Malware
#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
[3] Source: T1668 - Exclusive Control
#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
[4] Source: T1596.003 - Digital Certificates
#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[5] Source: T1547.007 - Re-opened Applications
#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Question: ¿Qué es la táctica Persistencia (TA0003) en ATT&amp;CK y qué busca conseguir el adversario con ella?
Answer:</t>
  </si>
  <si>
    <t>Question: ¿Qué es la táctica Persistencia (TA0003) en ATT&amp;CK y qué busca conseguir el adversario con ella?
Answer:</t>
  </si>
  <si>
    <t>Context passages:
[1] Source: S0154 - Cobalt Strike
#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
[2] Source: T1021.004 - SSH
# T1021.004 - SSH
SSH through an HTTP tunnel.
- S0154 Cobalt Strike (software): [Cobalt Strike](https://attack.mitre.org/software/S0154) can SSH to a remote service.
- S0599 Kinsing (software): [Kinsing](https://attack.mitre.org/software/S0599) has used SSH for lateral movement.
[3] Source: G0080 - Cobalt Group
# G0080 - Cobalt Group
T1566.001 Spearphishing Attachment
- T1566.002 Spearphishing Link
- T1572 Protocol Tunneling
- T1573.002 Asymmetric Cryptography
- T1588.002 Tool
## Software used
- S0002 Mimikatz
- S0284 More_eggs
- S0646 SpicyOmelette
- S0195 SDelete
- S0154 Cobalt Strike
- S0029 PsExec
[4] Source: S0637 - NativeZone
#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
[5] Source: T1001.003 - Protocol or Service Impersonation
#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
Question: Según ATT&amp;CK, ¿qué es Cobalt Strike (S0154) y de qué otras herramientas conocidas aprovecha capacidades? ¿Cuánto cuesta su licencia anual?
Answer:</t>
  </si>
  <si>
    <t>Question: Según ATT&amp;CK, ¿qué es Cobalt Strike (S0154) y de qué otras herramientas conocidas aprovecha capacidades? ¿Cuánto cuesta su licencia anual?
Answer:</t>
  </si>
  <si>
    <t>Context passages:
[1] Source: T1550.003 - Pass the Ticket
#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
[2] Source: T1550.003 - Pass the Ticket
#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
[3] Source: T1558.003 - Kerberoasting
#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
[4] Source: S0079 - MobileOrder
#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
[5] Source: T1558.001 - Golden Ticket
#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
Question: Según ATT&amp;CK, ¿APT29 (G0016) utiliza Mimikatz? Y en caso afirmativo, ¿qué técnicas relacionadas con tickets Kerberos implementa esa herramienta?
Answer:</t>
  </si>
  <si>
    <t>Question: Según ATT&amp;CK, ¿APT29 (G0016) utiliza Mimikatz? Y en caso afirmativo, ¿qué técnicas relacionadas con tickets Kerberos implementa esa herramienta?
Answer:</t>
  </si>
  <si>
    <t>Context passages:
[1] Source: S0347 - AuditCred
#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
[2] Source: G0099 - APT-C-36
#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
[3] Source: S0263 - TYPEFRAME
#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
[4] Source: G0032 - Lazarus Group
#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
[5] Source: G0032 - Lazarus Group
#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
Question: ¿Qué sub-técnicas de intérpretes de comandos (T1059.*) usa Lazarus Group (G0032) según ATT&amp;CK, y qué ataques ha realizado este grupo contra Ecuador?
Answer:</t>
  </si>
  <si>
    <t>Question: ¿Qué sub-técnicas de intérpretes de comandos (T1059.*) usa Lazarus Group (G0032) según ATT&amp;CK, y qué ataques ha realizado este grupo contra Ecuador?
Answer:</t>
  </si>
  <si>
    <t>Context passages:
[1] Source: T1110.003 - Password Spraying
#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
[2] Source: T1110.003 - Password Spraying
#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
[3] Source: T1110.003 - Password Spraying
#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
[4] Source: DET0487 - Distributed Password Spraying via Authentication Failures Across Multiple Accounts
# DET0487 - Distributed Password Spraying via Authentication Failures Across Multiple Accounts
Type: detection-strategy | Domain: enterprise-attack | ATT&amp;CK version: 19.2
## Detects techniques
- T1110.003 Password Spraying
[5] Source: C0051 - APT28 Nearest Neighbor Campaign
#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
Question: According to ATT&amp;CK, how has APT28 (G0007) carried out password spraying (T1110.003)?
Answer:</t>
  </si>
  <si>
    <t>Question: According to ATT&amp;CK, how has APT28 (G0007) carried out password spraying (T1110.003)?
Answer:</t>
  </si>
  <si>
    <t>Context passages:
[1] Source: T1110.003 - Password Spraying
#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
[2] Source: DET0487 - Distributed Password Spraying via Authentication Failures Across Multiple Accounts
# DET0487 - Distributed Password Spraying via Authentication Failures Across Multiple Accounts
Type: detection-strategy | Domain: enterprise-attack | ATT&amp;CK version: 19.2
## Detects techniques
- T1110.003 Password Spraying
[3] Source: T1110.003 - Password Spraying
#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
[4] Source: G0114 - Chimera
#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
[5] Source: T1110.002 - Password Cracking
#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
Question: ¿Qué mitigaciones recomienda ATT&amp;CK contra Password Spraying (T1110.003) y qué porcentaje de las intrusiones registradas en 2025 comenzó con esta técnica?
Answer:</t>
  </si>
  <si>
    <t>Question: ¿Qué mitigaciones recomienda ATT&amp;CK contra Password Spraying (T1110.003) y qué porcentaje de las intrusiones registradas en 2025 comenzó con esta técnica?
Answer:</t>
  </si>
  <si>
    <t>Context passages:
[1] Source: T1586.002 - Email Accounts
#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[2] Source: T1566 - Phishing
#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[3] Source: T1566 - Phishing
#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
[4] Source: T1585.002 - Email Accounts
#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
[5] Source: T1566 - Phishing
#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
Question: Which mitigations does ATT&amp;CK list for Phishing (T1566), and which commercial email security product does MITRE recommend to implement them?
Answer:</t>
  </si>
  <si>
    <t>Question: Which mitigations does ATT&amp;CK list for Phishing (T1566), and which commercial email security product does MITRE recommend to implement them?
Answer:</t>
  </si>
  <si>
    <t>Context passages:
[1] Source: T1056 - Input Capture
#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
[2] Source: T1056.003 - Web Portal Capture
#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
[3] Source: T1056.001 - Keylogging
#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
[4] Source: DET0102 - Behavioral Detection of Input Capture Across Platforms
#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
[5] Source: T1056.001 - Keylogging
#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
Question: ¿Qué es la técnica T1417 Input Capture de ATT&amp;CK Mobile y qué mitigaciones propone ATT&amp;CK para ella?
Answer:</t>
  </si>
  <si>
    <t>Question: ¿Qué es la técnica T1417 Input Capture de ATT&amp;CK Mobile y qué mitigaciones propone ATT&amp;CK para ella?
Answer:</t>
  </si>
  <si>
    <t>Context passages:
[1] Source: TA0002 - Execution
#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
[2] Source: T1683 - Generate Content
#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
[3] Source: T1040 - Network Sniffing
#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
[4] Source: T1552.008 - Chat Messages
#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[5] Source: TA0011 - Command and Control
#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
Question: Which ICS tactic does T0855 Unauthorized Command Message belong to and which assets does it target?
Answer:</t>
  </si>
  <si>
    <t>Question: Which ICS tactic does T0855 Unauthorized Command Message belong to and which assets does it target?
Answer:</t>
  </si>
  <si>
    <t>Context passages:
[1] Source: C0026 - C0026
#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
[2] Source: S9044 - Kali365
#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
[3] Source: S9042 - CanisterWorm
#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
[4] Source: T1608.004 - Drive-by Target
# T1608.004 - Drive-by Target
Type: sub-technique | Domain: enterprise-attack | ATT&amp;CK version: 19.2
Tactics: resource-development
Platforms: PRE
Sub-technique of: T1608 Stage Capabilities
[5] Source: S9041 - TeamPCP Cloud Stealer
#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
Question: ¿Cuál fue la técnica ATT&amp;CK más utilizada por los atacantes a nivel mundial durante 2026?
Answer:</t>
  </si>
  <si>
    <t>Question: ¿Cuál fue la técnica ATT&amp;CK más utilizada por los atacantes a nivel mundial durante 2026?
Answer:</t>
  </si>
  <si>
    <t>Context passages:
[1] Source: M1031 - Network Intrusion Prevention
#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
[2] Source: T1555.006 - Cloud Secrets Management Stores
#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
[3] Source: T1059.010 - AutoHotKey &amp; AutoIT
#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
[4] Source: DC0095 - Volume Enumeration
# DC0095 - Volume Enumeration
Type: data-component | Domain: enterprise-attack | ATT&amp;CK version: 19.2
Data source: n/a | Platforms: n/a
## Description
An extracted list of available volumes within a cloud environment (ex: AWS describe-volumes)
[5] Source: T1059.009 - Cloud API
#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Question: ¿Qué describe la sub-técnica T1059.099 de ATT&amp;CK y a qué táctica pertenece?
Answer:</t>
  </si>
  <si>
    <t>Question: ¿Qué describe la sub-técnica T1059.099 de ATT&amp;CK y a qué táctica pertenece?
Answer:</t>
  </si>
  <si>
    <t>embed_model</t>
  </si>
  <si>
    <t>granite-embedding:30m</t>
  </si>
  <si>
    <t>CORPUS (data/manifest.json)</t>
  </si>
  <si>
    <t>created_at</t>
  </si>
  <si>
    <t>2026-09-12T16:14:31.631478+00:00</t>
  </si>
  <si>
    <t>collection</t>
  </si>
  <si>
    <t>mitre_attack</t>
  </si>
  <si>
    <t>embed_dim</t>
  </si>
  <si>
    <t>doc_prefix</t>
  </si>
  <si>
    <t>query_prefix</t>
  </si>
  <si>
    <t>chunk_size</t>
  </si>
  <si>
    <t>chunk_overlap</t>
  </si>
  <si>
    <t>domains</t>
  </si>
  <si>
    <t>["enterprise-attack"]</t>
  </si>
  <si>
    <t>attack_versions</t>
  </si>
  <si>
    <t>{"enterprise-attack": "19.2"}</t>
  </si>
  <si>
    <t>n_documents</t>
  </si>
  <si>
    <t>n_chunks</t>
  </si>
  <si>
    <t>points_count</t>
  </si>
  <si>
    <t>elapsed_s</t>
  </si>
  <si>
    <t>TRAZABILIDAD</t>
  </si>
  <si>
    <t>questions.jsonl (diseño y gold) -&gt; config.json (corrida) -&gt; traces.jsonl (registro primario: contextos, prompt, tokens, tiempos) -&gt; calificacion.xlsx (esta vista + notas manuales). point_id enlaza con data/chunks.jsonl; doc_id/url con documents.jsonl y attack.mitre.org.</t>
  </si>
  <si>
    <t>Configuración</t>
  </si>
  <si>
    <t>Cómo usar</t>
  </si>
  <si>
    <t>N0 corpus</t>
  </si>
  <si>
    <t>N1 recuperación</t>
  </si>
  <si>
    <t>N2 respuesta</t>
  </si>
  <si>
    <t>N3 citas</t>
  </si>
  <si>
    <t>Comparación</t>
  </si>
  <si>
    <t>Métrica</t>
  </si>
  <si>
    <t>Respuestas calificadas (N2 no vacío)</t>
  </si>
  <si>
    <t>Promedio N2 respuesta (0-2)</t>
  </si>
  <si>
    <t>Promedio N3 citas (0-2)</t>
  </si>
  <si>
    <t>N1 hit@k (gold en top-k, preguntas completas/parciales)</t>
  </si>
  <si>
    <t>Diagnóstico</t>
  </si>
  <si>
    <t>OK</t>
  </si>
  <si>
    <t>E0-corpus</t>
  </si>
  <si>
    <t>E1-recuperacion</t>
  </si>
  <si>
    <t>E2-generacion</t>
  </si>
  <si>
    <t>E3-citas</t>
  </si>
  <si>
    <t xml:space="preserve">Modelo </t>
  </si>
  <si>
    <t>Toggle</t>
  </si>
  <si>
    <t>Detalle</t>
  </si>
  <si>
    <t>qwen3:4b</t>
  </si>
  <si>
    <t>Off</t>
  </si>
  <si>
    <t>On</t>
  </si>
  <si>
    <t>Respuesta directa</t>
  </si>
  <si>
    <t>Idéntico. No-op silencioso</t>
  </si>
  <si>
    <t>Razonamiento limpio y separado en el campo thinking</t>
  </si>
  <si>
    <t>Roto. El razonamiento se filtra dentro de content</t>
  </si>
  <si>
    <t>RAG vs LLM: compara la columna N2 de las dos filas de la misma pregunta. 
Si RAG &gt; LLM, la recuperación aportó; 
si RAG &lt; LLM, el contexto perjudicó (ruido) o el modelo se ancló mal.</t>
  </si>
  <si>
    <r>
      <rPr>
        <b/>
        <sz val="11"/>
        <color rgb="FF00B050"/>
        <rFont val="Calibri"/>
        <family val="2"/>
        <scheme val="minor"/>
      </rPr>
      <t>completa</t>
    </r>
    <r>
      <rPr>
        <sz val="11"/>
        <color theme="1"/>
        <rFont val="Calibri"/>
        <family val="2"/>
        <scheme val="minor"/>
      </rPr>
      <t xml:space="preserve"> = toda la respuesta está en el corpus · 
</t>
    </r>
    <r>
      <rPr>
        <b/>
        <sz val="11"/>
        <color rgb="FFFFC000"/>
        <rFont val="Calibri"/>
        <family val="2"/>
        <scheme val="minor"/>
      </rPr>
      <t>parcial</t>
    </r>
    <r>
      <rPr>
        <sz val="11"/>
        <color theme="1"/>
        <rFont val="Calibri"/>
        <family val="2"/>
        <scheme val="minor"/>
      </rPr>
      <t xml:space="preserve"> = una parte sí y otra no · 
</t>
    </r>
    <r>
      <rPr>
        <b/>
        <sz val="11"/>
        <color rgb="FFFF0000"/>
        <rFont val="Calibri"/>
        <family val="2"/>
        <scheme val="minor"/>
      </rPr>
      <t>nula</t>
    </r>
    <r>
      <rPr>
        <sz val="11"/>
        <color theme="1"/>
        <rFont val="Calibri"/>
        <family val="2"/>
        <scheme val="minor"/>
      </rPr>
      <t xml:space="preserve"> = nada está. Viene del diseño de la pregunta; no se modifica.</t>
    </r>
  </si>
  <si>
    <t>Sólo modo RAG. 
SI = al menos un fragmento gold apareció entre los top-k; 
rango = posición del primero. Calculado automáticamente con los gold_point_ids de la pregunta.</t>
  </si>
  <si>
    <t>2 = correcta y completa respecto a la referencia · 
1 = a medias (omite algo relevante o mezcla algo inventado con lo correcto) · 
0 = incorrecta o inventada.
Pregunta NULA: 2 = se abstuvo ('el contexto no contiene...') · 
                               0 = inventó una respuesta.
Pregunta PARCIAL: 2 = responde la parte disponible Y se abstiene de la otra · 
                                     1 = responde bien la parte disponible pero inventa la otra · 
                                     0 = inventa o erra la parte disponible.</t>
  </si>
  <si>
    <t>Sólo modo RAG. 
2 = cada afirmación tiene cita [n] y el fragmento n realmente la sostiene · 
1 = alguna afirmación sin cita, o alguna cita apunta a un fragmento que no dice eso · 
0 = sin citas o citas equivocadas. Si el sistema se abstuvo correctamente, N3 = N/A.</t>
  </si>
  <si>
    <t>modelo=qwen3:4b-instruct · 
recuperación=hybrid · 
top_k=5 · 
temperatura=0.0 · 
embeddings=granite-embedding:30m</t>
  </si>
  <si>
    <t>Una fila por pregunta y modo. Las columnas verdes vienen calculadas; 
Por llenar sólo las amarillas (N2, N3, DIAGNOSTICO) y el comentario. Para verificar citas [n], busca la fila en la hoja 'Contextos' con el mismo id y rango n.</t>
  </si>
  <si>
    <t>ES</t>
  </si>
  <si>
    <t>ENG</t>
  </si>
  <si>
    <t>Es totalmente respondible</t>
  </si>
  <si>
    <t>tokens_total</t>
  </si>
  <si>
    <t>Modo LLM consulta entrenamiento</t>
  </si>
  <si>
    <t>Informacion completa en el corpus pero el retrieval falló por lo que aún teniendo la información no respondió</t>
  </si>
  <si>
    <t>El LLM dio una mejor respuesta debido a su entranamiento</t>
  </si>
  <si>
    <t>El PRIMER eslabón que falló, en este orden:
OK = sin error relevante.
E0-corpus = la info no estaba en el corpus y el sistema NO se abstuvo (inventó).
E1-recuperacion = la info estaba (completa/parcial) pero el fragmento gold no llegó (N1 = NO) y la respuesta sufrió por ello.
E2-generacion = el fragmento gold llegó (N1 = SI) y aun así N2 &lt; 2.
E3-citas = respuesta correcta (N2 = 2) pero N3 &lt; 2.
Modo LLM: sólo puede ser OK, 
                     E0-corpus (inventó en nula/parcial) no tiene respuesta y el modelo inventó o 
                     E2-generacion sí tiene respuesta y el modelo respondió mal.</t>
  </si>
  <si>
    <r>
      <t xml:space="preserve">ATT&amp;CK recomienda tres mitigaciones: 
</t>
    </r>
    <r>
      <rPr>
        <b/>
        <sz val="11"/>
        <color theme="1"/>
        <rFont val="Calibri"/>
        <family val="2"/>
        <scheme val="minor"/>
      </rPr>
      <t>M1027</t>
    </r>
    <r>
      <rPr>
        <sz val="11"/>
        <color theme="1"/>
        <rFont val="Calibri"/>
        <family val="2"/>
        <scheme val="minor"/>
      </rPr>
      <t xml:space="preserve"> Password Policies (seguir las guías NIST al definir políticas de contraseñas), 
</t>
    </r>
    <r>
      <rPr>
        <b/>
        <sz val="11"/>
        <color theme="1"/>
        <rFont val="Calibri"/>
        <family val="2"/>
        <scheme val="minor"/>
      </rPr>
      <t>M1032</t>
    </r>
    <r>
      <rPr>
        <sz val="11"/>
        <color theme="1"/>
        <rFont val="Calibri"/>
        <family val="2"/>
        <scheme val="minor"/>
      </rPr>
      <t xml:space="preserve"> Multi-factor Authentication (usar MFA, también en servicios expuestos a Internet) y 
</t>
    </r>
    <r>
      <rPr>
        <b/>
        <sz val="11"/>
        <color theme="1"/>
        <rFont val="Calibri"/>
        <family val="2"/>
        <scheme val="minor"/>
      </rPr>
      <t>M1036</t>
    </r>
    <r>
      <rPr>
        <sz val="11"/>
        <color theme="1"/>
        <rFont val="Calibri"/>
        <family val="2"/>
        <scheme val="minor"/>
      </rPr>
      <t xml:space="preserve">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r>
  </si>
  <si>
    <r>
      <t xml:space="preserve">Phishing belongs to the Initial Access tactic. Its four sub-techniques are 
</t>
    </r>
    <r>
      <rPr>
        <b/>
        <sz val="11"/>
        <color theme="1"/>
        <rFont val="Calibri"/>
        <family val="2"/>
        <scheme val="minor"/>
      </rPr>
      <t>T1566.001</t>
    </r>
    <r>
      <rPr>
        <sz val="11"/>
        <color theme="1"/>
        <rFont val="Calibri"/>
        <family val="2"/>
        <scheme val="minor"/>
      </rPr>
      <t xml:space="preserve"> Spearphishing Attachment, 
</t>
    </r>
    <r>
      <rPr>
        <b/>
        <sz val="11"/>
        <color theme="1"/>
        <rFont val="Calibri"/>
        <family val="2"/>
        <scheme val="minor"/>
      </rPr>
      <t>T1566.002</t>
    </r>
    <r>
      <rPr>
        <sz val="11"/>
        <color theme="1"/>
        <rFont val="Calibri"/>
        <family val="2"/>
        <scheme val="minor"/>
      </rPr>
      <t xml:space="preserve"> Spearphishing Link, 
</t>
    </r>
    <r>
      <rPr>
        <b/>
        <sz val="11"/>
        <color theme="1"/>
        <rFont val="Calibri"/>
        <family val="2"/>
        <scheme val="minor"/>
      </rPr>
      <t>T1566.003</t>
    </r>
    <r>
      <rPr>
        <sz val="11"/>
        <color theme="1"/>
        <rFont val="Calibri"/>
        <family val="2"/>
        <scheme val="minor"/>
      </rPr>
      <t xml:space="preserve"> Spearphishing via Service and 
</t>
    </r>
    <r>
      <rPr>
        <b/>
        <sz val="11"/>
        <color theme="1"/>
        <rFont val="Calibri"/>
        <family val="2"/>
        <scheme val="minor"/>
      </rPr>
      <t>T1566.004</t>
    </r>
    <r>
      <rPr>
        <sz val="11"/>
        <color theme="1"/>
        <rFont val="Calibri"/>
        <family val="2"/>
        <scheme val="minor"/>
      </rPr>
      <t xml:space="preserve"> Spearphishing Voice.</t>
    </r>
  </si>
  <si>
    <r>
      <t xml:space="preserve">ATT&amp;CK lists six mitigations for Phishing: 
</t>
    </r>
    <r>
      <rPr>
        <b/>
        <sz val="11"/>
        <color theme="1"/>
        <rFont val="Calibri"/>
        <family val="2"/>
        <scheme val="minor"/>
      </rPr>
      <t>M1031</t>
    </r>
    <r>
      <rPr>
        <sz val="11"/>
        <color theme="1"/>
        <rFont val="Calibri"/>
        <family val="2"/>
        <scheme val="minor"/>
      </rPr>
      <t xml:space="preserve"> Network Intrusion Prevention (systems that scan and remove malicious attachments or links), 
</t>
    </r>
    <r>
      <rPr>
        <b/>
        <sz val="11"/>
        <color theme="1"/>
        <rFont val="Calibri"/>
        <family val="2"/>
        <scheme val="minor"/>
      </rPr>
      <t>M1021</t>
    </r>
    <r>
      <rPr>
        <sz val="11"/>
        <color theme="1"/>
        <rFont val="Calibri"/>
        <family val="2"/>
        <scheme val="minor"/>
      </rPr>
      <t xml:space="preserve"> Restrict Web-Based Content (block risky attachment types such as .scr, .exe, .pif, .cpl), 
</t>
    </r>
    <r>
      <rPr>
        <b/>
        <sz val="11"/>
        <color theme="1"/>
        <rFont val="Calibri"/>
        <family val="2"/>
        <scheme val="minor"/>
      </rPr>
      <t>M1017</t>
    </r>
    <r>
      <rPr>
        <sz val="11"/>
        <color theme="1"/>
        <rFont val="Calibri"/>
        <family val="2"/>
        <scheme val="minor"/>
      </rPr>
      <t xml:space="preserve"> User Training (train users to recognise social engineering and phishing), 
</t>
    </r>
    <r>
      <rPr>
        <b/>
        <sz val="11"/>
        <color theme="1"/>
        <rFont val="Calibri"/>
        <family val="2"/>
        <scheme val="minor"/>
      </rPr>
      <t>M1049</t>
    </r>
    <r>
      <rPr>
        <sz val="11"/>
        <color theme="1"/>
        <rFont val="Calibri"/>
        <family val="2"/>
        <scheme val="minor"/>
      </rPr>
      <t xml:space="preserve"> Antivirus/Antimalware (automatic quarantine of suspicious files), 
</t>
    </r>
    <r>
      <rPr>
        <b/>
        <sz val="11"/>
        <color theme="1"/>
        <rFont val="Calibri"/>
        <family val="2"/>
        <scheme val="minor"/>
      </rPr>
      <t>M1054</t>
    </r>
    <r>
      <rPr>
        <sz val="11"/>
        <color theme="1"/>
        <rFont val="Calibri"/>
        <family val="2"/>
        <scheme val="minor"/>
      </rPr>
      <t xml:space="preserve"> Software Configuration (anti-spoofing and email authentication: SPF, DKIM, DMARC) and 
</t>
    </r>
    <r>
      <rPr>
        <b/>
        <sz val="11"/>
        <color theme="1"/>
        <rFont val="Calibri"/>
        <family val="2"/>
        <scheme val="minor"/>
      </rPr>
      <t>M1047</t>
    </r>
    <r>
      <rPr>
        <sz val="11"/>
        <color theme="1"/>
        <rFont val="Calibri"/>
        <family val="2"/>
        <scheme val="minor"/>
      </rPr>
      <t xml:space="preserve"> Audit (audits/scans of systems, permissions and configurations).</t>
    </r>
  </si>
  <si>
    <t>que tan correctas son las respuestas
2 = correcta y completa (o se abstuvo cuando debía);
1 = a medias;
0 = incorrecta o inventada.
el máximo es 2</t>
  </si>
  <si>
    <t>Mide si las citas [n] sostienen lo que el sistema afirma.</t>
  </si>
  <si>
    <t>Sin error</t>
  </si>
  <si>
    <t>Inventó cuando no había respuesta</t>
  </si>
  <si>
    <t>La búsqueda no trajo el fragmento correcto</t>
  </si>
  <si>
    <t>El modelo respondió mal</t>
  </si>
  <si>
    <t>Respondió bien, pero con citas incorrectas</t>
  </si>
  <si>
    <t>recall@5</t>
  </si>
  <si>
    <t>Verificar mas categorias todos, parcial, ninguna</t>
  </si>
  <si>
    <t>Sí: S0002 Mimikatz aparece en la lista de software usado por APT29 (y G0016 APT29 aparece en la lista 'Used by' de Mimikatz). Entre las técnicas de Mimikatz relacionadas con tickets Kerberos están 
T1550.003 Pass the Ticket, 
T1558.001 Golden Ticket y 
T1558.002 Silver Ticket.</t>
  </si>
  <si>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</sst>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b/>
      <sz val="11"/>
      <name val="Calibri"/>
    </font>
    <font>
      <b/>
      <sz val="11"/>
      <color rgb="FF00B050"/>
      <name val="Calibri"/>
      <family val="2"/>
      <scheme val="minor"/>
    </font>
    <font>
      <b/>
      <sz val="11"/>
      <color rgb="FFFFC000"/>
      <name val="Calibri"/>
      <family val="2"/>
      <scheme val="minor"/>
    </font>
    <font>
      <b/>
      <sz val="11"/>
      <color rgb="FFFF0000"/>
      <name val="Calibri"/>
      <family val="2"/>
      <scheme val="minor"/>
    </font>
    <font>
      <b/>
      <sz val="11"/>
      <color theme="1"/>
      <name val="Calibri"/>
      <family val="2"/>
      <scheme val="minor"/>
    </font>
    <font>
      <b/>
      <sz val="11"/>
      <color rgb="FFFFFFFF"/>
      <name val="Calibri"/>
      <family val="2"/>
    </font>
    <font>
      <u/>
      <sz val="11"/>
      <color theme="10"/>
      <name val="Calibri"/>
      <family val="2"/>
      <scheme val="minor"/>
    </font>
    <font>
      <b/>
      <u/>
      <sz val="11"/>
      <color theme="0"/>
      <name val="Calibri"/>
      <family val="2"/>
      <scheme val="minor"/>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FFF2CC"/>
      </patternFill>
    </fill>
    <fill>
      <patternFill patternType="solid">
        <fgColor theme="3" tint="0.79998168889431442"/>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52">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0" fillId="3" borderId="0" xfId="0" applyFill="1"/>
    <xf numFmtId="0" fontId="2" fillId="0" borderId="0" xfId="0" applyFont="1"/>
    <xf numFmtId="0" fontId="0" fillId="0" borderId="1" xfId="0" applyBorder="1"/>
    <xf numFmtId="0" fontId="0" fillId="0" borderId="2" xfId="0" applyBorder="1"/>
    <xf numFmtId="0" fontId="0" fillId="0" borderId="2" xfId="0" applyBorder="1" applyAlignment="1">
      <alignment vertical="top" wrapText="1"/>
    </xf>
    <xf numFmtId="0" fontId="0" fillId="0" borderId="3" xfId="0" applyBorder="1" applyAlignment="1">
      <alignment vertical="top" wrapText="1"/>
    </xf>
    <xf numFmtId="0" fontId="0" fillId="0" borderId="4" xfId="0" applyBorder="1"/>
    <xf numFmtId="0" fontId="0" fillId="0" borderId="5" xfId="0" applyBorder="1"/>
    <xf numFmtId="0" fontId="0" fillId="0" borderId="5" xfId="0" applyBorder="1" applyAlignment="1">
      <alignment vertical="top" wrapText="1"/>
    </xf>
    <xf numFmtId="0" fontId="0" fillId="0" borderId="6" xfId="0" applyBorder="1" applyAlignment="1">
      <alignment vertical="top"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wrapText="1"/>
    </xf>
    <xf numFmtId="0" fontId="0" fillId="0" borderId="8" xfId="0" applyBorder="1" applyAlignment="1">
      <alignment vertical="top" wrapText="1"/>
    </xf>
    <xf numFmtId="0" fontId="2" fillId="0" borderId="0" xfId="0" applyFont="1" applyAlignment="1">
      <alignment vertical="top"/>
    </xf>
    <xf numFmtId="0" fontId="0" fillId="5" borderId="3" xfId="0" applyFill="1" applyBorder="1" applyAlignment="1">
      <alignment vertical="top" wrapText="1"/>
    </xf>
    <xf numFmtId="0" fontId="0" fillId="5" borderId="8" xfId="0" applyFill="1" applyBorder="1" applyAlignment="1">
      <alignment vertical="top" wrapText="1"/>
    </xf>
    <xf numFmtId="0" fontId="2" fillId="5" borderId="9" xfId="0" applyFont="1" applyFill="1" applyBorder="1" applyAlignment="1">
      <alignment vertical="top" wrapText="1"/>
    </xf>
    <xf numFmtId="0" fontId="2" fillId="5" borderId="10" xfId="0" applyFont="1" applyFill="1" applyBorder="1" applyAlignment="1">
      <alignment vertical="top" wrapText="1"/>
    </xf>
    <xf numFmtId="0" fontId="2" fillId="0" borderId="7" xfId="0" applyFont="1" applyBorder="1" applyAlignment="1">
      <alignment vertical="top" wrapText="1"/>
    </xf>
    <xf numFmtId="0" fontId="0" fillId="0" borderId="11" xfId="0" applyBorder="1" applyAlignment="1">
      <alignment vertical="top" wrapText="1"/>
    </xf>
    <xf numFmtId="0" fontId="0" fillId="3" borderId="5" xfId="0" applyFill="1" applyBorder="1" applyAlignment="1">
      <alignment horizontal="center" vertical="center" wrapText="1"/>
    </xf>
    <xf numFmtId="0" fontId="0" fillId="0" borderId="2" xfId="0" applyBorder="1" applyAlignment="1">
      <alignment vertical="center" wrapText="1"/>
    </xf>
    <xf numFmtId="0" fontId="0" fillId="0" borderId="5" xfId="0" applyBorder="1" applyAlignment="1">
      <alignment vertical="center" wrapText="1"/>
    </xf>
    <xf numFmtId="0" fontId="0" fillId="4" borderId="5"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6" xfId="0" applyFill="1" applyBorder="1" applyAlignment="1">
      <alignment horizontal="center" vertical="center" wrapText="1"/>
    </xf>
    <xf numFmtId="0" fontId="0" fillId="3" borderId="15" xfId="0" applyFill="1" applyBorder="1" applyAlignment="1">
      <alignment horizontal="center" vertical="center" wrapText="1"/>
    </xf>
    <xf numFmtId="0" fontId="0" fillId="4" borderId="16" xfId="0" applyFill="1" applyBorder="1" applyAlignment="1">
      <alignment horizontal="center" vertical="center" wrapText="1"/>
    </xf>
    <xf numFmtId="0" fontId="0" fillId="3" borderId="17"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8" xfId="0" applyFill="1" applyBorder="1" applyAlignment="1">
      <alignment horizontal="center" vertical="center" wrapText="1"/>
    </xf>
    <xf numFmtId="0" fontId="0" fillId="3" borderId="18" xfId="0" applyFill="1" applyBorder="1" applyAlignment="1">
      <alignment horizontal="center" vertical="center" wrapText="1"/>
    </xf>
    <xf numFmtId="0" fontId="7" fillId="2" borderId="0" xfId="0" applyFont="1" applyFill="1" applyAlignment="1">
      <alignment vertical="center" wrapText="1"/>
    </xf>
    <xf numFmtId="2" fontId="9" fillId="2" borderId="0" xfId="1" applyNumberFormat="1" applyFont="1" applyFill="1" applyAlignment="1">
      <alignment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75082B-284F-4DB8-87F9-3B9A80E74188}" name="Tabla6" displayName="Tabla6" ref="A1:C5" totalsRowShown="0">
  <autoFilter ref="A1:C5" xr:uid="{F675082B-284F-4DB8-87F9-3B9A80E74188}"/>
  <tableColumns count="3">
    <tableColumn id="1" xr3:uid="{7DDCCAF6-3859-4E90-8CD2-FF862B690366}" name="Modelo "/>
    <tableColumn id="2" xr3:uid="{88A18DB2-7593-42B6-B4CA-BE335EB60BAD}" name="Toggle"/>
    <tableColumn id="3" xr3:uid="{2B2FA513-B783-47C3-8D05-7AD9C1769152}" name="Detal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recall@5"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topLeftCell="A3" zoomScale="145" zoomScaleNormal="145" workbookViewId="0">
      <selection activeCell="C5" sqref="C5"/>
    </sheetView>
  </sheetViews>
  <sheetFormatPr baseColWidth="10" defaultColWidth="9.140625" defaultRowHeight="15" x14ac:dyDescent="0.25"/>
  <cols>
    <col min="1" max="1" width="16.140625" customWidth="1"/>
    <col min="2" max="2" width="104.28515625" customWidth="1"/>
  </cols>
  <sheetData>
    <row r="1" spans="1:3" ht="75.75" thickBot="1" x14ac:dyDescent="0.3">
      <c r="A1" s="22" t="s">
        <v>564</v>
      </c>
      <c r="B1" s="20" t="s">
        <v>597</v>
      </c>
    </row>
    <row r="2" spans="1:3" ht="45.75" thickBot="1" x14ac:dyDescent="0.3">
      <c r="A2" s="24" t="s">
        <v>565</v>
      </c>
      <c r="B2" s="25" t="s">
        <v>598</v>
      </c>
    </row>
    <row r="3" spans="1:3" ht="45.75" thickBot="1" x14ac:dyDescent="0.3">
      <c r="A3" s="23" t="s">
        <v>566</v>
      </c>
      <c r="B3" s="21" t="s">
        <v>593</v>
      </c>
    </row>
    <row r="4" spans="1:3" ht="45.75" thickBot="1" x14ac:dyDescent="0.3">
      <c r="A4" s="24" t="s">
        <v>567</v>
      </c>
      <c r="B4" s="25" t="s">
        <v>594</v>
      </c>
      <c r="C4" t="s">
        <v>618</v>
      </c>
    </row>
    <row r="5" spans="1:3" ht="120.75" thickBot="1" x14ac:dyDescent="0.3">
      <c r="A5" s="23" t="s">
        <v>568</v>
      </c>
      <c r="B5" s="21" t="s">
        <v>595</v>
      </c>
    </row>
    <row r="6" spans="1:3" ht="60.75" thickBot="1" x14ac:dyDescent="0.3">
      <c r="A6" s="24" t="s">
        <v>569</v>
      </c>
      <c r="B6" s="25" t="s">
        <v>596</v>
      </c>
    </row>
    <row r="7" spans="1:3" ht="154.5" customHeight="1" thickBot="1" x14ac:dyDescent="0.3">
      <c r="A7" s="23" t="s">
        <v>13</v>
      </c>
      <c r="B7" s="21" t="s">
        <v>606</v>
      </c>
    </row>
    <row r="8" spans="1:3" ht="60.75" thickBot="1" x14ac:dyDescent="0.3">
      <c r="A8" s="24" t="s">
        <v>570</v>
      </c>
      <c r="B8" s="25" t="s">
        <v>592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27"/>
  <sheetViews>
    <sheetView tabSelected="1" zoomScale="130" zoomScaleNormal="130" workbookViewId="0">
      <pane xSplit="2" ySplit="1" topLeftCell="H18" activePane="bottomRight" state="frozen"/>
      <selection pane="topRight"/>
      <selection pane="bottomLeft"/>
      <selection pane="bottomRight" activeCell="O18" sqref="O18"/>
    </sheetView>
  </sheetViews>
  <sheetFormatPr baseColWidth="10" defaultColWidth="9.140625" defaultRowHeight="15" x14ac:dyDescent="0.25"/>
  <cols>
    <col min="1" max="2" width="6" customWidth="1"/>
    <col min="3" max="3" width="7" customWidth="1"/>
    <col min="4" max="4" width="10.140625" customWidth="1"/>
    <col min="5" max="5" width="38.7109375" customWidth="1"/>
    <col min="6" max="6" width="52.7109375" customWidth="1"/>
    <col min="7" max="7" width="28.5703125" customWidth="1"/>
    <col min="8" max="8" width="74.140625" customWidth="1"/>
    <col min="9" max="9" width="11" customWidth="1"/>
    <col min="10" max="10" width="9" customWidth="1"/>
    <col min="11" max="11" width="25.28515625" customWidth="1"/>
    <col min="12" max="13" width="11" customWidth="1"/>
    <col min="14" max="14" width="16" customWidth="1"/>
    <col min="15" max="15" width="12.5703125" customWidth="1"/>
    <col min="16" max="16" width="40" customWidth="1"/>
    <col min="17" max="17" width="41.7109375" customWidth="1"/>
  </cols>
  <sheetData>
    <row r="1" spans="1:18" ht="45.75" thickBot="1" x14ac:dyDescent="0.3">
      <c r="A1" s="1" t="s">
        <v>0</v>
      </c>
      <c r="B1" s="1" t="s">
        <v>1</v>
      </c>
      <c r="C1" s="1" t="s">
        <v>2</v>
      </c>
      <c r="D1" s="1" t="s">
        <v>3</v>
      </c>
      <c r="E1" s="1" t="s">
        <v>4</v>
      </c>
      <c r="F1" s="1" t="s">
        <v>5</v>
      </c>
      <c r="G1" s="1" t="s">
        <v>6</v>
      </c>
      <c r="H1" s="1" t="s">
        <v>7</v>
      </c>
      <c r="I1" s="40" t="s">
        <v>8</v>
      </c>
      <c r="J1" s="40" t="s">
        <v>9</v>
      </c>
      <c r="K1" s="40" t="s">
        <v>10</v>
      </c>
      <c r="L1" s="1" t="s">
        <v>11</v>
      </c>
      <c r="M1" s="1" t="s">
        <v>12</v>
      </c>
      <c r="N1" s="1" t="s">
        <v>13</v>
      </c>
      <c r="O1" s="1" t="s">
        <v>14</v>
      </c>
      <c r="P1" s="1" t="s">
        <v>15</v>
      </c>
      <c r="Q1" s="1" t="s">
        <v>16</v>
      </c>
      <c r="R1" s="41" t="s">
        <v>617</v>
      </c>
    </row>
    <row r="2" spans="1:18" ht="99.75" hidden="1" customHeight="1" x14ac:dyDescent="0.3">
      <c r="A2" s="44" t="s">
        <v>17</v>
      </c>
      <c r="B2" s="27" t="s">
        <v>18</v>
      </c>
      <c r="C2" s="42" t="s">
        <v>599</v>
      </c>
      <c r="D2" s="50" t="s">
        <v>19</v>
      </c>
      <c r="E2" s="42" t="s">
        <v>20</v>
      </c>
      <c r="F2" s="42" t="s">
        <v>620</v>
      </c>
      <c r="G2" s="42" t="s">
        <v>601</v>
      </c>
      <c r="H2" s="8" t="s">
        <v>22</v>
      </c>
      <c r="I2" s="30" t="s">
        <v>23</v>
      </c>
      <c r="J2" s="30" t="s">
        <v>21</v>
      </c>
      <c r="K2" s="36" t="s">
        <v>24</v>
      </c>
      <c r="L2" s="37">
        <v>0</v>
      </c>
      <c r="M2" s="35" t="s">
        <v>30</v>
      </c>
      <c r="N2" s="37" t="s">
        <v>579</v>
      </c>
      <c r="O2" s="8" t="s">
        <v>604</v>
      </c>
      <c r="P2" s="8" t="s">
        <v>25</v>
      </c>
      <c r="Q2" s="9" t="s">
        <v>26</v>
      </c>
      <c r="R2">
        <v>0</v>
      </c>
    </row>
    <row r="3" spans="1:18" ht="219.95" hidden="1" customHeight="1" thickBot="1" x14ac:dyDescent="0.3">
      <c r="A3" s="45"/>
      <c r="B3" s="28" t="s">
        <v>27</v>
      </c>
      <c r="C3" s="43"/>
      <c r="D3" s="51"/>
      <c r="E3" s="43"/>
      <c r="F3" s="43"/>
      <c r="G3" s="43"/>
      <c r="H3" s="12" t="s">
        <v>28</v>
      </c>
      <c r="I3" s="32" t="s">
        <v>29</v>
      </c>
      <c r="J3" s="31" t="s">
        <v>30</v>
      </c>
      <c r="K3" s="31" t="s">
        <v>30</v>
      </c>
      <c r="L3" s="38">
        <v>1</v>
      </c>
      <c r="M3" s="29" t="s">
        <v>30</v>
      </c>
      <c r="N3" s="38" t="s">
        <v>580</v>
      </c>
      <c r="O3" s="12" t="s">
        <v>605</v>
      </c>
      <c r="P3" s="12" t="s">
        <v>603</v>
      </c>
      <c r="Q3" s="13" t="s">
        <v>30</v>
      </c>
    </row>
    <row r="4" spans="1:18" ht="219.95" hidden="1" customHeight="1" x14ac:dyDescent="0.3">
      <c r="A4" s="44" t="s">
        <v>31</v>
      </c>
      <c r="B4" s="27" t="s">
        <v>18</v>
      </c>
      <c r="C4" s="42" t="s">
        <v>600</v>
      </c>
      <c r="D4" s="50" t="s">
        <v>19</v>
      </c>
      <c r="E4" s="42" t="s">
        <v>32</v>
      </c>
      <c r="F4" s="42" t="s">
        <v>608</v>
      </c>
      <c r="G4" s="42" t="s">
        <v>601</v>
      </c>
      <c r="H4" s="8" t="s">
        <v>33</v>
      </c>
      <c r="I4" s="34" t="s">
        <v>34</v>
      </c>
      <c r="J4" s="34">
        <v>2</v>
      </c>
      <c r="K4" s="33" t="s">
        <v>35</v>
      </c>
      <c r="L4" s="37">
        <v>1</v>
      </c>
      <c r="M4" s="35">
        <v>1</v>
      </c>
      <c r="N4" s="37" t="s">
        <v>579</v>
      </c>
      <c r="O4" s="8"/>
      <c r="P4" s="8" t="s">
        <v>36</v>
      </c>
      <c r="Q4" s="9" t="s">
        <v>37</v>
      </c>
      <c r="R4">
        <v>0.5</v>
      </c>
    </row>
    <row r="5" spans="1:18" ht="219.95" hidden="1" customHeight="1" thickBot="1" x14ac:dyDescent="0.3">
      <c r="A5" s="45"/>
      <c r="B5" s="28" t="s">
        <v>27</v>
      </c>
      <c r="C5" s="43"/>
      <c r="D5" s="51"/>
      <c r="E5" s="43"/>
      <c r="F5" s="43"/>
      <c r="G5" s="43"/>
      <c r="H5" s="12" t="s">
        <v>38</v>
      </c>
      <c r="I5" s="39" t="s">
        <v>29</v>
      </c>
      <c r="J5" s="32" t="s">
        <v>30</v>
      </c>
      <c r="K5" s="26" t="s">
        <v>30</v>
      </c>
      <c r="L5" s="38">
        <v>1</v>
      </c>
      <c r="M5" s="29" t="s">
        <v>30</v>
      </c>
      <c r="N5" s="38" t="s">
        <v>580</v>
      </c>
      <c r="O5" s="12"/>
      <c r="P5" s="12" t="s">
        <v>603</v>
      </c>
      <c r="Q5" s="13" t="s">
        <v>30</v>
      </c>
    </row>
    <row r="6" spans="1:18" ht="123.75" hidden="1" customHeight="1" x14ac:dyDescent="0.3">
      <c r="A6" s="44" t="s">
        <v>39</v>
      </c>
      <c r="B6" s="8" t="s">
        <v>18</v>
      </c>
      <c r="C6" s="42" t="s">
        <v>599</v>
      </c>
      <c r="D6" s="50" t="s">
        <v>19</v>
      </c>
      <c r="E6" s="42" t="s">
        <v>40</v>
      </c>
      <c r="F6" s="42" t="s">
        <v>41</v>
      </c>
      <c r="G6" s="42" t="s">
        <v>601</v>
      </c>
      <c r="H6" s="8" t="s">
        <v>42</v>
      </c>
      <c r="I6" s="34" t="s">
        <v>34</v>
      </c>
      <c r="J6" s="34">
        <v>1</v>
      </c>
      <c r="K6" s="33" t="s">
        <v>43</v>
      </c>
      <c r="L6" s="37">
        <v>2</v>
      </c>
      <c r="M6" s="35">
        <v>2</v>
      </c>
      <c r="N6" s="37" t="s">
        <v>577</v>
      </c>
      <c r="O6" s="8"/>
      <c r="P6" s="8" t="s">
        <v>44</v>
      </c>
      <c r="Q6" s="9" t="s">
        <v>45</v>
      </c>
      <c r="R6">
        <v>1</v>
      </c>
    </row>
    <row r="7" spans="1:18" ht="219.95" hidden="1" customHeight="1" thickBot="1" x14ac:dyDescent="0.3">
      <c r="A7" s="45"/>
      <c r="B7" s="12" t="s">
        <v>27</v>
      </c>
      <c r="C7" s="43"/>
      <c r="D7" s="51"/>
      <c r="E7" s="43"/>
      <c r="F7" s="43"/>
      <c r="G7" s="43"/>
      <c r="H7" s="12" t="s">
        <v>46</v>
      </c>
      <c r="I7" s="39" t="s">
        <v>29</v>
      </c>
      <c r="J7" s="39" t="s">
        <v>30</v>
      </c>
      <c r="K7" s="26" t="s">
        <v>30</v>
      </c>
      <c r="L7" s="38">
        <v>2</v>
      </c>
      <c r="M7" s="29" t="s">
        <v>30</v>
      </c>
      <c r="N7" s="38" t="s">
        <v>577</v>
      </c>
      <c r="O7" s="12"/>
      <c r="P7" s="12" t="s">
        <v>603</v>
      </c>
      <c r="Q7" s="13" t="s">
        <v>30</v>
      </c>
    </row>
    <row r="8" spans="1:18" ht="219.95" hidden="1" customHeight="1" x14ac:dyDescent="0.3">
      <c r="A8" s="44" t="s">
        <v>47</v>
      </c>
      <c r="B8" s="2" t="s">
        <v>18</v>
      </c>
      <c r="C8" s="42" t="s">
        <v>599</v>
      </c>
      <c r="D8" s="46" t="s">
        <v>48</v>
      </c>
      <c r="E8" s="42" t="s">
        <v>49</v>
      </c>
      <c r="F8" s="42" t="s">
        <v>50</v>
      </c>
      <c r="G8" s="42" t="s">
        <v>51</v>
      </c>
      <c r="H8" s="2" t="s">
        <v>52</v>
      </c>
      <c r="I8" s="34" t="s">
        <v>34</v>
      </c>
      <c r="J8" s="34">
        <v>1</v>
      </c>
      <c r="K8" s="33" t="s">
        <v>53</v>
      </c>
      <c r="L8" s="37">
        <v>2</v>
      </c>
      <c r="M8" s="35">
        <v>2</v>
      </c>
      <c r="N8" s="37" t="s">
        <v>577</v>
      </c>
      <c r="O8" s="2"/>
      <c r="P8" s="2" t="s">
        <v>54</v>
      </c>
      <c r="Q8" s="18" t="s">
        <v>55</v>
      </c>
      <c r="R8">
        <v>1</v>
      </c>
    </row>
    <row r="9" spans="1:18" ht="219.95" hidden="1" customHeight="1" thickBot="1" x14ac:dyDescent="0.3">
      <c r="A9" s="45"/>
      <c r="B9" s="12" t="s">
        <v>27</v>
      </c>
      <c r="C9" s="43"/>
      <c r="D9" s="47"/>
      <c r="E9" s="43"/>
      <c r="F9" s="43"/>
      <c r="G9" s="43"/>
      <c r="H9" s="12" t="s">
        <v>56</v>
      </c>
      <c r="I9" s="39" t="s">
        <v>29</v>
      </c>
      <c r="J9" s="39" t="s">
        <v>30</v>
      </c>
      <c r="K9" s="26" t="s">
        <v>30</v>
      </c>
      <c r="L9" s="38">
        <v>1</v>
      </c>
      <c r="M9" s="29" t="s">
        <v>30</v>
      </c>
      <c r="N9" s="38" t="s">
        <v>580</v>
      </c>
      <c r="O9" s="12"/>
      <c r="P9" s="12" t="s">
        <v>603</v>
      </c>
      <c r="Q9" s="13" t="s">
        <v>30</v>
      </c>
    </row>
    <row r="10" spans="1:18" ht="233.25" hidden="1" customHeight="1" x14ac:dyDescent="0.3">
      <c r="A10" s="44" t="s">
        <v>57</v>
      </c>
      <c r="B10" s="8" t="s">
        <v>18</v>
      </c>
      <c r="C10" s="42" t="s">
        <v>599</v>
      </c>
      <c r="D10" s="50" t="s">
        <v>19</v>
      </c>
      <c r="E10" s="42" t="s">
        <v>58</v>
      </c>
      <c r="F10" s="42" t="s">
        <v>619</v>
      </c>
      <c r="G10" s="42" t="s">
        <v>601</v>
      </c>
      <c r="H10" s="8" t="s">
        <v>59</v>
      </c>
      <c r="I10" s="34" t="s">
        <v>23</v>
      </c>
      <c r="J10" s="34" t="s">
        <v>21</v>
      </c>
      <c r="K10" s="33" t="s">
        <v>60</v>
      </c>
      <c r="L10" s="37">
        <v>1</v>
      </c>
      <c r="M10" s="35">
        <v>1</v>
      </c>
      <c r="N10" s="37" t="s">
        <v>579</v>
      </c>
      <c r="O10" s="8"/>
      <c r="P10" s="8" t="s">
        <v>61</v>
      </c>
      <c r="Q10" s="9" t="s">
        <v>62</v>
      </c>
      <c r="R10">
        <v>0</v>
      </c>
    </row>
    <row r="11" spans="1:18" ht="161.25" hidden="1" customHeight="1" thickBot="1" x14ac:dyDescent="0.3">
      <c r="A11" s="45"/>
      <c r="B11" s="12" t="s">
        <v>27</v>
      </c>
      <c r="C11" s="43"/>
      <c r="D11" s="51"/>
      <c r="E11" s="43"/>
      <c r="F11" s="43"/>
      <c r="G11" s="43"/>
      <c r="H11" s="12" t="s">
        <v>63</v>
      </c>
      <c r="I11" s="39" t="s">
        <v>29</v>
      </c>
      <c r="J11" s="39" t="s">
        <v>30</v>
      </c>
      <c r="K11" s="26" t="s">
        <v>30</v>
      </c>
      <c r="L11" s="38">
        <v>0</v>
      </c>
      <c r="M11" s="29" t="s">
        <v>30</v>
      </c>
      <c r="N11" s="38" t="s">
        <v>580</v>
      </c>
      <c r="O11" s="12"/>
      <c r="P11" s="12" t="s">
        <v>603</v>
      </c>
      <c r="Q11" s="13" t="s">
        <v>30</v>
      </c>
    </row>
    <row r="12" spans="1:18" ht="228.75" hidden="1" customHeight="1" x14ac:dyDescent="0.3">
      <c r="A12" s="44" t="s">
        <v>64</v>
      </c>
      <c r="B12" s="8" t="s">
        <v>18</v>
      </c>
      <c r="C12" s="42" t="s">
        <v>599</v>
      </c>
      <c r="D12" s="46" t="s">
        <v>48</v>
      </c>
      <c r="E12" s="42" t="s">
        <v>65</v>
      </c>
      <c r="F12" s="42" t="s">
        <v>66</v>
      </c>
      <c r="G12" s="42" t="s">
        <v>67</v>
      </c>
      <c r="H12" s="8" t="s">
        <v>68</v>
      </c>
      <c r="I12" s="34" t="s">
        <v>34</v>
      </c>
      <c r="J12" s="34">
        <v>5</v>
      </c>
      <c r="K12" s="33" t="s">
        <v>69</v>
      </c>
      <c r="L12" s="37">
        <v>0</v>
      </c>
      <c r="M12" s="35">
        <v>2</v>
      </c>
      <c r="N12" s="37" t="s">
        <v>580</v>
      </c>
      <c r="O12" s="8"/>
      <c r="P12" s="8" t="s">
        <v>70</v>
      </c>
      <c r="Q12" s="9" t="s">
        <v>71</v>
      </c>
      <c r="R12">
        <v>1</v>
      </c>
    </row>
    <row r="13" spans="1:18" ht="219.95" hidden="1" customHeight="1" thickBot="1" x14ac:dyDescent="0.3">
      <c r="A13" s="45"/>
      <c r="B13" s="12" t="s">
        <v>27</v>
      </c>
      <c r="C13" s="43"/>
      <c r="D13" s="47"/>
      <c r="E13" s="43"/>
      <c r="F13" s="43"/>
      <c r="G13" s="43"/>
      <c r="H13" s="12" t="s">
        <v>72</v>
      </c>
      <c r="I13" s="39" t="s">
        <v>29</v>
      </c>
      <c r="J13" s="39" t="s">
        <v>30</v>
      </c>
      <c r="K13" s="26" t="s">
        <v>30</v>
      </c>
      <c r="L13" s="38">
        <v>0</v>
      </c>
      <c r="M13" s="29" t="s">
        <v>30</v>
      </c>
      <c r="N13" s="38" t="s">
        <v>580</v>
      </c>
      <c r="O13" s="12"/>
      <c r="P13" s="12" t="s">
        <v>603</v>
      </c>
      <c r="Q13" s="13" t="s">
        <v>30</v>
      </c>
    </row>
    <row r="14" spans="1:18" ht="154.5" hidden="1" customHeight="1" x14ac:dyDescent="0.3">
      <c r="A14" s="44" t="s">
        <v>73</v>
      </c>
      <c r="B14" s="8" t="s">
        <v>18</v>
      </c>
      <c r="C14" s="42" t="s">
        <v>600</v>
      </c>
      <c r="D14" s="50" t="s">
        <v>19</v>
      </c>
      <c r="E14" s="42" t="s">
        <v>74</v>
      </c>
      <c r="F14" s="42" t="s">
        <v>75</v>
      </c>
      <c r="G14" s="42" t="s">
        <v>601</v>
      </c>
      <c r="H14" s="8" t="s">
        <v>76</v>
      </c>
      <c r="I14" s="34" t="s">
        <v>34</v>
      </c>
      <c r="J14" s="34">
        <v>1</v>
      </c>
      <c r="K14" s="33" t="s">
        <v>77</v>
      </c>
      <c r="L14" s="37">
        <v>2</v>
      </c>
      <c r="M14" s="35">
        <v>2</v>
      </c>
      <c r="N14" s="37" t="s">
        <v>577</v>
      </c>
      <c r="O14" s="8"/>
      <c r="P14" s="8" t="s">
        <v>78</v>
      </c>
      <c r="Q14" s="9" t="s">
        <v>79</v>
      </c>
      <c r="R14">
        <v>1</v>
      </c>
    </row>
    <row r="15" spans="1:18" ht="219.95" hidden="1" customHeight="1" thickBot="1" x14ac:dyDescent="0.3">
      <c r="A15" s="45"/>
      <c r="B15" s="12" t="s">
        <v>27</v>
      </c>
      <c r="C15" s="43"/>
      <c r="D15" s="51"/>
      <c r="E15" s="43"/>
      <c r="F15" s="43"/>
      <c r="G15" s="43"/>
      <c r="H15" s="12" t="s">
        <v>80</v>
      </c>
      <c r="I15" s="39" t="s">
        <v>29</v>
      </c>
      <c r="J15" s="39" t="s">
        <v>30</v>
      </c>
      <c r="K15" s="26" t="s">
        <v>30</v>
      </c>
      <c r="L15" s="38">
        <v>0</v>
      </c>
      <c r="M15" s="29" t="s">
        <v>30</v>
      </c>
      <c r="N15" s="38" t="s">
        <v>580</v>
      </c>
      <c r="O15" s="12"/>
      <c r="P15" s="12" t="s">
        <v>603</v>
      </c>
      <c r="Q15" s="13" t="s">
        <v>30</v>
      </c>
    </row>
    <row r="16" spans="1:18" ht="167.25" hidden="1" customHeight="1" x14ac:dyDescent="0.3">
      <c r="A16" s="44" t="s">
        <v>81</v>
      </c>
      <c r="B16" s="8" t="s">
        <v>18</v>
      </c>
      <c r="C16" s="42" t="s">
        <v>599</v>
      </c>
      <c r="D16" s="46" t="s">
        <v>48</v>
      </c>
      <c r="E16" s="42" t="s">
        <v>82</v>
      </c>
      <c r="F16" s="42" t="s">
        <v>607</v>
      </c>
      <c r="G16" s="42" t="s">
        <v>83</v>
      </c>
      <c r="H16" s="8" t="s">
        <v>84</v>
      </c>
      <c r="I16" s="34" t="s">
        <v>23</v>
      </c>
      <c r="J16" s="34" t="s">
        <v>21</v>
      </c>
      <c r="K16" s="33" t="s">
        <v>85</v>
      </c>
      <c r="L16" s="37">
        <v>0</v>
      </c>
      <c r="M16" s="35" t="s">
        <v>30</v>
      </c>
      <c r="N16" s="37" t="s">
        <v>579</v>
      </c>
      <c r="O16" s="8"/>
      <c r="P16" s="8" t="s">
        <v>86</v>
      </c>
      <c r="Q16" s="9" t="s">
        <v>87</v>
      </c>
      <c r="R16">
        <v>0</v>
      </c>
    </row>
    <row r="17" spans="1:18" ht="219.95" hidden="1" customHeight="1" thickBot="1" x14ac:dyDescent="0.3">
      <c r="A17" s="45"/>
      <c r="B17" s="12" t="s">
        <v>27</v>
      </c>
      <c r="C17" s="43"/>
      <c r="D17" s="47"/>
      <c r="E17" s="43"/>
      <c r="F17" s="43"/>
      <c r="G17" s="43"/>
      <c r="H17" s="12" t="s">
        <v>88</v>
      </c>
      <c r="I17" s="39" t="s">
        <v>29</v>
      </c>
      <c r="J17" s="39" t="s">
        <v>30</v>
      </c>
      <c r="K17" s="26" t="s">
        <v>30</v>
      </c>
      <c r="L17" s="38">
        <v>0</v>
      </c>
      <c r="M17" s="29" t="s">
        <v>30</v>
      </c>
      <c r="N17" s="38" t="s">
        <v>580</v>
      </c>
      <c r="O17" s="12"/>
      <c r="P17" s="12" t="s">
        <v>603</v>
      </c>
      <c r="Q17" s="13" t="s">
        <v>30</v>
      </c>
    </row>
    <row r="18" spans="1:18" ht="186.75" customHeight="1" x14ac:dyDescent="0.25">
      <c r="A18" s="44" t="s">
        <v>89</v>
      </c>
      <c r="B18" s="8" t="s">
        <v>18</v>
      </c>
      <c r="C18" s="42" t="s">
        <v>600</v>
      </c>
      <c r="D18" s="46" t="s">
        <v>48</v>
      </c>
      <c r="E18" s="42" t="s">
        <v>90</v>
      </c>
      <c r="F18" s="42" t="s">
        <v>609</v>
      </c>
      <c r="G18" s="42" t="s">
        <v>91</v>
      </c>
      <c r="H18" s="8" t="s">
        <v>92</v>
      </c>
      <c r="I18" s="34" t="s">
        <v>34</v>
      </c>
      <c r="J18" s="34">
        <v>5</v>
      </c>
      <c r="K18" s="33" t="s">
        <v>93</v>
      </c>
      <c r="L18" s="37">
        <v>0</v>
      </c>
      <c r="M18" s="35">
        <v>2</v>
      </c>
      <c r="N18" s="37" t="s">
        <v>579</v>
      </c>
      <c r="O18" s="8"/>
      <c r="P18" s="8" t="s">
        <v>94</v>
      </c>
      <c r="Q18" s="9" t="s">
        <v>95</v>
      </c>
      <c r="R18">
        <v>0.5</v>
      </c>
    </row>
    <row r="19" spans="1:18" ht="219.95" hidden="1" customHeight="1" thickBot="1" x14ac:dyDescent="0.3">
      <c r="A19" s="45"/>
      <c r="B19" s="12" t="s">
        <v>27</v>
      </c>
      <c r="C19" s="43"/>
      <c r="D19" s="47"/>
      <c r="E19" s="43"/>
      <c r="F19" s="43"/>
      <c r="G19" s="43"/>
      <c r="H19" s="12" t="s">
        <v>96</v>
      </c>
      <c r="I19" s="39" t="s">
        <v>29</v>
      </c>
      <c r="J19" s="39" t="s">
        <v>30</v>
      </c>
      <c r="K19" s="26" t="s">
        <v>30</v>
      </c>
      <c r="L19" s="38">
        <v>0</v>
      </c>
      <c r="M19" s="29" t="s">
        <v>30</v>
      </c>
      <c r="N19" s="38" t="s">
        <v>580</v>
      </c>
      <c r="O19" s="12"/>
      <c r="P19" s="12" t="s">
        <v>603</v>
      </c>
      <c r="Q19" s="13" t="s">
        <v>30</v>
      </c>
    </row>
    <row r="20" spans="1:18" ht="192.75" hidden="1" customHeight="1" x14ac:dyDescent="0.25">
      <c r="A20" s="44" t="s">
        <v>97</v>
      </c>
      <c r="B20" s="8" t="s">
        <v>18</v>
      </c>
      <c r="C20" s="42" t="s">
        <v>599</v>
      </c>
      <c r="D20" s="48" t="s">
        <v>98</v>
      </c>
      <c r="E20" s="42" t="s">
        <v>99</v>
      </c>
      <c r="F20" s="42" t="s">
        <v>100</v>
      </c>
      <c r="G20" s="42" t="s">
        <v>101</v>
      </c>
      <c r="H20" s="8" t="s">
        <v>102</v>
      </c>
      <c r="I20" s="34" t="s">
        <v>103</v>
      </c>
      <c r="J20" s="34" t="s">
        <v>30</v>
      </c>
      <c r="K20" s="33" t="s">
        <v>104</v>
      </c>
      <c r="L20" s="37">
        <v>2</v>
      </c>
      <c r="M20" s="35" t="s">
        <v>30</v>
      </c>
      <c r="N20" s="37" t="s">
        <v>577</v>
      </c>
      <c r="O20" s="8"/>
      <c r="P20" s="8" t="s">
        <v>21</v>
      </c>
      <c r="Q20" s="9" t="s">
        <v>105</v>
      </c>
    </row>
    <row r="21" spans="1:18" ht="219.95" hidden="1" customHeight="1" thickBot="1" x14ac:dyDescent="0.3">
      <c r="A21" s="45"/>
      <c r="B21" s="12" t="s">
        <v>27</v>
      </c>
      <c r="C21" s="43"/>
      <c r="D21" s="49"/>
      <c r="E21" s="43"/>
      <c r="F21" s="43"/>
      <c r="G21" s="43"/>
      <c r="H21" s="12" t="s">
        <v>106</v>
      </c>
      <c r="I21" s="39" t="s">
        <v>103</v>
      </c>
      <c r="J21" s="39" t="s">
        <v>30</v>
      </c>
      <c r="K21" s="26" t="s">
        <v>30</v>
      </c>
      <c r="L21" s="38">
        <v>0</v>
      </c>
      <c r="M21" s="29" t="s">
        <v>30</v>
      </c>
      <c r="N21" s="38" t="s">
        <v>578</v>
      </c>
      <c r="O21" s="12"/>
      <c r="P21" s="12" t="s">
        <v>603</v>
      </c>
      <c r="Q21" s="13" t="s">
        <v>30</v>
      </c>
    </row>
    <row r="22" spans="1:18" ht="101.25" hidden="1" customHeight="1" x14ac:dyDescent="0.25">
      <c r="A22" s="44" t="s">
        <v>107</v>
      </c>
      <c r="B22" s="8" t="s">
        <v>18</v>
      </c>
      <c r="C22" s="42" t="s">
        <v>600</v>
      </c>
      <c r="D22" s="48" t="s">
        <v>98</v>
      </c>
      <c r="E22" s="42" t="s">
        <v>108</v>
      </c>
      <c r="F22" s="42" t="s">
        <v>109</v>
      </c>
      <c r="G22" s="42" t="s">
        <v>101</v>
      </c>
      <c r="H22" s="8" t="s">
        <v>110</v>
      </c>
      <c r="I22" s="34" t="s">
        <v>103</v>
      </c>
      <c r="J22" s="34" t="s">
        <v>30</v>
      </c>
      <c r="K22" s="33" t="s">
        <v>111</v>
      </c>
      <c r="L22" s="37">
        <v>2</v>
      </c>
      <c r="M22" s="35" t="s">
        <v>30</v>
      </c>
      <c r="N22" s="37" t="s">
        <v>577</v>
      </c>
      <c r="O22" s="8"/>
      <c r="P22" s="8" t="s">
        <v>21</v>
      </c>
      <c r="Q22" s="9" t="s">
        <v>112</v>
      </c>
    </row>
    <row r="23" spans="1:18" ht="248.25" hidden="1" customHeight="1" thickBot="1" x14ac:dyDescent="0.3">
      <c r="A23" s="45"/>
      <c r="B23" s="12" t="s">
        <v>27</v>
      </c>
      <c r="C23" s="43"/>
      <c r="D23" s="49"/>
      <c r="E23" s="43"/>
      <c r="F23" s="43"/>
      <c r="G23" s="43"/>
      <c r="H23" s="12" t="s">
        <v>113</v>
      </c>
      <c r="I23" s="39" t="s">
        <v>103</v>
      </c>
      <c r="J23" s="39" t="s">
        <v>30</v>
      </c>
      <c r="K23" s="26" t="s">
        <v>30</v>
      </c>
      <c r="L23" s="38">
        <v>0</v>
      </c>
      <c r="M23" s="29" t="s">
        <v>30</v>
      </c>
      <c r="N23" s="38" t="s">
        <v>578</v>
      </c>
      <c r="O23" s="12"/>
      <c r="P23" s="12" t="s">
        <v>603</v>
      </c>
      <c r="Q23" s="13" t="s">
        <v>30</v>
      </c>
    </row>
    <row r="24" spans="1:18" ht="137.25" hidden="1" customHeight="1" x14ac:dyDescent="0.25">
      <c r="A24" s="44" t="s">
        <v>114</v>
      </c>
      <c r="B24" s="8" t="s">
        <v>18</v>
      </c>
      <c r="C24" s="42" t="s">
        <v>599</v>
      </c>
      <c r="D24" s="48" t="s">
        <v>98</v>
      </c>
      <c r="E24" s="42" t="s">
        <v>115</v>
      </c>
      <c r="F24" s="42" t="s">
        <v>116</v>
      </c>
      <c r="G24" s="42" t="s">
        <v>101</v>
      </c>
      <c r="H24" s="8" t="s">
        <v>117</v>
      </c>
      <c r="I24" s="34" t="s">
        <v>103</v>
      </c>
      <c r="J24" s="34" t="s">
        <v>30</v>
      </c>
      <c r="K24" s="33" t="s">
        <v>118</v>
      </c>
      <c r="L24" s="37">
        <v>2</v>
      </c>
      <c r="M24" s="35" t="s">
        <v>30</v>
      </c>
      <c r="N24" s="37" t="s">
        <v>577</v>
      </c>
      <c r="O24" s="8"/>
      <c r="P24" s="8" t="s">
        <v>21</v>
      </c>
      <c r="Q24" s="9" t="s">
        <v>119</v>
      </c>
    </row>
    <row r="25" spans="1:18" ht="219.95" hidden="1" customHeight="1" thickBot="1" x14ac:dyDescent="0.3">
      <c r="A25" s="45"/>
      <c r="B25" s="12" t="s">
        <v>27</v>
      </c>
      <c r="C25" s="43"/>
      <c r="D25" s="49"/>
      <c r="E25" s="43"/>
      <c r="F25" s="43"/>
      <c r="G25" s="43"/>
      <c r="H25" s="12" t="s">
        <v>120</v>
      </c>
      <c r="I25" s="39" t="s">
        <v>103</v>
      </c>
      <c r="J25" s="39" t="s">
        <v>30</v>
      </c>
      <c r="K25" s="26" t="s">
        <v>30</v>
      </c>
      <c r="L25" s="38">
        <v>2</v>
      </c>
      <c r="M25" s="29" t="s">
        <v>30</v>
      </c>
      <c r="N25" s="38" t="s">
        <v>577</v>
      </c>
      <c r="O25" s="12"/>
      <c r="P25" s="12" t="s">
        <v>603</v>
      </c>
      <c r="Q25" s="13" t="s">
        <v>30</v>
      </c>
    </row>
    <row r="26" spans="1:18" ht="60" hidden="1" customHeight="1" x14ac:dyDescent="0.25">
      <c r="A26" s="44" t="s">
        <v>121</v>
      </c>
      <c r="B26" s="8" t="s">
        <v>18</v>
      </c>
      <c r="C26" s="42" t="s">
        <v>599</v>
      </c>
      <c r="D26" s="48" t="s">
        <v>98</v>
      </c>
      <c r="E26" s="42" t="s">
        <v>122</v>
      </c>
      <c r="F26" s="42" t="s">
        <v>123</v>
      </c>
      <c r="G26" s="42" t="s">
        <v>101</v>
      </c>
      <c r="H26" s="8" t="s">
        <v>124</v>
      </c>
      <c r="I26" s="34" t="s">
        <v>103</v>
      </c>
      <c r="J26" s="34" t="s">
        <v>30</v>
      </c>
      <c r="K26" s="33" t="s">
        <v>125</v>
      </c>
      <c r="L26" s="37">
        <v>2</v>
      </c>
      <c r="M26" s="35" t="s">
        <v>30</v>
      </c>
      <c r="N26" s="37" t="s">
        <v>577</v>
      </c>
      <c r="O26" s="8"/>
      <c r="P26" s="8" t="s">
        <v>21</v>
      </c>
      <c r="Q26" s="9" t="s">
        <v>126</v>
      </c>
    </row>
    <row r="27" spans="1:18" ht="191.25" hidden="1" customHeight="1" thickBot="1" x14ac:dyDescent="0.3">
      <c r="A27" s="45"/>
      <c r="B27" s="12" t="s">
        <v>27</v>
      </c>
      <c r="C27" s="43"/>
      <c r="D27" s="49"/>
      <c r="E27" s="43"/>
      <c r="F27" s="43"/>
      <c r="G27" s="43"/>
      <c r="H27" s="12" t="s">
        <v>127</v>
      </c>
      <c r="I27" s="39" t="s">
        <v>103</v>
      </c>
      <c r="J27" s="39" t="s">
        <v>30</v>
      </c>
      <c r="K27" s="26" t="s">
        <v>30</v>
      </c>
      <c r="L27" s="38">
        <v>0</v>
      </c>
      <c r="M27" s="29" t="s">
        <v>30</v>
      </c>
      <c r="N27" s="38" t="s">
        <v>578</v>
      </c>
      <c r="O27" s="12"/>
      <c r="P27" s="12" t="s">
        <v>603</v>
      </c>
      <c r="Q27" s="13" t="s">
        <v>30</v>
      </c>
    </row>
  </sheetData>
  <autoFilter ref="A1:R27" xr:uid="{00000000-0001-0000-0000-000000000000}">
    <filterColumn colId="0">
      <filters>
        <filter val="p09"/>
      </filters>
    </filterColumn>
  </autoFilter>
  <mergeCells count="78">
    <mergeCell ref="E26:E27"/>
    <mergeCell ref="D2:D3"/>
    <mergeCell ref="E14:E15"/>
    <mergeCell ref="E16:E17"/>
    <mergeCell ref="E18:E19"/>
    <mergeCell ref="E20:E21"/>
    <mergeCell ref="E22:E23"/>
    <mergeCell ref="E24:E25"/>
    <mergeCell ref="E2:E3"/>
    <mergeCell ref="E4:E5"/>
    <mergeCell ref="E8:E9"/>
    <mergeCell ref="E6:E7"/>
    <mergeCell ref="E10:E11"/>
    <mergeCell ref="E12:E13"/>
    <mergeCell ref="D4:D5"/>
    <mergeCell ref="D6:D7"/>
    <mergeCell ref="F2:F3"/>
    <mergeCell ref="F4:F5"/>
    <mergeCell ref="F6:F7"/>
    <mergeCell ref="F8:F9"/>
    <mergeCell ref="F10:F11"/>
    <mergeCell ref="F12:F13"/>
    <mergeCell ref="F14:F15"/>
    <mergeCell ref="F16:F17"/>
    <mergeCell ref="F18:F19"/>
    <mergeCell ref="F20:F21"/>
    <mergeCell ref="F22:F23"/>
    <mergeCell ref="F24:F25"/>
    <mergeCell ref="F26:F27"/>
    <mergeCell ref="G2:G3"/>
    <mergeCell ref="G4:G5"/>
    <mergeCell ref="G6:G7"/>
    <mergeCell ref="G10:G11"/>
    <mergeCell ref="G14:G15"/>
    <mergeCell ref="G20:G21"/>
    <mergeCell ref="G22:G23"/>
    <mergeCell ref="G24:G25"/>
    <mergeCell ref="G26:G27"/>
    <mergeCell ref="G8:G9"/>
    <mergeCell ref="G12:G13"/>
    <mergeCell ref="G16:G17"/>
    <mergeCell ref="G18:G19"/>
    <mergeCell ref="D10:D11"/>
    <mergeCell ref="D14:D15"/>
    <mergeCell ref="D8:D9"/>
    <mergeCell ref="D12:D13"/>
    <mergeCell ref="D16:D17"/>
    <mergeCell ref="D18:D19"/>
    <mergeCell ref="D20:D21"/>
    <mergeCell ref="D22:D23"/>
    <mergeCell ref="D24:D25"/>
    <mergeCell ref="D26:D27"/>
    <mergeCell ref="A2:A3"/>
    <mergeCell ref="C2:C3"/>
    <mergeCell ref="C4:C5"/>
    <mergeCell ref="A4:A5"/>
    <mergeCell ref="A6:A7"/>
    <mergeCell ref="C6:C7"/>
    <mergeCell ref="A8:A9"/>
    <mergeCell ref="A10:A11"/>
    <mergeCell ref="A12:A13"/>
    <mergeCell ref="A14:A15"/>
    <mergeCell ref="A16:A17"/>
    <mergeCell ref="A18:A19"/>
    <mergeCell ref="A20:A21"/>
    <mergeCell ref="A22:A23"/>
    <mergeCell ref="A24:A25"/>
    <mergeCell ref="A26:A27"/>
    <mergeCell ref="C8:C9"/>
    <mergeCell ref="C10:C11"/>
    <mergeCell ref="C12:C13"/>
    <mergeCell ref="C16:C17"/>
    <mergeCell ref="C20:C21"/>
    <mergeCell ref="C24:C25"/>
    <mergeCell ref="C26:C27"/>
    <mergeCell ref="C22:C23"/>
    <mergeCell ref="C18:C19"/>
    <mergeCell ref="C14:C15"/>
  </mergeCells>
  <dataValidations count="2">
    <dataValidation type="list" allowBlank="1" sqref="L2:M27" xr:uid="{00000000-0002-0000-0000-000000000000}">
      <formula1>"0,1,2,N/A"</formula1>
    </dataValidation>
    <dataValidation type="list" allowBlank="1" sqref="N2:N27" xr:uid="{00000000-0002-0000-0000-000001000000}">
      <formula1>"OK,E0-corpus,E1-recuperacion,E2-generacion,E3-citas"</formula1>
    </dataValidation>
  </dataValidations>
  <hyperlinks>
    <hyperlink ref="R1" r:id="rId1" xr:uid="{1BD482D6-2FFF-4EBA-8B9C-BB034DE29DE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zoomScale="160" zoomScaleNormal="160" workbookViewId="0">
      <selection activeCell="B10" sqref="B10"/>
    </sheetView>
  </sheetViews>
  <sheetFormatPr baseColWidth="10" defaultColWidth="9.140625" defaultRowHeight="15" x14ac:dyDescent="0.25"/>
  <cols>
    <col min="1" max="1" width="38" customWidth="1"/>
    <col min="2" max="3" width="14" customWidth="1"/>
    <col min="4" max="4" width="4.5703125" customWidth="1"/>
    <col min="5" max="5" width="34" customWidth="1"/>
  </cols>
  <sheetData>
    <row r="1" spans="1:5" x14ac:dyDescent="0.25">
      <c r="A1" s="5" t="s">
        <v>571</v>
      </c>
      <c r="B1" s="5" t="s">
        <v>18</v>
      </c>
      <c r="C1" s="5" t="s">
        <v>27</v>
      </c>
    </row>
    <row r="2" spans="1:5" x14ac:dyDescent="0.25">
      <c r="A2" t="s">
        <v>572</v>
      </c>
      <c r="B2">
        <f>COUNTIFS(Calificacion!B2:B27,"RAG",Calificacion!L2:L27,"&lt;&gt;")</f>
        <v>13</v>
      </c>
      <c r="C2">
        <f>COUNTIFS(Calificacion!B2:B27,"LLM",Calificacion!L2:L27,"&lt;&gt;")</f>
        <v>13</v>
      </c>
    </row>
    <row r="3" spans="1:5" ht="90" x14ac:dyDescent="0.25">
      <c r="A3" s="14" t="s">
        <v>573</v>
      </c>
      <c r="B3" s="14">
        <f>IFERROR(AVERAGEIFS(Calificacion!L2:L27,Calificacion!B2:B27,"RAG"),"")</f>
        <v>1.2307692307692308</v>
      </c>
      <c r="C3" s="14">
        <f>IFERROR(AVERAGEIFS(Calificacion!L2:L27,Calificacion!B2:B27,"LLM"),"")</f>
        <v>0.53846153846153844</v>
      </c>
      <c r="E3" s="17" t="s">
        <v>610</v>
      </c>
    </row>
    <row r="4" spans="1:5" ht="30" x14ac:dyDescent="0.25">
      <c r="A4" t="s">
        <v>574</v>
      </c>
      <c r="B4">
        <f>IFERROR(AVERAGEIFS(Calificacion!M2:M27,Calificacion!B2:B27,"RAG"),"")</f>
        <v>1.7142857142857142</v>
      </c>
      <c r="C4" t="s">
        <v>30</v>
      </c>
      <c r="E4" s="17" t="s">
        <v>611</v>
      </c>
    </row>
    <row r="5" spans="1:5" ht="30" x14ac:dyDescent="0.25">
      <c r="A5" s="17" t="s">
        <v>575</v>
      </c>
      <c r="B5" t="str">
        <f>COUNTIFS(Calificacion!B2:B27,"RAG",Calificacion!I2:I27,"SI")&amp;" / "&amp;COUNTIFS(Calificacion!B2:B27,"RAG",Calificacion!D2:D27,"&lt;&gt;nula")</f>
        <v>6 / 9</v>
      </c>
      <c r="C5" t="s">
        <v>30</v>
      </c>
    </row>
    <row r="7" spans="1:5" x14ac:dyDescent="0.25">
      <c r="A7" s="5" t="s">
        <v>576</v>
      </c>
      <c r="B7" s="5" t="s">
        <v>18</v>
      </c>
      <c r="C7" s="5" t="s">
        <v>27</v>
      </c>
    </row>
    <row r="8" spans="1:5" x14ac:dyDescent="0.25">
      <c r="A8" t="s">
        <v>577</v>
      </c>
      <c r="B8">
        <f>COUNTIFS(Calificacion!B2:B27,"RAG",Calificacion!N2:N27,"OK")</f>
        <v>7</v>
      </c>
      <c r="C8">
        <f>COUNTIFS(Calificacion!B2:B27,"LLM",Calificacion!N2:N27,"OK")</f>
        <v>2</v>
      </c>
      <c r="E8" t="s">
        <v>612</v>
      </c>
    </row>
    <row r="9" spans="1:5" x14ac:dyDescent="0.25">
      <c r="A9" t="s">
        <v>578</v>
      </c>
      <c r="B9">
        <f>COUNTIFS(Calificacion!B2:B27,"RAG",Calificacion!N2:N27,"E0-corpus")</f>
        <v>0</v>
      </c>
      <c r="C9">
        <f>COUNTIFS(Calificacion!B2:B27,"LLM",Calificacion!N2:N27,"E0-corpus")</f>
        <v>3</v>
      </c>
      <c r="E9" t="s">
        <v>613</v>
      </c>
    </row>
    <row r="10" spans="1:5" x14ac:dyDescent="0.25">
      <c r="A10" t="s">
        <v>579</v>
      </c>
      <c r="B10">
        <f>COUNTIFS(Calificacion!B2:B27,"RAG",Calificacion!N2:N27,"E1-recuperacion")</f>
        <v>5</v>
      </c>
      <c r="C10">
        <f>COUNTIFS(Calificacion!B2:B27,"LLM",Calificacion!N2:N27,"E1-recuperacion")</f>
        <v>0</v>
      </c>
      <c r="E10" t="s">
        <v>614</v>
      </c>
    </row>
    <row r="11" spans="1:5" x14ac:dyDescent="0.25">
      <c r="A11" t="s">
        <v>580</v>
      </c>
      <c r="B11">
        <f>COUNTIFS(Calificacion!B2:B27,"RAG",Calificacion!N2:N27,"E2-generacion")</f>
        <v>1</v>
      </c>
      <c r="C11">
        <f>COUNTIFS(Calificacion!B2:B27,"LLM",Calificacion!N2:N27,"E2-generacion")</f>
        <v>8</v>
      </c>
      <c r="E11" t="s">
        <v>615</v>
      </c>
    </row>
    <row r="12" spans="1:5" x14ac:dyDescent="0.25">
      <c r="A12" t="s">
        <v>581</v>
      </c>
      <c r="B12">
        <f>COUNTIFS(Calificacion!B2:B27,"RAG",Calificacion!N2:N27,"E3-citas")</f>
        <v>0</v>
      </c>
      <c r="C12">
        <f>COUNTIFS(Calificacion!B2:B27,"LLM",Calificacion!N2:N27,"E3-citas")</f>
        <v>0</v>
      </c>
      <c r="E12" t="s">
        <v>616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workbookViewId="0">
      <selection activeCell="B17" sqref="B17"/>
    </sheetView>
  </sheetViews>
  <sheetFormatPr baseColWidth="10" defaultColWidth="9.140625" defaultRowHeight="15" x14ac:dyDescent="0.25"/>
  <cols>
    <col min="1" max="1" width="30" customWidth="1"/>
    <col min="2" max="2" width="60.42578125" customWidth="1"/>
  </cols>
  <sheetData>
    <row r="1" spans="1:2" x14ac:dyDescent="0.25">
      <c r="A1" s="5" t="s">
        <v>544</v>
      </c>
    </row>
    <row r="2" spans="1:2" x14ac:dyDescent="0.25">
      <c r="A2" t="s">
        <v>545</v>
      </c>
      <c r="B2" t="s">
        <v>546</v>
      </c>
    </row>
    <row r="3" spans="1:2" x14ac:dyDescent="0.25">
      <c r="A3" t="s">
        <v>547</v>
      </c>
      <c r="B3" t="s">
        <v>548</v>
      </c>
    </row>
    <row r="4" spans="1:2" x14ac:dyDescent="0.25">
      <c r="A4" t="s">
        <v>542</v>
      </c>
      <c r="B4" t="s">
        <v>543</v>
      </c>
    </row>
    <row r="5" spans="1:2" x14ac:dyDescent="0.25">
      <c r="A5" t="s">
        <v>549</v>
      </c>
      <c r="B5">
        <v>384</v>
      </c>
    </row>
    <row r="6" spans="1:2" x14ac:dyDescent="0.25">
      <c r="A6" t="s">
        <v>550</v>
      </c>
    </row>
    <row r="7" spans="1:2" x14ac:dyDescent="0.25">
      <c r="A7" t="s">
        <v>551</v>
      </c>
    </row>
    <row r="8" spans="1:2" x14ac:dyDescent="0.25">
      <c r="A8" t="s">
        <v>552</v>
      </c>
      <c r="B8">
        <v>1200</v>
      </c>
    </row>
    <row r="9" spans="1:2" x14ac:dyDescent="0.25">
      <c r="A9" t="s">
        <v>553</v>
      </c>
      <c r="B9">
        <v>150</v>
      </c>
    </row>
    <row r="10" spans="1:2" x14ac:dyDescent="0.25">
      <c r="A10" t="s">
        <v>554</v>
      </c>
      <c r="B10" t="s">
        <v>555</v>
      </c>
    </row>
    <row r="11" spans="1:2" x14ac:dyDescent="0.25">
      <c r="A11" t="s">
        <v>556</v>
      </c>
      <c r="B11" t="s">
        <v>557</v>
      </c>
    </row>
    <row r="12" spans="1:2" x14ac:dyDescent="0.25">
      <c r="A12" t="s">
        <v>558</v>
      </c>
      <c r="B12">
        <v>2616</v>
      </c>
    </row>
    <row r="13" spans="1:2" x14ac:dyDescent="0.25">
      <c r="A13" t="s">
        <v>559</v>
      </c>
      <c r="B13">
        <v>7241</v>
      </c>
    </row>
    <row r="14" spans="1:2" x14ac:dyDescent="0.25">
      <c r="A14" t="s">
        <v>560</v>
      </c>
      <c r="B14">
        <v>7241</v>
      </c>
    </row>
    <row r="15" spans="1:2" x14ac:dyDescent="0.25">
      <c r="A15" t="s">
        <v>561</v>
      </c>
      <c r="B15">
        <v>1779.6</v>
      </c>
    </row>
    <row r="17" spans="1:2" ht="85.5" customHeight="1" x14ac:dyDescent="0.25">
      <c r="A17" s="19" t="s">
        <v>562</v>
      </c>
      <c r="B17" s="2" t="s">
        <v>563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6A05-72A0-4335-8670-5C01D0769A66}">
  <dimension ref="A1:C5"/>
  <sheetViews>
    <sheetView workbookViewId="0">
      <selection activeCell="C5" sqref="C5"/>
    </sheetView>
  </sheetViews>
  <sheetFormatPr baseColWidth="10" defaultRowHeight="15" x14ac:dyDescent="0.25"/>
  <cols>
    <col min="1" max="1" width="17.28515625" bestFit="1" customWidth="1"/>
    <col min="3" max="3" width="24.42578125" bestFit="1" customWidth="1"/>
  </cols>
  <sheetData>
    <row r="1" spans="1:3" x14ac:dyDescent="0.25">
      <c r="A1" t="s">
        <v>582</v>
      </c>
      <c r="B1" t="s">
        <v>583</v>
      </c>
      <c r="C1" t="s">
        <v>584</v>
      </c>
    </row>
    <row r="2" spans="1:3" x14ac:dyDescent="0.25">
      <c r="A2" t="s">
        <v>513</v>
      </c>
      <c r="B2" t="s">
        <v>586</v>
      </c>
      <c r="C2" t="s">
        <v>588</v>
      </c>
    </row>
    <row r="3" spans="1:3" x14ac:dyDescent="0.25">
      <c r="A3" t="s">
        <v>513</v>
      </c>
      <c r="B3" t="s">
        <v>587</v>
      </c>
      <c r="C3" t="s">
        <v>589</v>
      </c>
    </row>
    <row r="4" spans="1:3" ht="51.75" customHeight="1" x14ac:dyDescent="0.25">
      <c r="A4" s="16" t="s">
        <v>585</v>
      </c>
      <c r="B4" s="16" t="s">
        <v>587</v>
      </c>
      <c r="C4" s="15" t="s">
        <v>590</v>
      </c>
    </row>
    <row r="5" spans="1:3" ht="30" x14ac:dyDescent="0.25">
      <c r="A5" s="14" t="s">
        <v>585</v>
      </c>
      <c r="B5" s="14" t="s">
        <v>586</v>
      </c>
      <c r="C5" s="17" t="s">
        <v>591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7"/>
  <sheetViews>
    <sheetView workbookViewId="0">
      <pane xSplit="2" ySplit="1" topLeftCell="C2" activePane="bottomRight" state="frozen"/>
      <selection pane="topRight"/>
      <selection pane="bottomLeft"/>
      <selection pane="bottomRight" activeCell="G26" sqref="G26"/>
    </sheetView>
  </sheetViews>
  <sheetFormatPr baseColWidth="10" defaultColWidth="9.140625" defaultRowHeight="15" x14ac:dyDescent="0.25"/>
  <cols>
    <col min="1" max="2" width="6" customWidth="1"/>
    <col min="3" max="3" width="18" customWidth="1"/>
    <col min="4" max="5" width="10" customWidth="1"/>
    <col min="6" max="6" width="7.7109375" customWidth="1"/>
    <col min="7" max="7" width="10" customWidth="1"/>
    <col min="8" max="8" width="11" customWidth="1"/>
    <col min="9" max="9" width="10" customWidth="1"/>
    <col min="10" max="10" width="60" customWidth="1"/>
    <col min="11" max="11" width="120" customWidth="1"/>
  </cols>
  <sheetData>
    <row r="1" spans="1:11" ht="30.75" thickBot="1" x14ac:dyDescent="0.3">
      <c r="A1" s="1" t="s">
        <v>0</v>
      </c>
      <c r="B1" s="1" t="s">
        <v>1</v>
      </c>
      <c r="C1" s="1" t="s">
        <v>505</v>
      </c>
      <c r="D1" s="1" t="s">
        <v>506</v>
      </c>
      <c r="E1" s="1" t="s">
        <v>507</v>
      </c>
      <c r="F1" s="1" t="s">
        <v>602</v>
      </c>
      <c r="G1" s="1" t="s">
        <v>508</v>
      </c>
      <c r="H1" s="1" t="s">
        <v>509</v>
      </c>
      <c r="I1" s="1" t="s">
        <v>510</v>
      </c>
      <c r="J1" s="1" t="s">
        <v>511</v>
      </c>
      <c r="K1" s="1" t="s">
        <v>512</v>
      </c>
    </row>
    <row r="2" spans="1:11" ht="120" customHeight="1" x14ac:dyDescent="0.25">
      <c r="A2" s="6" t="s">
        <v>17</v>
      </c>
      <c r="B2" s="7" t="s">
        <v>18</v>
      </c>
      <c r="C2" s="7" t="s">
        <v>513</v>
      </c>
      <c r="D2" s="7">
        <v>1854</v>
      </c>
      <c r="E2" s="7">
        <v>54</v>
      </c>
      <c r="F2" s="7">
        <f>D2+E2</f>
        <v>1908</v>
      </c>
      <c r="G2" s="7">
        <v>662.5</v>
      </c>
      <c r="H2" s="7">
        <v>101607.8</v>
      </c>
      <c r="I2" s="7">
        <v>102270.3</v>
      </c>
      <c r="J2" s="8" t="s">
        <v>514</v>
      </c>
      <c r="K2" s="9" t="s">
        <v>515</v>
      </c>
    </row>
    <row r="3" spans="1:11" ht="54.75" customHeight="1" thickBot="1" x14ac:dyDescent="0.3">
      <c r="A3" s="10" t="s">
        <v>17</v>
      </c>
      <c r="B3" s="11" t="s">
        <v>27</v>
      </c>
      <c r="C3" s="11" t="s">
        <v>513</v>
      </c>
      <c r="D3" s="11">
        <v>162</v>
      </c>
      <c r="E3" s="11">
        <v>1024</v>
      </c>
      <c r="F3" s="11">
        <f>D3+E3</f>
        <v>1186</v>
      </c>
      <c r="G3" s="11">
        <v>0</v>
      </c>
      <c r="H3" s="11">
        <v>144912.4</v>
      </c>
      <c r="I3" s="11">
        <v>144912.4</v>
      </c>
      <c r="J3" s="12" t="s">
        <v>516</v>
      </c>
      <c r="K3" s="13" t="s">
        <v>517</v>
      </c>
    </row>
    <row r="4" spans="1:11" ht="120" customHeight="1" x14ac:dyDescent="0.25">
      <c r="A4" s="6" t="s">
        <v>31</v>
      </c>
      <c r="B4" s="7" t="s">
        <v>18</v>
      </c>
      <c r="C4" s="7" t="s">
        <v>513</v>
      </c>
      <c r="D4" s="7">
        <v>1294</v>
      </c>
      <c r="E4" s="7">
        <v>253</v>
      </c>
      <c r="F4" s="7">
        <f>D4+E4</f>
        <v>1547</v>
      </c>
      <c r="G4" s="7">
        <v>52.4</v>
      </c>
      <c r="H4" s="7">
        <v>91625.4</v>
      </c>
      <c r="I4" s="7">
        <v>91677.8</v>
      </c>
      <c r="J4" s="8" t="s">
        <v>514</v>
      </c>
      <c r="K4" s="9" t="s">
        <v>518</v>
      </c>
    </row>
    <row r="5" spans="1:11" ht="58.5" customHeight="1" thickBot="1" x14ac:dyDescent="0.3">
      <c r="A5" s="10" t="s">
        <v>31</v>
      </c>
      <c r="B5" s="11" t="s">
        <v>27</v>
      </c>
      <c r="C5" s="11" t="s">
        <v>513</v>
      </c>
      <c r="D5" s="11">
        <v>158</v>
      </c>
      <c r="E5" s="11">
        <v>434</v>
      </c>
      <c r="F5" s="11">
        <f>D5+E5</f>
        <v>592</v>
      </c>
      <c r="G5" s="11">
        <v>0</v>
      </c>
      <c r="H5" s="11">
        <v>57944.5</v>
      </c>
      <c r="I5" s="11">
        <v>57944.5</v>
      </c>
      <c r="J5" s="12" t="s">
        <v>516</v>
      </c>
      <c r="K5" s="13" t="s">
        <v>519</v>
      </c>
    </row>
    <row r="6" spans="1:11" ht="120" customHeight="1" x14ac:dyDescent="0.25">
      <c r="A6" s="6" t="s">
        <v>39</v>
      </c>
      <c r="B6" s="7" t="s">
        <v>18</v>
      </c>
      <c r="C6" s="7" t="s">
        <v>513</v>
      </c>
      <c r="D6" s="7">
        <v>1201</v>
      </c>
      <c r="E6" s="7">
        <v>99</v>
      </c>
      <c r="F6" s="7">
        <f t="shared" ref="F6:F27" si="0">D6+E6</f>
        <v>1300</v>
      </c>
      <c r="G6" s="7">
        <v>199.7</v>
      </c>
      <c r="H6" s="7">
        <v>68786.600000000006</v>
      </c>
      <c r="I6" s="7">
        <v>68986.399999999994</v>
      </c>
      <c r="J6" s="8" t="s">
        <v>514</v>
      </c>
      <c r="K6" s="9" t="s">
        <v>520</v>
      </c>
    </row>
    <row r="7" spans="1:11" ht="56.25" customHeight="1" thickBot="1" x14ac:dyDescent="0.3">
      <c r="A7" s="10" t="s">
        <v>39</v>
      </c>
      <c r="B7" s="11" t="s">
        <v>27</v>
      </c>
      <c r="C7" s="11" t="s">
        <v>513</v>
      </c>
      <c r="D7" s="11">
        <v>157</v>
      </c>
      <c r="E7" s="11">
        <v>354</v>
      </c>
      <c r="F7" s="11">
        <f t="shared" si="0"/>
        <v>511</v>
      </c>
      <c r="G7" s="11">
        <v>0</v>
      </c>
      <c r="H7" s="11">
        <v>46220.7</v>
      </c>
      <c r="I7" s="11">
        <v>46220.7</v>
      </c>
      <c r="J7" s="12" t="s">
        <v>516</v>
      </c>
      <c r="K7" s="13" t="s">
        <v>521</v>
      </c>
    </row>
    <row r="8" spans="1:11" ht="120" customHeight="1" x14ac:dyDescent="0.25">
      <c r="A8" s="6" t="s">
        <v>47</v>
      </c>
      <c r="B8" s="7" t="s">
        <v>18</v>
      </c>
      <c r="C8" s="7" t="s">
        <v>513</v>
      </c>
      <c r="D8" s="7">
        <v>1256</v>
      </c>
      <c r="E8" s="7">
        <v>174</v>
      </c>
      <c r="F8" s="7">
        <f t="shared" si="0"/>
        <v>1430</v>
      </c>
      <c r="G8" s="7">
        <v>64.8</v>
      </c>
      <c r="H8" s="7">
        <v>74075.3</v>
      </c>
      <c r="I8" s="7">
        <v>74140.100000000006</v>
      </c>
      <c r="J8" s="8" t="s">
        <v>514</v>
      </c>
      <c r="K8" s="9" t="s">
        <v>522</v>
      </c>
    </row>
    <row r="9" spans="1:11" ht="70.5" customHeight="1" thickBot="1" x14ac:dyDescent="0.3">
      <c r="A9" s="10" t="s">
        <v>47</v>
      </c>
      <c r="B9" s="11" t="s">
        <v>27</v>
      </c>
      <c r="C9" s="11" t="s">
        <v>513</v>
      </c>
      <c r="D9" s="11">
        <v>171</v>
      </c>
      <c r="E9" s="11">
        <v>431</v>
      </c>
      <c r="F9" s="11">
        <f t="shared" si="0"/>
        <v>602</v>
      </c>
      <c r="G9" s="11">
        <v>0</v>
      </c>
      <c r="H9" s="11">
        <v>56364.4</v>
      </c>
      <c r="I9" s="11">
        <v>56364.4</v>
      </c>
      <c r="J9" s="12" t="s">
        <v>516</v>
      </c>
      <c r="K9" s="13" t="s">
        <v>523</v>
      </c>
    </row>
    <row r="10" spans="1:11" ht="120" customHeight="1" x14ac:dyDescent="0.25">
      <c r="A10" s="6" t="s">
        <v>57</v>
      </c>
      <c r="B10" s="7" t="s">
        <v>18</v>
      </c>
      <c r="C10" s="7" t="s">
        <v>513</v>
      </c>
      <c r="D10" s="7">
        <v>1661</v>
      </c>
      <c r="E10" s="7">
        <v>220</v>
      </c>
      <c r="F10" s="7">
        <f t="shared" si="0"/>
        <v>1881</v>
      </c>
      <c r="G10" s="7">
        <v>61.3</v>
      </c>
      <c r="H10" s="7">
        <v>108365.1</v>
      </c>
      <c r="I10" s="7">
        <v>108426.4</v>
      </c>
      <c r="J10" s="8" t="s">
        <v>514</v>
      </c>
      <c r="K10" s="9" t="s">
        <v>524</v>
      </c>
    </row>
    <row r="11" spans="1:11" ht="70.5" customHeight="1" thickBot="1" x14ac:dyDescent="0.3">
      <c r="A11" s="10" t="s">
        <v>57</v>
      </c>
      <c r="B11" s="11" t="s">
        <v>27</v>
      </c>
      <c r="C11" s="11" t="s">
        <v>513</v>
      </c>
      <c r="D11" s="11">
        <v>171</v>
      </c>
      <c r="E11" s="11">
        <v>415</v>
      </c>
      <c r="F11" s="11">
        <f t="shared" si="0"/>
        <v>586</v>
      </c>
      <c r="G11" s="11">
        <v>0</v>
      </c>
      <c r="H11" s="11">
        <v>55533.9</v>
      </c>
      <c r="I11" s="11">
        <v>55533.9</v>
      </c>
      <c r="J11" s="12" t="s">
        <v>516</v>
      </c>
      <c r="K11" s="13" t="s">
        <v>525</v>
      </c>
    </row>
    <row r="12" spans="1:11" ht="120" customHeight="1" x14ac:dyDescent="0.25">
      <c r="A12" s="6" t="s">
        <v>64</v>
      </c>
      <c r="B12" s="7" t="s">
        <v>18</v>
      </c>
      <c r="C12" s="7" t="s">
        <v>513</v>
      </c>
      <c r="D12" s="7">
        <v>1714</v>
      </c>
      <c r="E12" s="7">
        <v>217</v>
      </c>
      <c r="F12" s="7">
        <f t="shared" si="0"/>
        <v>1931</v>
      </c>
      <c r="G12" s="7">
        <v>62.5</v>
      </c>
      <c r="H12" s="7">
        <v>104287.3</v>
      </c>
      <c r="I12" s="7">
        <v>104349.8</v>
      </c>
      <c r="J12" s="8" t="s">
        <v>514</v>
      </c>
      <c r="K12" s="9" t="s">
        <v>526</v>
      </c>
    </row>
    <row r="13" spans="1:11" ht="72" customHeight="1" thickBot="1" x14ac:dyDescent="0.3">
      <c r="A13" s="10" t="s">
        <v>64</v>
      </c>
      <c r="B13" s="11" t="s">
        <v>27</v>
      </c>
      <c r="C13" s="11" t="s">
        <v>513</v>
      </c>
      <c r="D13" s="11">
        <v>177</v>
      </c>
      <c r="E13" s="11">
        <v>282</v>
      </c>
      <c r="F13" s="11">
        <f t="shared" si="0"/>
        <v>459</v>
      </c>
      <c r="G13" s="11">
        <v>0</v>
      </c>
      <c r="H13" s="11">
        <v>37692.199999999997</v>
      </c>
      <c r="I13" s="11">
        <v>37692.199999999997</v>
      </c>
      <c r="J13" s="12" t="s">
        <v>516</v>
      </c>
      <c r="K13" s="13" t="s">
        <v>527</v>
      </c>
    </row>
    <row r="14" spans="1:11" ht="120" customHeight="1" x14ac:dyDescent="0.25">
      <c r="A14" s="6" t="s">
        <v>73</v>
      </c>
      <c r="B14" s="7" t="s">
        <v>18</v>
      </c>
      <c r="C14" s="7" t="s">
        <v>513</v>
      </c>
      <c r="D14" s="7">
        <v>1500</v>
      </c>
      <c r="E14" s="7">
        <v>129</v>
      </c>
      <c r="F14" s="7">
        <f t="shared" si="0"/>
        <v>1629</v>
      </c>
      <c r="G14" s="7">
        <v>56</v>
      </c>
      <c r="H14" s="7">
        <v>125662.1</v>
      </c>
      <c r="I14" s="7">
        <v>125718</v>
      </c>
      <c r="J14" s="8" t="s">
        <v>514</v>
      </c>
      <c r="K14" s="9" t="s">
        <v>528</v>
      </c>
    </row>
    <row r="15" spans="1:11" ht="54.75" customHeight="1" thickBot="1" x14ac:dyDescent="0.3">
      <c r="A15" s="10" t="s">
        <v>73</v>
      </c>
      <c r="B15" s="11" t="s">
        <v>27</v>
      </c>
      <c r="C15" s="11" t="s">
        <v>513</v>
      </c>
      <c r="D15" s="11">
        <v>162</v>
      </c>
      <c r="E15" s="11">
        <v>273</v>
      </c>
      <c r="F15" s="11">
        <f t="shared" si="0"/>
        <v>435</v>
      </c>
      <c r="G15" s="11">
        <v>0</v>
      </c>
      <c r="H15" s="11">
        <v>74733.8</v>
      </c>
      <c r="I15" s="11">
        <v>74733.8</v>
      </c>
      <c r="J15" s="12" t="s">
        <v>516</v>
      </c>
      <c r="K15" s="13" t="s">
        <v>529</v>
      </c>
    </row>
    <row r="16" spans="1:11" ht="120" customHeight="1" x14ac:dyDescent="0.25">
      <c r="A16" s="6" t="s">
        <v>81</v>
      </c>
      <c r="B16" s="7" t="s">
        <v>18</v>
      </c>
      <c r="C16" s="7" t="s">
        <v>513</v>
      </c>
      <c r="D16" s="7">
        <v>1481</v>
      </c>
      <c r="E16" s="7">
        <v>118</v>
      </c>
      <c r="F16" s="7">
        <f t="shared" si="0"/>
        <v>1599</v>
      </c>
      <c r="G16" s="7">
        <v>73.8</v>
      </c>
      <c r="H16" s="7">
        <v>86751.2</v>
      </c>
      <c r="I16" s="7">
        <v>86825</v>
      </c>
      <c r="J16" s="8" t="s">
        <v>514</v>
      </c>
      <c r="K16" s="9" t="s">
        <v>530</v>
      </c>
    </row>
    <row r="17" spans="1:11" ht="71.25" customHeight="1" thickBot="1" x14ac:dyDescent="0.3">
      <c r="A17" s="10" t="s">
        <v>81</v>
      </c>
      <c r="B17" s="11" t="s">
        <v>27</v>
      </c>
      <c r="C17" s="11" t="s">
        <v>513</v>
      </c>
      <c r="D17" s="11">
        <v>174</v>
      </c>
      <c r="E17" s="11">
        <v>423</v>
      </c>
      <c r="F17" s="11">
        <f t="shared" si="0"/>
        <v>597</v>
      </c>
      <c r="G17" s="11">
        <v>0</v>
      </c>
      <c r="H17" s="11">
        <v>60802.1</v>
      </c>
      <c r="I17" s="11">
        <v>60802.1</v>
      </c>
      <c r="J17" s="12" t="s">
        <v>516</v>
      </c>
      <c r="K17" s="13" t="s">
        <v>531</v>
      </c>
    </row>
    <row r="18" spans="1:11" ht="120" customHeight="1" x14ac:dyDescent="0.25">
      <c r="A18" s="6" t="s">
        <v>89</v>
      </c>
      <c r="B18" s="7" t="s">
        <v>18</v>
      </c>
      <c r="C18" s="7" t="s">
        <v>513</v>
      </c>
      <c r="D18" s="7">
        <v>1444</v>
      </c>
      <c r="E18" s="7">
        <v>126</v>
      </c>
      <c r="F18" s="7">
        <f t="shared" si="0"/>
        <v>1570</v>
      </c>
      <c r="G18" s="7">
        <v>55.2</v>
      </c>
      <c r="H18" s="7">
        <v>89873.7</v>
      </c>
      <c r="I18" s="7">
        <v>89928.9</v>
      </c>
      <c r="J18" s="8" t="s">
        <v>514</v>
      </c>
      <c r="K18" s="9" t="s">
        <v>532</v>
      </c>
    </row>
    <row r="19" spans="1:11" ht="71.25" customHeight="1" thickBot="1" x14ac:dyDescent="0.3">
      <c r="A19" s="10" t="s">
        <v>89</v>
      </c>
      <c r="B19" s="11" t="s">
        <v>27</v>
      </c>
      <c r="C19" s="11" t="s">
        <v>513</v>
      </c>
      <c r="D19" s="11">
        <v>160</v>
      </c>
      <c r="E19" s="11">
        <v>543</v>
      </c>
      <c r="F19" s="11">
        <f t="shared" si="0"/>
        <v>703</v>
      </c>
      <c r="G19" s="11">
        <v>0</v>
      </c>
      <c r="H19" s="11">
        <v>96347.1</v>
      </c>
      <c r="I19" s="11">
        <v>96347.1</v>
      </c>
      <c r="J19" s="12" t="s">
        <v>516</v>
      </c>
      <c r="K19" s="13" t="s">
        <v>533</v>
      </c>
    </row>
    <row r="20" spans="1:11" ht="120" customHeight="1" x14ac:dyDescent="0.25">
      <c r="A20" s="6" t="s">
        <v>97</v>
      </c>
      <c r="B20" s="7" t="s">
        <v>18</v>
      </c>
      <c r="C20" s="7" t="s">
        <v>513</v>
      </c>
      <c r="D20" s="7">
        <v>1297</v>
      </c>
      <c r="E20" s="7">
        <v>182</v>
      </c>
      <c r="F20" s="7">
        <f t="shared" si="0"/>
        <v>1479</v>
      </c>
      <c r="G20" s="7">
        <v>86.8</v>
      </c>
      <c r="H20" s="7">
        <v>90372.9</v>
      </c>
      <c r="I20" s="7">
        <v>90459.7</v>
      </c>
      <c r="J20" s="8" t="s">
        <v>514</v>
      </c>
      <c r="K20" s="9" t="s">
        <v>534</v>
      </c>
    </row>
    <row r="21" spans="1:11" ht="55.5" customHeight="1" thickBot="1" x14ac:dyDescent="0.3">
      <c r="A21" s="10" t="s">
        <v>97</v>
      </c>
      <c r="B21" s="11" t="s">
        <v>27</v>
      </c>
      <c r="C21" s="11" t="s">
        <v>513</v>
      </c>
      <c r="D21" s="11">
        <v>157</v>
      </c>
      <c r="E21" s="11">
        <v>626</v>
      </c>
      <c r="F21" s="11">
        <f t="shared" si="0"/>
        <v>783</v>
      </c>
      <c r="G21" s="11">
        <v>0</v>
      </c>
      <c r="H21" s="11">
        <v>95539.5</v>
      </c>
      <c r="I21" s="11">
        <v>95539.5</v>
      </c>
      <c r="J21" s="12" t="s">
        <v>516</v>
      </c>
      <c r="K21" s="13" t="s">
        <v>535</v>
      </c>
    </row>
    <row r="22" spans="1:11" ht="120" customHeight="1" x14ac:dyDescent="0.25">
      <c r="A22" s="6" t="s">
        <v>107</v>
      </c>
      <c r="B22" s="7" t="s">
        <v>18</v>
      </c>
      <c r="C22" s="7" t="s">
        <v>513</v>
      </c>
      <c r="D22" s="7">
        <v>1471</v>
      </c>
      <c r="E22" s="7">
        <v>64</v>
      </c>
      <c r="F22" s="7">
        <f t="shared" si="0"/>
        <v>1535</v>
      </c>
      <c r="G22" s="7">
        <v>131.30000000000001</v>
      </c>
      <c r="H22" s="7">
        <v>79485.5</v>
      </c>
      <c r="I22" s="7">
        <v>79616.899999999994</v>
      </c>
      <c r="J22" s="8" t="s">
        <v>514</v>
      </c>
      <c r="K22" s="9" t="s">
        <v>536</v>
      </c>
    </row>
    <row r="23" spans="1:11" ht="59.25" customHeight="1" thickBot="1" x14ac:dyDescent="0.3">
      <c r="A23" s="10" t="s">
        <v>107</v>
      </c>
      <c r="B23" s="11" t="s">
        <v>27</v>
      </c>
      <c r="C23" s="11" t="s">
        <v>513</v>
      </c>
      <c r="D23" s="11">
        <v>150</v>
      </c>
      <c r="E23" s="11">
        <v>231</v>
      </c>
      <c r="F23" s="11">
        <f t="shared" si="0"/>
        <v>381</v>
      </c>
      <c r="G23" s="11">
        <v>0</v>
      </c>
      <c r="H23" s="11">
        <v>34224.1</v>
      </c>
      <c r="I23" s="11">
        <v>34224.1</v>
      </c>
      <c r="J23" s="12" t="s">
        <v>516</v>
      </c>
      <c r="K23" s="13" t="s">
        <v>537</v>
      </c>
    </row>
    <row r="24" spans="1:11" ht="120" customHeight="1" x14ac:dyDescent="0.25">
      <c r="A24" s="6" t="s">
        <v>114</v>
      </c>
      <c r="B24" s="7" t="s">
        <v>18</v>
      </c>
      <c r="C24" s="7" t="s">
        <v>513</v>
      </c>
      <c r="D24" s="7">
        <v>1430</v>
      </c>
      <c r="E24" s="7">
        <v>137</v>
      </c>
      <c r="F24" s="7">
        <f t="shared" si="0"/>
        <v>1567</v>
      </c>
      <c r="G24" s="7">
        <v>53.5</v>
      </c>
      <c r="H24" s="7">
        <v>83107.100000000006</v>
      </c>
      <c r="I24" s="7">
        <v>83160.600000000006</v>
      </c>
      <c r="J24" s="8" t="s">
        <v>514</v>
      </c>
      <c r="K24" s="9" t="s">
        <v>538</v>
      </c>
    </row>
    <row r="25" spans="1:11" ht="59.25" customHeight="1" thickBot="1" x14ac:dyDescent="0.3">
      <c r="A25" s="10" t="s">
        <v>114</v>
      </c>
      <c r="B25" s="11" t="s">
        <v>27</v>
      </c>
      <c r="C25" s="11" t="s">
        <v>513</v>
      </c>
      <c r="D25" s="11">
        <v>155</v>
      </c>
      <c r="E25" s="11">
        <v>240</v>
      </c>
      <c r="F25" s="11">
        <f t="shared" si="0"/>
        <v>395</v>
      </c>
      <c r="G25" s="11">
        <v>0</v>
      </c>
      <c r="H25" s="11">
        <v>45225.7</v>
      </c>
      <c r="I25" s="11">
        <v>45225.7</v>
      </c>
      <c r="J25" s="12" t="s">
        <v>516</v>
      </c>
      <c r="K25" s="13" t="s">
        <v>539</v>
      </c>
    </row>
    <row r="26" spans="1:11" ht="120" customHeight="1" x14ac:dyDescent="0.25">
      <c r="A26" s="6" t="s">
        <v>121</v>
      </c>
      <c r="B26" s="7" t="s">
        <v>18</v>
      </c>
      <c r="C26" s="7" t="s">
        <v>513</v>
      </c>
      <c r="D26" s="7">
        <v>1619</v>
      </c>
      <c r="E26" s="7">
        <v>52</v>
      </c>
      <c r="F26" s="7">
        <f t="shared" si="0"/>
        <v>1671</v>
      </c>
      <c r="G26" s="7">
        <v>54.9</v>
      </c>
      <c r="H26" s="7">
        <v>112896.2</v>
      </c>
      <c r="I26" s="7">
        <v>112951</v>
      </c>
      <c r="J26" s="8" t="s">
        <v>514</v>
      </c>
      <c r="K26" s="9" t="s">
        <v>540</v>
      </c>
    </row>
    <row r="27" spans="1:11" ht="57.75" customHeight="1" thickBot="1" x14ac:dyDescent="0.3">
      <c r="A27" s="10" t="s">
        <v>121</v>
      </c>
      <c r="B27" s="11" t="s">
        <v>27</v>
      </c>
      <c r="C27" s="11" t="s">
        <v>513</v>
      </c>
      <c r="D27" s="11">
        <v>159</v>
      </c>
      <c r="E27" s="11">
        <v>164</v>
      </c>
      <c r="F27" s="11">
        <f t="shared" si="0"/>
        <v>323</v>
      </c>
      <c r="G27" s="11">
        <v>0</v>
      </c>
      <c r="H27" s="11">
        <v>44539.4</v>
      </c>
      <c r="I27" s="11">
        <v>44539.4</v>
      </c>
      <c r="J27" s="12" t="s">
        <v>516</v>
      </c>
      <c r="K27" s="13" t="s">
        <v>541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66"/>
  <sheetViews>
    <sheetView workbookViewId="0">
      <pane xSplit="2" ySplit="1" topLeftCell="C44" activePane="bottomRight" state="frozen"/>
      <selection pane="topRight"/>
      <selection pane="bottomLeft"/>
      <selection pane="bottomRight" activeCell="K46" sqref="K46"/>
    </sheetView>
  </sheetViews>
  <sheetFormatPr baseColWidth="10" defaultColWidth="9.140625" defaultRowHeight="15" x14ac:dyDescent="0.25"/>
  <cols>
    <col min="1" max="2" width="6" customWidth="1"/>
    <col min="3" max="3" width="8" customWidth="1"/>
    <col min="4" max="4" width="9" customWidth="1"/>
    <col min="5" max="5" width="12" customWidth="1"/>
    <col min="6" max="6" width="28" customWidth="1"/>
    <col min="7" max="7" width="16" customWidth="1"/>
    <col min="8" max="8" width="8" customWidth="1"/>
    <col min="9" max="9" width="9" customWidth="1"/>
    <col min="10" max="10" width="120" customWidth="1"/>
    <col min="11" max="11" width="38" customWidth="1"/>
    <col min="12" max="13" width="44" customWidth="1"/>
  </cols>
  <sheetData>
    <row r="1" spans="1:13" ht="30" x14ac:dyDescent="0.25">
      <c r="A1" s="1" t="s">
        <v>0</v>
      </c>
      <c r="B1" s="1" t="s">
        <v>1</v>
      </c>
      <c r="C1" s="1" t="s">
        <v>128</v>
      </c>
      <c r="D1" s="1" t="s">
        <v>129</v>
      </c>
      <c r="E1" s="1" t="s">
        <v>130</v>
      </c>
      <c r="F1" s="1" t="s">
        <v>131</v>
      </c>
      <c r="G1" s="1" t="s">
        <v>132</v>
      </c>
      <c r="H1" s="1" t="s">
        <v>133</v>
      </c>
      <c r="I1" s="1" t="s">
        <v>134</v>
      </c>
      <c r="J1" s="1" t="s">
        <v>135</v>
      </c>
      <c r="K1" s="1" t="s">
        <v>136</v>
      </c>
      <c r="L1" s="1" t="s">
        <v>137</v>
      </c>
      <c r="M1" s="1" t="s">
        <v>138</v>
      </c>
    </row>
    <row r="2" spans="1:13" ht="225" x14ac:dyDescent="0.25">
      <c r="A2" t="s">
        <v>17</v>
      </c>
      <c r="B2" t="s">
        <v>18</v>
      </c>
      <c r="C2">
        <v>1</v>
      </c>
      <c r="D2">
        <v>1</v>
      </c>
      <c r="E2" t="s">
        <v>139</v>
      </c>
      <c r="F2" t="s">
        <v>140</v>
      </c>
      <c r="G2" t="s">
        <v>141</v>
      </c>
      <c r="H2" t="s">
        <v>142</v>
      </c>
      <c r="J2" s="2" t="s">
        <v>143</v>
      </c>
      <c r="K2" t="s">
        <v>144</v>
      </c>
      <c r="L2" t="s">
        <v>145</v>
      </c>
      <c r="M2" t="s">
        <v>146</v>
      </c>
    </row>
    <row r="3" spans="1:13" ht="315" x14ac:dyDescent="0.25">
      <c r="A3" t="s">
        <v>17</v>
      </c>
      <c r="B3" t="s">
        <v>18</v>
      </c>
      <c r="C3">
        <v>2</v>
      </c>
      <c r="D3">
        <v>0.39219999999999999</v>
      </c>
      <c r="E3" t="s">
        <v>147</v>
      </c>
      <c r="F3" t="s">
        <v>148</v>
      </c>
      <c r="G3" t="s">
        <v>149</v>
      </c>
      <c r="H3" t="s">
        <v>150</v>
      </c>
      <c r="J3" s="2" t="s">
        <v>151</v>
      </c>
      <c r="K3" t="s">
        <v>152</v>
      </c>
      <c r="L3" t="s">
        <v>153</v>
      </c>
      <c r="M3" t="s">
        <v>154</v>
      </c>
    </row>
    <row r="4" spans="1:13" ht="409.5" x14ac:dyDescent="0.25">
      <c r="A4" t="s">
        <v>17</v>
      </c>
      <c r="B4" t="s">
        <v>18</v>
      </c>
      <c r="C4">
        <v>3</v>
      </c>
      <c r="D4">
        <v>0.33329999999999999</v>
      </c>
      <c r="E4" t="s">
        <v>155</v>
      </c>
      <c r="F4" t="s">
        <v>156</v>
      </c>
      <c r="G4" t="s">
        <v>157</v>
      </c>
      <c r="H4" t="s">
        <v>158</v>
      </c>
      <c r="J4" s="2" t="s">
        <v>159</v>
      </c>
      <c r="K4" t="s">
        <v>160</v>
      </c>
      <c r="L4" t="s">
        <v>161</v>
      </c>
      <c r="M4" t="s">
        <v>162</v>
      </c>
    </row>
    <row r="5" spans="1:13" ht="409.5" x14ac:dyDescent="0.25">
      <c r="A5" t="s">
        <v>17</v>
      </c>
      <c r="B5" t="s">
        <v>18</v>
      </c>
      <c r="C5">
        <v>4</v>
      </c>
      <c r="D5">
        <v>0.25559999999999999</v>
      </c>
      <c r="E5" t="s">
        <v>163</v>
      </c>
      <c r="F5" t="s">
        <v>164</v>
      </c>
      <c r="G5" t="s">
        <v>165</v>
      </c>
      <c r="H5" t="s">
        <v>166</v>
      </c>
      <c r="J5" s="2" t="s">
        <v>167</v>
      </c>
      <c r="K5" t="s">
        <v>168</v>
      </c>
      <c r="L5" t="s">
        <v>169</v>
      </c>
      <c r="M5" t="s">
        <v>170</v>
      </c>
    </row>
    <row r="6" spans="1:13" ht="270" x14ac:dyDescent="0.25">
      <c r="A6" t="s">
        <v>17</v>
      </c>
      <c r="B6" t="s">
        <v>18</v>
      </c>
      <c r="C6">
        <v>5</v>
      </c>
      <c r="D6">
        <v>0.25</v>
      </c>
      <c r="E6" t="s">
        <v>171</v>
      </c>
      <c r="F6" t="s">
        <v>172</v>
      </c>
      <c r="G6" t="s">
        <v>149</v>
      </c>
      <c r="H6" t="s">
        <v>150</v>
      </c>
      <c r="J6" s="2" t="s">
        <v>173</v>
      </c>
      <c r="K6" t="s">
        <v>174</v>
      </c>
      <c r="L6" t="s">
        <v>175</v>
      </c>
      <c r="M6" t="s">
        <v>176</v>
      </c>
    </row>
    <row r="7" spans="1:13" ht="375" hidden="1" x14ac:dyDescent="0.25">
      <c r="A7" t="s">
        <v>31</v>
      </c>
      <c r="B7" t="s">
        <v>18</v>
      </c>
      <c r="C7">
        <v>1</v>
      </c>
      <c r="D7">
        <v>0.5</v>
      </c>
      <c r="E7" t="s">
        <v>177</v>
      </c>
      <c r="F7" t="s">
        <v>178</v>
      </c>
      <c r="G7" t="s">
        <v>165</v>
      </c>
      <c r="H7" t="s">
        <v>179</v>
      </c>
      <c r="J7" s="2" t="s">
        <v>180</v>
      </c>
      <c r="K7" t="s">
        <v>181</v>
      </c>
      <c r="L7" t="s">
        <v>182</v>
      </c>
      <c r="M7" t="s">
        <v>183</v>
      </c>
    </row>
    <row r="8" spans="1:13" ht="150" hidden="1" x14ac:dyDescent="0.25">
      <c r="A8" s="4" t="s">
        <v>31</v>
      </c>
      <c r="B8" s="4" t="s">
        <v>18</v>
      </c>
      <c r="C8" s="4">
        <v>2</v>
      </c>
      <c r="D8" s="4">
        <v>0.5</v>
      </c>
      <c r="E8" s="4" t="s">
        <v>184</v>
      </c>
      <c r="F8" s="4" t="s">
        <v>185</v>
      </c>
      <c r="G8" s="4" t="s">
        <v>165</v>
      </c>
      <c r="H8" s="4" t="s">
        <v>186</v>
      </c>
      <c r="I8" s="4" t="s">
        <v>34</v>
      </c>
      <c r="J8" s="3" t="s">
        <v>187</v>
      </c>
      <c r="K8" s="4" t="s">
        <v>188</v>
      </c>
      <c r="L8" s="4" t="s">
        <v>189</v>
      </c>
      <c r="M8" s="4" t="s">
        <v>190</v>
      </c>
    </row>
    <row r="9" spans="1:13" ht="180" hidden="1" x14ac:dyDescent="0.25">
      <c r="A9" t="s">
        <v>31</v>
      </c>
      <c r="B9" t="s">
        <v>18</v>
      </c>
      <c r="C9">
        <v>3</v>
      </c>
      <c r="D9">
        <v>0.36109999999999998</v>
      </c>
      <c r="E9" t="s">
        <v>191</v>
      </c>
      <c r="F9" t="s">
        <v>192</v>
      </c>
      <c r="G9" t="s">
        <v>141</v>
      </c>
      <c r="H9" t="s">
        <v>193</v>
      </c>
      <c r="J9" s="2" t="s">
        <v>194</v>
      </c>
      <c r="K9" t="s">
        <v>195</v>
      </c>
      <c r="L9" t="s">
        <v>196</v>
      </c>
      <c r="M9" t="s">
        <v>197</v>
      </c>
    </row>
    <row r="10" spans="1:13" ht="360" hidden="1" x14ac:dyDescent="0.25">
      <c r="A10" t="s">
        <v>31</v>
      </c>
      <c r="B10" t="s">
        <v>18</v>
      </c>
      <c r="C10">
        <v>4</v>
      </c>
      <c r="D10">
        <v>0.33329999999999999</v>
      </c>
      <c r="E10" t="s">
        <v>198</v>
      </c>
      <c r="F10" t="s">
        <v>199</v>
      </c>
      <c r="G10" t="s">
        <v>200</v>
      </c>
      <c r="H10" t="s">
        <v>150</v>
      </c>
      <c r="J10" s="2" t="s">
        <v>201</v>
      </c>
      <c r="K10" t="s">
        <v>202</v>
      </c>
      <c r="L10" t="s">
        <v>203</v>
      </c>
      <c r="M10" t="s">
        <v>204</v>
      </c>
    </row>
    <row r="11" spans="1:13" ht="210" hidden="1" x14ac:dyDescent="0.25">
      <c r="A11" t="s">
        <v>31</v>
      </c>
      <c r="B11" t="s">
        <v>18</v>
      </c>
      <c r="C11">
        <v>5</v>
      </c>
      <c r="D11">
        <v>0.33329999999999999</v>
      </c>
      <c r="E11" t="s">
        <v>205</v>
      </c>
      <c r="F11" t="s">
        <v>206</v>
      </c>
      <c r="G11" t="s">
        <v>165</v>
      </c>
      <c r="H11" t="s">
        <v>207</v>
      </c>
      <c r="J11" s="2" t="s">
        <v>208</v>
      </c>
      <c r="K11" t="s">
        <v>209</v>
      </c>
      <c r="L11" t="s">
        <v>210</v>
      </c>
      <c r="M11" t="s">
        <v>211</v>
      </c>
    </row>
    <row r="12" spans="1:13" ht="150" hidden="1" x14ac:dyDescent="0.25">
      <c r="A12" s="4" t="s">
        <v>39</v>
      </c>
      <c r="B12" s="4" t="s">
        <v>18</v>
      </c>
      <c r="C12" s="4">
        <v>1</v>
      </c>
      <c r="D12" s="4">
        <v>1</v>
      </c>
      <c r="E12" s="4" t="s">
        <v>212</v>
      </c>
      <c r="F12" s="4" t="s">
        <v>213</v>
      </c>
      <c r="G12" s="4" t="s">
        <v>200</v>
      </c>
      <c r="H12" s="4" t="s">
        <v>214</v>
      </c>
      <c r="I12" s="4" t="s">
        <v>34</v>
      </c>
      <c r="J12" s="3" t="s">
        <v>215</v>
      </c>
      <c r="K12" s="4" t="s">
        <v>44</v>
      </c>
      <c r="L12" s="4" t="s">
        <v>216</v>
      </c>
      <c r="M12" s="4" t="s">
        <v>217</v>
      </c>
    </row>
    <row r="13" spans="1:13" ht="240" hidden="1" x14ac:dyDescent="0.25">
      <c r="A13" t="s">
        <v>39</v>
      </c>
      <c r="B13" t="s">
        <v>18</v>
      </c>
      <c r="C13">
        <v>2</v>
      </c>
      <c r="D13">
        <v>0.33329999999999999</v>
      </c>
      <c r="E13" t="s">
        <v>218</v>
      </c>
      <c r="F13" t="s">
        <v>219</v>
      </c>
      <c r="G13" t="s">
        <v>141</v>
      </c>
      <c r="H13" t="s">
        <v>193</v>
      </c>
      <c r="J13" s="2" t="s">
        <v>220</v>
      </c>
      <c r="K13" t="s">
        <v>221</v>
      </c>
      <c r="L13" t="s">
        <v>222</v>
      </c>
      <c r="M13" t="s">
        <v>223</v>
      </c>
    </row>
    <row r="14" spans="1:13" ht="180" hidden="1" x14ac:dyDescent="0.25">
      <c r="A14" t="s">
        <v>39</v>
      </c>
      <c r="B14" t="s">
        <v>18</v>
      </c>
      <c r="C14">
        <v>3</v>
      </c>
      <c r="D14">
        <v>0.33329999999999999</v>
      </c>
      <c r="E14" t="s">
        <v>224</v>
      </c>
      <c r="F14" t="s">
        <v>225</v>
      </c>
      <c r="G14" t="s">
        <v>165</v>
      </c>
      <c r="H14" t="s">
        <v>226</v>
      </c>
      <c r="J14" s="2" t="s">
        <v>227</v>
      </c>
      <c r="K14" t="s">
        <v>228</v>
      </c>
      <c r="L14" t="s">
        <v>229</v>
      </c>
      <c r="M14" t="s">
        <v>230</v>
      </c>
    </row>
    <row r="15" spans="1:13" ht="165" hidden="1" x14ac:dyDescent="0.25">
      <c r="A15" t="s">
        <v>39</v>
      </c>
      <c r="B15" t="s">
        <v>18</v>
      </c>
      <c r="C15">
        <v>4</v>
      </c>
      <c r="D15">
        <v>0.25</v>
      </c>
      <c r="E15" t="s">
        <v>231</v>
      </c>
      <c r="F15" t="s">
        <v>232</v>
      </c>
      <c r="G15" t="s">
        <v>141</v>
      </c>
      <c r="H15" t="s">
        <v>226</v>
      </c>
      <c r="J15" s="2" t="s">
        <v>233</v>
      </c>
      <c r="K15" t="s">
        <v>234</v>
      </c>
      <c r="L15" t="s">
        <v>235</v>
      </c>
      <c r="M15" t="s">
        <v>236</v>
      </c>
    </row>
    <row r="16" spans="1:13" ht="225" hidden="1" x14ac:dyDescent="0.25">
      <c r="A16" t="s">
        <v>39</v>
      </c>
      <c r="B16" t="s">
        <v>18</v>
      </c>
      <c r="C16">
        <v>5</v>
      </c>
      <c r="D16">
        <v>0.25</v>
      </c>
      <c r="E16" t="s">
        <v>237</v>
      </c>
      <c r="F16" t="s">
        <v>238</v>
      </c>
      <c r="G16" t="s">
        <v>141</v>
      </c>
      <c r="H16" t="s">
        <v>214</v>
      </c>
      <c r="J16" s="2" t="s">
        <v>239</v>
      </c>
      <c r="K16" t="s">
        <v>240</v>
      </c>
      <c r="L16" t="s">
        <v>241</v>
      </c>
      <c r="M16" t="s">
        <v>242</v>
      </c>
    </row>
    <row r="17" spans="1:13" ht="180" hidden="1" x14ac:dyDescent="0.25">
      <c r="A17" s="4" t="s">
        <v>47</v>
      </c>
      <c r="B17" s="4" t="s">
        <v>18</v>
      </c>
      <c r="C17" s="4">
        <v>1</v>
      </c>
      <c r="D17" s="4">
        <v>1</v>
      </c>
      <c r="E17" s="4" t="s">
        <v>243</v>
      </c>
      <c r="F17" s="4" t="s">
        <v>244</v>
      </c>
      <c r="G17" s="4" t="s">
        <v>149</v>
      </c>
      <c r="H17" s="4" t="s">
        <v>193</v>
      </c>
      <c r="I17" s="4" t="s">
        <v>34</v>
      </c>
      <c r="J17" s="3" t="s">
        <v>245</v>
      </c>
      <c r="K17" s="4" t="s">
        <v>54</v>
      </c>
      <c r="L17" s="4" t="s">
        <v>246</v>
      </c>
      <c r="M17" s="4" t="s">
        <v>247</v>
      </c>
    </row>
    <row r="18" spans="1:13" ht="90" hidden="1" x14ac:dyDescent="0.25">
      <c r="A18" t="s">
        <v>47</v>
      </c>
      <c r="B18" t="s">
        <v>18</v>
      </c>
      <c r="C18">
        <v>2</v>
      </c>
      <c r="D18">
        <v>0.66669999999999996</v>
      </c>
      <c r="E18" t="s">
        <v>248</v>
      </c>
      <c r="F18" t="s">
        <v>249</v>
      </c>
      <c r="G18" t="s">
        <v>141</v>
      </c>
      <c r="H18" t="s">
        <v>250</v>
      </c>
      <c r="J18" s="2" t="s">
        <v>251</v>
      </c>
      <c r="K18" t="s">
        <v>252</v>
      </c>
      <c r="L18" t="s">
        <v>253</v>
      </c>
      <c r="M18" t="s">
        <v>254</v>
      </c>
    </row>
    <row r="19" spans="1:13" ht="210" hidden="1" x14ac:dyDescent="0.25">
      <c r="A19" t="s">
        <v>47</v>
      </c>
      <c r="B19" t="s">
        <v>18</v>
      </c>
      <c r="C19">
        <v>3</v>
      </c>
      <c r="D19">
        <v>0.3</v>
      </c>
      <c r="E19" t="s">
        <v>255</v>
      </c>
      <c r="F19" t="s">
        <v>256</v>
      </c>
      <c r="G19" t="s">
        <v>157</v>
      </c>
      <c r="H19" t="s">
        <v>179</v>
      </c>
      <c r="J19" s="2" t="s">
        <v>257</v>
      </c>
      <c r="K19" t="s">
        <v>258</v>
      </c>
      <c r="L19" t="s">
        <v>259</v>
      </c>
      <c r="M19" t="s">
        <v>260</v>
      </c>
    </row>
    <row r="20" spans="1:13" ht="285" hidden="1" x14ac:dyDescent="0.25">
      <c r="A20" t="s">
        <v>47</v>
      </c>
      <c r="B20" t="s">
        <v>18</v>
      </c>
      <c r="C20">
        <v>4</v>
      </c>
      <c r="D20">
        <v>0.2576</v>
      </c>
      <c r="E20" t="s">
        <v>261</v>
      </c>
      <c r="F20" t="s">
        <v>262</v>
      </c>
      <c r="G20" t="s">
        <v>149</v>
      </c>
      <c r="H20" t="s">
        <v>150</v>
      </c>
      <c r="J20" s="2" t="s">
        <v>263</v>
      </c>
      <c r="K20" t="s">
        <v>264</v>
      </c>
      <c r="L20" t="s">
        <v>265</v>
      </c>
      <c r="M20" t="s">
        <v>266</v>
      </c>
    </row>
    <row r="21" spans="1:13" ht="300" hidden="1" x14ac:dyDescent="0.25">
      <c r="A21" t="s">
        <v>47</v>
      </c>
      <c r="B21" t="s">
        <v>18</v>
      </c>
      <c r="C21">
        <v>5</v>
      </c>
      <c r="D21">
        <v>0.25</v>
      </c>
      <c r="E21" t="s">
        <v>267</v>
      </c>
      <c r="F21" t="s">
        <v>268</v>
      </c>
      <c r="G21" t="s">
        <v>141</v>
      </c>
      <c r="H21" t="s">
        <v>269</v>
      </c>
      <c r="J21" s="2" t="s">
        <v>270</v>
      </c>
      <c r="K21" t="s">
        <v>271</v>
      </c>
      <c r="L21" t="s">
        <v>272</v>
      </c>
      <c r="M21" t="s">
        <v>273</v>
      </c>
    </row>
    <row r="22" spans="1:13" ht="225" hidden="1" x14ac:dyDescent="0.25">
      <c r="A22" t="s">
        <v>57</v>
      </c>
      <c r="B22" t="s">
        <v>18</v>
      </c>
      <c r="C22">
        <v>1</v>
      </c>
      <c r="D22">
        <v>0.75</v>
      </c>
      <c r="E22" t="s">
        <v>274</v>
      </c>
      <c r="F22" t="s">
        <v>275</v>
      </c>
      <c r="G22" t="s">
        <v>141</v>
      </c>
      <c r="H22" t="s">
        <v>276</v>
      </c>
      <c r="J22" s="2" t="s">
        <v>277</v>
      </c>
      <c r="K22" t="s">
        <v>278</v>
      </c>
      <c r="L22" t="s">
        <v>279</v>
      </c>
      <c r="M22" t="s">
        <v>280</v>
      </c>
    </row>
    <row r="23" spans="1:13" ht="225" hidden="1" x14ac:dyDescent="0.25">
      <c r="A23" t="s">
        <v>57</v>
      </c>
      <c r="B23" t="s">
        <v>18</v>
      </c>
      <c r="C23">
        <v>2</v>
      </c>
      <c r="D23">
        <v>0.55559999999999998</v>
      </c>
      <c r="E23" t="s">
        <v>274</v>
      </c>
      <c r="F23" t="s">
        <v>275</v>
      </c>
      <c r="G23" t="s">
        <v>141</v>
      </c>
      <c r="H23" t="s">
        <v>281</v>
      </c>
      <c r="J23" s="2" t="s">
        <v>282</v>
      </c>
      <c r="K23" t="s">
        <v>283</v>
      </c>
      <c r="L23" t="s">
        <v>279</v>
      </c>
      <c r="M23" t="s">
        <v>280</v>
      </c>
    </row>
    <row r="24" spans="1:13" ht="255" hidden="1" x14ac:dyDescent="0.25">
      <c r="A24" t="s">
        <v>57</v>
      </c>
      <c r="B24" t="s">
        <v>18</v>
      </c>
      <c r="C24">
        <v>3</v>
      </c>
      <c r="D24">
        <v>0.44440000000000002</v>
      </c>
      <c r="E24" t="s">
        <v>284</v>
      </c>
      <c r="F24" t="s">
        <v>285</v>
      </c>
      <c r="G24" t="s">
        <v>141</v>
      </c>
      <c r="H24" t="s">
        <v>286</v>
      </c>
      <c r="J24" s="2" t="s">
        <v>287</v>
      </c>
      <c r="K24" t="s">
        <v>288</v>
      </c>
      <c r="L24" t="s">
        <v>289</v>
      </c>
      <c r="M24" t="s">
        <v>290</v>
      </c>
    </row>
    <row r="25" spans="1:13" ht="285" hidden="1" x14ac:dyDescent="0.25">
      <c r="A25" t="s">
        <v>57</v>
      </c>
      <c r="B25" t="s">
        <v>18</v>
      </c>
      <c r="C25">
        <v>4</v>
      </c>
      <c r="D25">
        <v>0.33329999999999999</v>
      </c>
      <c r="E25" t="s">
        <v>291</v>
      </c>
      <c r="F25" t="s">
        <v>292</v>
      </c>
      <c r="G25" t="s">
        <v>149</v>
      </c>
      <c r="H25" t="s">
        <v>150</v>
      </c>
      <c r="J25" s="2" t="s">
        <v>293</v>
      </c>
      <c r="K25" t="s">
        <v>294</v>
      </c>
      <c r="L25" t="s">
        <v>295</v>
      </c>
      <c r="M25" t="s">
        <v>296</v>
      </c>
    </row>
    <row r="26" spans="1:13" ht="210" hidden="1" x14ac:dyDescent="0.25">
      <c r="A26" t="s">
        <v>57</v>
      </c>
      <c r="B26" t="s">
        <v>18</v>
      </c>
      <c r="C26">
        <v>5</v>
      </c>
      <c r="D26">
        <v>0.30259999999999998</v>
      </c>
      <c r="E26" t="s">
        <v>297</v>
      </c>
      <c r="F26" t="s">
        <v>298</v>
      </c>
      <c r="G26" t="s">
        <v>141</v>
      </c>
      <c r="H26" t="s">
        <v>299</v>
      </c>
      <c r="J26" s="2" t="s">
        <v>300</v>
      </c>
      <c r="K26" t="s">
        <v>301</v>
      </c>
      <c r="L26" t="s">
        <v>302</v>
      </c>
      <c r="M26" t="s">
        <v>303</v>
      </c>
    </row>
    <row r="27" spans="1:13" ht="315" hidden="1" x14ac:dyDescent="0.25">
      <c r="A27" t="s">
        <v>64</v>
      </c>
      <c r="B27" t="s">
        <v>18</v>
      </c>
      <c r="C27">
        <v>1</v>
      </c>
      <c r="D27">
        <v>0.5</v>
      </c>
      <c r="E27" t="s">
        <v>304</v>
      </c>
      <c r="F27" t="s">
        <v>305</v>
      </c>
      <c r="G27" t="s">
        <v>149</v>
      </c>
      <c r="H27" t="s">
        <v>150</v>
      </c>
      <c r="J27" s="2" t="s">
        <v>306</v>
      </c>
      <c r="K27" t="s">
        <v>307</v>
      </c>
      <c r="L27" t="s">
        <v>308</v>
      </c>
      <c r="M27" t="s">
        <v>309</v>
      </c>
    </row>
    <row r="28" spans="1:13" ht="135" hidden="1" x14ac:dyDescent="0.25">
      <c r="A28" t="s">
        <v>64</v>
      </c>
      <c r="B28" t="s">
        <v>18</v>
      </c>
      <c r="C28">
        <v>2</v>
      </c>
      <c r="D28">
        <v>0.5</v>
      </c>
      <c r="E28" t="s">
        <v>155</v>
      </c>
      <c r="F28" t="s">
        <v>156</v>
      </c>
      <c r="G28" t="s">
        <v>157</v>
      </c>
      <c r="H28" t="s">
        <v>226</v>
      </c>
      <c r="J28" s="2" t="s">
        <v>310</v>
      </c>
      <c r="K28" t="s">
        <v>311</v>
      </c>
      <c r="L28" t="s">
        <v>161</v>
      </c>
      <c r="M28" t="s">
        <v>162</v>
      </c>
    </row>
    <row r="29" spans="1:13" ht="405" hidden="1" x14ac:dyDescent="0.25">
      <c r="A29" t="s">
        <v>64</v>
      </c>
      <c r="B29" t="s">
        <v>18</v>
      </c>
      <c r="C29">
        <v>3</v>
      </c>
      <c r="D29">
        <v>0.38600000000000001</v>
      </c>
      <c r="E29" t="s">
        <v>312</v>
      </c>
      <c r="F29" t="s">
        <v>313</v>
      </c>
      <c r="G29" t="s">
        <v>149</v>
      </c>
      <c r="H29" t="s">
        <v>150</v>
      </c>
      <c r="J29" s="2" t="s">
        <v>314</v>
      </c>
      <c r="K29" t="s">
        <v>315</v>
      </c>
      <c r="L29" t="s">
        <v>316</v>
      </c>
      <c r="M29" t="s">
        <v>317</v>
      </c>
    </row>
    <row r="30" spans="1:13" ht="150" hidden="1" x14ac:dyDescent="0.25">
      <c r="A30" t="s">
        <v>64</v>
      </c>
      <c r="B30" t="s">
        <v>18</v>
      </c>
      <c r="C30">
        <v>4</v>
      </c>
      <c r="D30">
        <v>0.36670000000000003</v>
      </c>
      <c r="E30" t="s">
        <v>318</v>
      </c>
      <c r="F30" t="s">
        <v>319</v>
      </c>
      <c r="G30" t="s">
        <v>157</v>
      </c>
      <c r="H30" t="s">
        <v>207</v>
      </c>
      <c r="J30" s="2" t="s">
        <v>320</v>
      </c>
      <c r="K30" t="s">
        <v>321</v>
      </c>
      <c r="L30" t="s">
        <v>322</v>
      </c>
      <c r="M30" t="s">
        <v>323</v>
      </c>
    </row>
    <row r="31" spans="1:13" ht="409.5" hidden="1" x14ac:dyDescent="0.25">
      <c r="A31" s="4" t="s">
        <v>64</v>
      </c>
      <c r="B31" s="4" t="s">
        <v>18</v>
      </c>
      <c r="C31" s="4">
        <v>5</v>
      </c>
      <c r="D31" s="4">
        <v>0.33329999999999999</v>
      </c>
      <c r="E31" s="4" t="s">
        <v>318</v>
      </c>
      <c r="F31" s="4" t="s">
        <v>319</v>
      </c>
      <c r="G31" s="4" t="s">
        <v>157</v>
      </c>
      <c r="H31" s="4" t="s">
        <v>324</v>
      </c>
      <c r="I31" s="4" t="s">
        <v>34</v>
      </c>
      <c r="J31" s="3" t="s">
        <v>325</v>
      </c>
      <c r="K31" s="4" t="s">
        <v>70</v>
      </c>
      <c r="L31" s="4" t="s">
        <v>322</v>
      </c>
      <c r="M31" s="4" t="s">
        <v>323</v>
      </c>
    </row>
    <row r="32" spans="1:13" ht="315" hidden="1" x14ac:dyDescent="0.25">
      <c r="A32" s="4" t="s">
        <v>73</v>
      </c>
      <c r="B32" s="4" t="s">
        <v>18</v>
      </c>
      <c r="C32" s="4">
        <v>1</v>
      </c>
      <c r="D32" s="4">
        <v>1</v>
      </c>
      <c r="E32" s="4" t="s">
        <v>326</v>
      </c>
      <c r="F32" s="4" t="s">
        <v>327</v>
      </c>
      <c r="G32" s="4" t="s">
        <v>141</v>
      </c>
      <c r="H32" s="4" t="s">
        <v>328</v>
      </c>
      <c r="I32" s="4" t="s">
        <v>34</v>
      </c>
      <c r="J32" s="3" t="s">
        <v>329</v>
      </c>
      <c r="K32" s="4" t="s">
        <v>330</v>
      </c>
      <c r="L32" s="4" t="s">
        <v>331</v>
      </c>
      <c r="M32" s="4" t="s">
        <v>332</v>
      </c>
    </row>
    <row r="33" spans="1:13" ht="300" hidden="1" x14ac:dyDescent="0.25">
      <c r="A33" s="4" t="s">
        <v>73</v>
      </c>
      <c r="B33" s="4" t="s">
        <v>18</v>
      </c>
      <c r="C33" s="4">
        <v>2</v>
      </c>
      <c r="D33" s="4">
        <v>0.5</v>
      </c>
      <c r="E33" s="4" t="s">
        <v>326</v>
      </c>
      <c r="F33" s="4" t="s">
        <v>327</v>
      </c>
      <c r="G33" s="4" t="s">
        <v>141</v>
      </c>
      <c r="H33" s="4" t="s">
        <v>333</v>
      </c>
      <c r="I33" s="4" t="s">
        <v>34</v>
      </c>
      <c r="J33" s="3" t="s">
        <v>334</v>
      </c>
      <c r="K33" s="4" t="s">
        <v>335</v>
      </c>
      <c r="L33" s="4" t="s">
        <v>331</v>
      </c>
      <c r="M33" s="4" t="s">
        <v>332</v>
      </c>
    </row>
    <row r="34" spans="1:13" ht="210" hidden="1" x14ac:dyDescent="0.25">
      <c r="A34" t="s">
        <v>73</v>
      </c>
      <c r="B34" t="s">
        <v>18</v>
      </c>
      <c r="C34">
        <v>3</v>
      </c>
      <c r="D34">
        <v>0.47620000000000001</v>
      </c>
      <c r="E34" t="s">
        <v>326</v>
      </c>
      <c r="F34" t="s">
        <v>327</v>
      </c>
      <c r="G34" t="s">
        <v>141</v>
      </c>
      <c r="H34" t="s">
        <v>336</v>
      </c>
      <c r="J34" s="2" t="s">
        <v>337</v>
      </c>
      <c r="K34" t="s">
        <v>338</v>
      </c>
      <c r="L34" t="s">
        <v>331</v>
      </c>
      <c r="M34" t="s">
        <v>332</v>
      </c>
    </row>
    <row r="35" spans="1:13" ht="60" hidden="1" x14ac:dyDescent="0.25">
      <c r="A35" t="s">
        <v>73</v>
      </c>
      <c r="B35" t="s">
        <v>18</v>
      </c>
      <c r="C35">
        <v>4</v>
      </c>
      <c r="D35">
        <v>0.41670000000000001</v>
      </c>
      <c r="E35" t="s">
        <v>339</v>
      </c>
      <c r="F35" t="s">
        <v>340</v>
      </c>
      <c r="G35" t="s">
        <v>341</v>
      </c>
      <c r="H35" t="s">
        <v>193</v>
      </c>
      <c r="J35" s="2" t="s">
        <v>342</v>
      </c>
      <c r="K35" t="s">
        <v>343</v>
      </c>
      <c r="L35" t="s">
        <v>344</v>
      </c>
      <c r="M35" t="s">
        <v>345</v>
      </c>
    </row>
    <row r="36" spans="1:13" ht="409.5" hidden="1" x14ac:dyDescent="0.25">
      <c r="A36" t="s">
        <v>73</v>
      </c>
      <c r="B36" t="s">
        <v>18</v>
      </c>
      <c r="C36">
        <v>5</v>
      </c>
      <c r="D36">
        <v>0.39290000000000003</v>
      </c>
      <c r="E36" t="s">
        <v>346</v>
      </c>
      <c r="F36" t="s">
        <v>347</v>
      </c>
      <c r="G36" t="s">
        <v>348</v>
      </c>
      <c r="H36" t="s">
        <v>349</v>
      </c>
      <c r="J36" s="2" t="s">
        <v>350</v>
      </c>
      <c r="K36" t="s">
        <v>351</v>
      </c>
      <c r="L36" t="s">
        <v>352</v>
      </c>
      <c r="M36" t="s">
        <v>353</v>
      </c>
    </row>
    <row r="37" spans="1:13" ht="210" hidden="1" x14ac:dyDescent="0.25">
      <c r="A37" t="s">
        <v>81</v>
      </c>
      <c r="B37" t="s">
        <v>18</v>
      </c>
      <c r="C37">
        <v>1</v>
      </c>
      <c r="D37">
        <v>0.83330000000000004</v>
      </c>
      <c r="E37" t="s">
        <v>326</v>
      </c>
      <c r="F37" t="s">
        <v>327</v>
      </c>
      <c r="G37" t="s">
        <v>141</v>
      </c>
      <c r="H37" t="s">
        <v>336</v>
      </c>
      <c r="J37" s="2" t="s">
        <v>337</v>
      </c>
      <c r="K37" t="s">
        <v>338</v>
      </c>
      <c r="L37" t="s">
        <v>331</v>
      </c>
      <c r="M37" t="s">
        <v>332</v>
      </c>
    </row>
    <row r="38" spans="1:13" ht="60" hidden="1" x14ac:dyDescent="0.25">
      <c r="A38" t="s">
        <v>81</v>
      </c>
      <c r="B38" t="s">
        <v>18</v>
      </c>
      <c r="C38">
        <v>2</v>
      </c>
      <c r="D38">
        <v>0.83330000000000004</v>
      </c>
      <c r="E38" t="s">
        <v>339</v>
      </c>
      <c r="F38" t="s">
        <v>340</v>
      </c>
      <c r="G38" t="s">
        <v>341</v>
      </c>
      <c r="H38" t="s">
        <v>193</v>
      </c>
      <c r="J38" s="2" t="s">
        <v>342</v>
      </c>
      <c r="K38" t="s">
        <v>343</v>
      </c>
      <c r="L38" t="s">
        <v>344</v>
      </c>
      <c r="M38" t="s">
        <v>345</v>
      </c>
    </row>
    <row r="39" spans="1:13" ht="240" hidden="1" x14ac:dyDescent="0.25">
      <c r="A39" t="s">
        <v>81</v>
      </c>
      <c r="B39" t="s">
        <v>18</v>
      </c>
      <c r="C39">
        <v>3</v>
      </c>
      <c r="D39">
        <v>0.29089999999999999</v>
      </c>
      <c r="E39" t="s">
        <v>326</v>
      </c>
      <c r="F39" t="s">
        <v>327</v>
      </c>
      <c r="G39" t="s">
        <v>141</v>
      </c>
      <c r="H39" t="s">
        <v>354</v>
      </c>
      <c r="J39" s="2" t="s">
        <v>355</v>
      </c>
      <c r="K39" t="s">
        <v>356</v>
      </c>
      <c r="L39" t="s">
        <v>331</v>
      </c>
      <c r="M39" t="s">
        <v>332</v>
      </c>
    </row>
    <row r="40" spans="1:13" ht="409.5" hidden="1" x14ac:dyDescent="0.25">
      <c r="A40" t="s">
        <v>81</v>
      </c>
      <c r="B40" t="s">
        <v>18</v>
      </c>
      <c r="C40">
        <v>4</v>
      </c>
      <c r="D40">
        <v>0.25</v>
      </c>
      <c r="E40" t="s">
        <v>357</v>
      </c>
      <c r="F40" t="s">
        <v>358</v>
      </c>
      <c r="G40" t="s">
        <v>157</v>
      </c>
      <c r="H40" t="s">
        <v>179</v>
      </c>
      <c r="J40" s="2" t="s">
        <v>359</v>
      </c>
      <c r="K40" t="s">
        <v>360</v>
      </c>
      <c r="L40" t="s">
        <v>361</v>
      </c>
      <c r="M40" t="s">
        <v>362</v>
      </c>
    </row>
    <row r="41" spans="1:13" ht="180" hidden="1" x14ac:dyDescent="0.25">
      <c r="A41" t="s">
        <v>81</v>
      </c>
      <c r="B41" t="s">
        <v>18</v>
      </c>
      <c r="C41">
        <v>5</v>
      </c>
      <c r="D41">
        <v>0.25</v>
      </c>
      <c r="E41" t="s">
        <v>363</v>
      </c>
      <c r="F41" t="s">
        <v>364</v>
      </c>
      <c r="G41" t="s">
        <v>141</v>
      </c>
      <c r="H41" t="s">
        <v>281</v>
      </c>
      <c r="J41" s="2" t="s">
        <v>365</v>
      </c>
      <c r="K41" t="s">
        <v>366</v>
      </c>
      <c r="L41" t="s">
        <v>367</v>
      </c>
      <c r="M41" t="s">
        <v>368</v>
      </c>
    </row>
    <row r="42" spans="1:13" ht="195" x14ac:dyDescent="0.25">
      <c r="A42" t="s">
        <v>89</v>
      </c>
      <c r="B42" t="s">
        <v>18</v>
      </c>
      <c r="C42">
        <v>1</v>
      </c>
      <c r="D42">
        <v>0.57689999999999997</v>
      </c>
      <c r="E42" t="s">
        <v>369</v>
      </c>
      <c r="F42" t="s">
        <v>370</v>
      </c>
      <c r="G42" t="s">
        <v>141</v>
      </c>
      <c r="H42" t="s">
        <v>207</v>
      </c>
      <c r="J42" s="2" t="s">
        <v>371</v>
      </c>
      <c r="K42" t="s">
        <v>372</v>
      </c>
      <c r="L42" t="s">
        <v>373</v>
      </c>
      <c r="M42" t="s">
        <v>374</v>
      </c>
    </row>
    <row r="43" spans="1:13" ht="150" x14ac:dyDescent="0.25">
      <c r="A43" t="s">
        <v>89</v>
      </c>
      <c r="B43" t="s">
        <v>18</v>
      </c>
      <c r="C43">
        <v>2</v>
      </c>
      <c r="D43">
        <v>0.5</v>
      </c>
      <c r="E43" t="s">
        <v>184</v>
      </c>
      <c r="F43" t="s">
        <v>185</v>
      </c>
      <c r="G43" t="s">
        <v>165</v>
      </c>
      <c r="H43" t="s">
        <v>186</v>
      </c>
      <c r="J43" s="2" t="s">
        <v>187</v>
      </c>
      <c r="K43" t="s">
        <v>188</v>
      </c>
      <c r="L43" t="s">
        <v>189</v>
      </c>
      <c r="M43" t="s">
        <v>190</v>
      </c>
    </row>
    <row r="44" spans="1:13" ht="180" x14ac:dyDescent="0.25">
      <c r="A44" t="s">
        <v>89</v>
      </c>
      <c r="B44" t="s">
        <v>18</v>
      </c>
      <c r="C44">
        <v>3</v>
      </c>
      <c r="D44">
        <v>0.35</v>
      </c>
      <c r="E44" t="s">
        <v>184</v>
      </c>
      <c r="F44" t="s">
        <v>185</v>
      </c>
      <c r="G44" t="s">
        <v>165</v>
      </c>
      <c r="H44" t="s">
        <v>375</v>
      </c>
      <c r="J44" s="2" t="s">
        <v>376</v>
      </c>
      <c r="K44" t="s">
        <v>377</v>
      </c>
      <c r="L44" t="s">
        <v>189</v>
      </c>
      <c r="M44" t="s">
        <v>190</v>
      </c>
    </row>
    <row r="45" spans="1:13" ht="240" x14ac:dyDescent="0.25">
      <c r="A45" t="s">
        <v>89</v>
      </c>
      <c r="B45" t="s">
        <v>18</v>
      </c>
      <c r="C45">
        <v>4</v>
      </c>
      <c r="D45">
        <v>0.33329999999999999</v>
      </c>
      <c r="E45" t="s">
        <v>378</v>
      </c>
      <c r="F45" t="s">
        <v>370</v>
      </c>
      <c r="G45" t="s">
        <v>141</v>
      </c>
      <c r="H45" t="s">
        <v>186</v>
      </c>
      <c r="J45" s="2" t="s">
        <v>379</v>
      </c>
      <c r="K45" t="s">
        <v>380</v>
      </c>
      <c r="L45" t="s">
        <v>381</v>
      </c>
      <c r="M45" t="s">
        <v>382</v>
      </c>
    </row>
    <row r="46" spans="1:13" ht="390" x14ac:dyDescent="0.25">
      <c r="A46" s="4" t="s">
        <v>89</v>
      </c>
      <c r="B46" s="4" t="s">
        <v>18</v>
      </c>
      <c r="C46" s="4">
        <v>5</v>
      </c>
      <c r="D46" s="4">
        <v>0.33329999999999999</v>
      </c>
      <c r="E46" s="4" t="s">
        <v>184</v>
      </c>
      <c r="F46" s="4" t="s">
        <v>185</v>
      </c>
      <c r="G46" s="4" t="s">
        <v>165</v>
      </c>
      <c r="H46" s="4" t="s">
        <v>269</v>
      </c>
      <c r="I46" s="4" t="s">
        <v>34</v>
      </c>
      <c r="J46" s="3" t="s">
        <v>383</v>
      </c>
      <c r="K46" s="4" t="s">
        <v>384</v>
      </c>
      <c r="L46" s="4" t="s">
        <v>189</v>
      </c>
      <c r="M46" s="4" t="s">
        <v>190</v>
      </c>
    </row>
    <row r="47" spans="1:13" ht="165" hidden="1" x14ac:dyDescent="0.25">
      <c r="A47" t="s">
        <v>97</v>
      </c>
      <c r="B47" t="s">
        <v>18</v>
      </c>
      <c r="C47">
        <v>1</v>
      </c>
      <c r="D47">
        <v>1</v>
      </c>
      <c r="E47" t="s">
        <v>385</v>
      </c>
      <c r="F47" t="s">
        <v>386</v>
      </c>
      <c r="G47" t="s">
        <v>165</v>
      </c>
      <c r="H47" t="s">
        <v>281</v>
      </c>
      <c r="J47" s="2" t="s">
        <v>387</v>
      </c>
      <c r="K47" t="s">
        <v>388</v>
      </c>
      <c r="L47" t="s">
        <v>389</v>
      </c>
      <c r="M47" t="s">
        <v>390</v>
      </c>
    </row>
    <row r="48" spans="1:13" ht="225" hidden="1" x14ac:dyDescent="0.25">
      <c r="A48" t="s">
        <v>97</v>
      </c>
      <c r="B48" t="s">
        <v>18</v>
      </c>
      <c r="C48">
        <v>2</v>
      </c>
      <c r="D48">
        <v>0.41670000000000001</v>
      </c>
      <c r="E48" t="s">
        <v>391</v>
      </c>
      <c r="F48" t="s">
        <v>392</v>
      </c>
      <c r="G48" t="s">
        <v>141</v>
      </c>
      <c r="H48" t="s">
        <v>193</v>
      </c>
      <c r="J48" s="2" t="s">
        <v>393</v>
      </c>
      <c r="K48" t="s">
        <v>394</v>
      </c>
      <c r="L48" t="s">
        <v>395</v>
      </c>
      <c r="M48" t="s">
        <v>396</v>
      </c>
    </row>
    <row r="49" spans="1:13" ht="225" hidden="1" x14ac:dyDescent="0.25">
      <c r="A49" t="s">
        <v>97</v>
      </c>
      <c r="B49" t="s">
        <v>18</v>
      </c>
      <c r="C49">
        <v>3</v>
      </c>
      <c r="D49">
        <v>0.39290000000000003</v>
      </c>
      <c r="E49" t="s">
        <v>397</v>
      </c>
      <c r="F49" t="s">
        <v>398</v>
      </c>
      <c r="G49" t="s">
        <v>141</v>
      </c>
      <c r="H49" t="s">
        <v>399</v>
      </c>
      <c r="J49" s="2" t="s">
        <v>400</v>
      </c>
      <c r="K49" t="s">
        <v>401</v>
      </c>
      <c r="L49" t="s">
        <v>402</v>
      </c>
      <c r="M49" t="s">
        <v>403</v>
      </c>
    </row>
    <row r="50" spans="1:13" ht="270" hidden="1" x14ac:dyDescent="0.25">
      <c r="A50" t="s">
        <v>97</v>
      </c>
      <c r="B50" t="s">
        <v>18</v>
      </c>
      <c r="C50">
        <v>4</v>
      </c>
      <c r="D50">
        <v>0.38329999999999997</v>
      </c>
      <c r="E50" t="s">
        <v>404</v>
      </c>
      <c r="F50" t="s">
        <v>405</v>
      </c>
      <c r="G50" t="s">
        <v>341</v>
      </c>
      <c r="H50" t="s">
        <v>214</v>
      </c>
      <c r="J50" s="2" t="s">
        <v>406</v>
      </c>
      <c r="K50" t="s">
        <v>407</v>
      </c>
      <c r="L50" t="s">
        <v>408</v>
      </c>
      <c r="M50" t="s">
        <v>409</v>
      </c>
    </row>
    <row r="51" spans="1:13" ht="210" hidden="1" x14ac:dyDescent="0.25">
      <c r="A51" t="s">
        <v>97</v>
      </c>
      <c r="B51" t="s">
        <v>18</v>
      </c>
      <c r="C51">
        <v>5</v>
      </c>
      <c r="D51">
        <v>0.33329999999999999</v>
      </c>
      <c r="E51" t="s">
        <v>397</v>
      </c>
      <c r="F51" t="s">
        <v>398</v>
      </c>
      <c r="G51" t="s">
        <v>141</v>
      </c>
      <c r="H51" t="s">
        <v>410</v>
      </c>
      <c r="J51" s="2" t="s">
        <v>411</v>
      </c>
      <c r="K51" t="s">
        <v>412</v>
      </c>
      <c r="L51" t="s">
        <v>402</v>
      </c>
      <c r="M51" t="s">
        <v>403</v>
      </c>
    </row>
    <row r="52" spans="1:13" ht="375" hidden="1" x14ac:dyDescent="0.25">
      <c r="A52" t="s">
        <v>107</v>
      </c>
      <c r="B52" t="s">
        <v>18</v>
      </c>
      <c r="C52">
        <v>1</v>
      </c>
      <c r="D52">
        <v>0.5</v>
      </c>
      <c r="E52" t="s">
        <v>413</v>
      </c>
      <c r="F52" t="s">
        <v>414</v>
      </c>
      <c r="G52" t="s">
        <v>200</v>
      </c>
      <c r="H52" t="s">
        <v>349</v>
      </c>
      <c r="J52" s="2" t="s">
        <v>415</v>
      </c>
      <c r="K52" t="s">
        <v>416</v>
      </c>
      <c r="L52" t="s">
        <v>417</v>
      </c>
      <c r="M52" t="s">
        <v>418</v>
      </c>
    </row>
    <row r="53" spans="1:13" ht="285" hidden="1" x14ac:dyDescent="0.25">
      <c r="A53" t="s">
        <v>107</v>
      </c>
      <c r="B53" t="s">
        <v>18</v>
      </c>
      <c r="C53">
        <v>2</v>
      </c>
      <c r="D53">
        <v>0.5</v>
      </c>
      <c r="E53" t="s">
        <v>419</v>
      </c>
      <c r="F53" t="s">
        <v>420</v>
      </c>
      <c r="G53" t="s">
        <v>165</v>
      </c>
      <c r="H53" t="s">
        <v>179</v>
      </c>
      <c r="J53" s="2" t="s">
        <v>421</v>
      </c>
      <c r="K53" t="s">
        <v>422</v>
      </c>
      <c r="L53" t="s">
        <v>423</v>
      </c>
      <c r="M53" t="s">
        <v>424</v>
      </c>
    </row>
    <row r="54" spans="1:13" ht="300" hidden="1" x14ac:dyDescent="0.25">
      <c r="A54" t="s">
        <v>107</v>
      </c>
      <c r="B54" t="s">
        <v>18</v>
      </c>
      <c r="C54">
        <v>3</v>
      </c>
      <c r="D54">
        <v>0.33329999999999999</v>
      </c>
      <c r="E54" t="s">
        <v>425</v>
      </c>
      <c r="F54" t="s">
        <v>426</v>
      </c>
      <c r="G54" t="s">
        <v>165</v>
      </c>
      <c r="H54" t="s">
        <v>427</v>
      </c>
      <c r="J54" s="2" t="s">
        <v>428</v>
      </c>
      <c r="K54" t="s">
        <v>429</v>
      </c>
      <c r="L54" t="s">
        <v>430</v>
      </c>
      <c r="M54" t="s">
        <v>431</v>
      </c>
    </row>
    <row r="55" spans="1:13" ht="165" hidden="1" x14ac:dyDescent="0.25">
      <c r="A55" t="s">
        <v>107</v>
      </c>
      <c r="B55" t="s">
        <v>18</v>
      </c>
      <c r="C55">
        <v>4</v>
      </c>
      <c r="D55">
        <v>0.33329999999999999</v>
      </c>
      <c r="E55" t="s">
        <v>432</v>
      </c>
      <c r="F55" t="s">
        <v>433</v>
      </c>
      <c r="G55" t="s">
        <v>141</v>
      </c>
      <c r="H55" t="s">
        <v>193</v>
      </c>
      <c r="J55" s="2" t="s">
        <v>434</v>
      </c>
      <c r="K55" t="s">
        <v>435</v>
      </c>
      <c r="L55" t="s">
        <v>436</v>
      </c>
      <c r="M55" t="s">
        <v>437</v>
      </c>
    </row>
    <row r="56" spans="1:13" ht="409.5" hidden="1" x14ac:dyDescent="0.25">
      <c r="A56" t="s">
        <v>107</v>
      </c>
      <c r="B56" t="s">
        <v>18</v>
      </c>
      <c r="C56">
        <v>5</v>
      </c>
      <c r="D56">
        <v>0.27139999999999997</v>
      </c>
      <c r="E56" t="s">
        <v>438</v>
      </c>
      <c r="F56" t="s">
        <v>439</v>
      </c>
      <c r="G56" t="s">
        <v>200</v>
      </c>
      <c r="H56" t="s">
        <v>150</v>
      </c>
      <c r="J56" s="2" t="s">
        <v>440</v>
      </c>
      <c r="K56" t="s">
        <v>441</v>
      </c>
      <c r="L56" t="s">
        <v>442</v>
      </c>
      <c r="M56" t="s">
        <v>443</v>
      </c>
    </row>
    <row r="57" spans="1:13" ht="409.5" hidden="1" x14ac:dyDescent="0.25">
      <c r="A57" t="s">
        <v>114</v>
      </c>
      <c r="B57" t="s">
        <v>18</v>
      </c>
      <c r="C57">
        <v>1</v>
      </c>
      <c r="D57">
        <v>0.5</v>
      </c>
      <c r="E57" t="s">
        <v>444</v>
      </c>
      <c r="F57" t="s">
        <v>444</v>
      </c>
      <c r="G57" t="s">
        <v>348</v>
      </c>
      <c r="H57" t="s">
        <v>150</v>
      </c>
      <c r="J57" s="2" t="s">
        <v>445</v>
      </c>
      <c r="K57" t="s">
        <v>446</v>
      </c>
      <c r="L57" t="s">
        <v>447</v>
      </c>
      <c r="M57" t="s">
        <v>448</v>
      </c>
    </row>
    <row r="58" spans="1:13" ht="195" hidden="1" x14ac:dyDescent="0.25">
      <c r="A58" t="s">
        <v>114</v>
      </c>
      <c r="B58" t="s">
        <v>18</v>
      </c>
      <c r="C58">
        <v>2</v>
      </c>
      <c r="D58">
        <v>0.5</v>
      </c>
      <c r="E58" t="s">
        <v>449</v>
      </c>
      <c r="F58" t="s">
        <v>450</v>
      </c>
      <c r="G58" t="s">
        <v>149</v>
      </c>
      <c r="H58" t="s">
        <v>214</v>
      </c>
      <c r="J58" s="2" t="s">
        <v>451</v>
      </c>
      <c r="K58" t="s">
        <v>452</v>
      </c>
      <c r="L58" t="s">
        <v>453</v>
      </c>
      <c r="M58" t="s">
        <v>454</v>
      </c>
    </row>
    <row r="59" spans="1:13" ht="150" hidden="1" x14ac:dyDescent="0.25">
      <c r="A59" t="s">
        <v>114</v>
      </c>
      <c r="B59" t="s">
        <v>18</v>
      </c>
      <c r="C59">
        <v>3</v>
      </c>
      <c r="D59">
        <v>0.33329999999999999</v>
      </c>
      <c r="E59" t="s">
        <v>455</v>
      </c>
      <c r="F59" t="s">
        <v>456</v>
      </c>
      <c r="G59" t="s">
        <v>149</v>
      </c>
      <c r="H59" t="s">
        <v>226</v>
      </c>
      <c r="J59" s="2" t="s">
        <v>457</v>
      </c>
      <c r="K59" t="s">
        <v>458</v>
      </c>
      <c r="L59" t="s">
        <v>459</v>
      </c>
      <c r="M59" t="s">
        <v>460</v>
      </c>
    </row>
    <row r="60" spans="1:13" ht="75" hidden="1" x14ac:dyDescent="0.25">
      <c r="A60" t="s">
        <v>114</v>
      </c>
      <c r="B60" t="s">
        <v>18</v>
      </c>
      <c r="C60">
        <v>4</v>
      </c>
      <c r="D60">
        <v>0.33329999999999999</v>
      </c>
      <c r="E60" t="s">
        <v>461</v>
      </c>
      <c r="F60" t="s">
        <v>462</v>
      </c>
      <c r="G60" t="s">
        <v>141</v>
      </c>
      <c r="H60" t="s">
        <v>186</v>
      </c>
      <c r="J60" s="2" t="s">
        <v>463</v>
      </c>
      <c r="K60" t="s">
        <v>464</v>
      </c>
      <c r="L60" t="s">
        <v>465</v>
      </c>
      <c r="M60" t="s">
        <v>466</v>
      </c>
    </row>
    <row r="61" spans="1:13" ht="150" hidden="1" x14ac:dyDescent="0.25">
      <c r="A61" t="s">
        <v>114</v>
      </c>
      <c r="B61" t="s">
        <v>18</v>
      </c>
      <c r="C61">
        <v>5</v>
      </c>
      <c r="D61">
        <v>0.25</v>
      </c>
      <c r="E61" t="s">
        <v>467</v>
      </c>
      <c r="F61" t="s">
        <v>468</v>
      </c>
      <c r="G61" t="s">
        <v>149</v>
      </c>
      <c r="H61" t="s">
        <v>226</v>
      </c>
      <c r="J61" s="2" t="s">
        <v>469</v>
      </c>
      <c r="K61" t="s">
        <v>470</v>
      </c>
      <c r="L61" t="s">
        <v>471</v>
      </c>
      <c r="M61" t="s">
        <v>472</v>
      </c>
    </row>
    <row r="62" spans="1:13" ht="409.5" hidden="1" x14ac:dyDescent="0.25">
      <c r="A62" t="s">
        <v>121</v>
      </c>
      <c r="B62" t="s">
        <v>18</v>
      </c>
      <c r="C62">
        <v>1</v>
      </c>
      <c r="D62">
        <v>0.5</v>
      </c>
      <c r="E62" t="s">
        <v>473</v>
      </c>
      <c r="F62" t="s">
        <v>474</v>
      </c>
      <c r="G62" t="s">
        <v>475</v>
      </c>
      <c r="H62" t="s">
        <v>158</v>
      </c>
      <c r="J62" s="2" t="s">
        <v>476</v>
      </c>
      <c r="K62" t="s">
        <v>477</v>
      </c>
      <c r="L62" t="s">
        <v>478</v>
      </c>
      <c r="M62" t="s">
        <v>479</v>
      </c>
    </row>
    <row r="63" spans="1:13" ht="270" hidden="1" x14ac:dyDescent="0.25">
      <c r="A63" t="s">
        <v>121</v>
      </c>
      <c r="B63" t="s">
        <v>18</v>
      </c>
      <c r="C63">
        <v>2</v>
      </c>
      <c r="D63">
        <v>0.5</v>
      </c>
      <c r="E63" t="s">
        <v>480</v>
      </c>
      <c r="F63" t="s">
        <v>481</v>
      </c>
      <c r="G63" t="s">
        <v>141</v>
      </c>
      <c r="H63" t="s">
        <v>281</v>
      </c>
      <c r="J63" s="2" t="s">
        <v>482</v>
      </c>
      <c r="K63" t="s">
        <v>483</v>
      </c>
      <c r="L63" t="s">
        <v>484</v>
      </c>
      <c r="M63" t="s">
        <v>485</v>
      </c>
    </row>
    <row r="64" spans="1:13" ht="240" hidden="1" x14ac:dyDescent="0.25">
      <c r="A64" t="s">
        <v>121</v>
      </c>
      <c r="B64" t="s">
        <v>18</v>
      </c>
      <c r="C64">
        <v>3</v>
      </c>
      <c r="D64">
        <v>0.38329999999999997</v>
      </c>
      <c r="E64" t="s">
        <v>486</v>
      </c>
      <c r="F64" t="s">
        <v>487</v>
      </c>
      <c r="G64" t="s">
        <v>141</v>
      </c>
      <c r="H64" t="s">
        <v>226</v>
      </c>
      <c r="J64" s="2" t="s">
        <v>488</v>
      </c>
      <c r="K64" t="s">
        <v>489</v>
      </c>
      <c r="L64" t="s">
        <v>490</v>
      </c>
      <c r="M64" t="s">
        <v>491</v>
      </c>
    </row>
    <row r="65" spans="1:13" ht="90" hidden="1" x14ac:dyDescent="0.25">
      <c r="A65" t="s">
        <v>121</v>
      </c>
      <c r="B65" t="s">
        <v>18</v>
      </c>
      <c r="C65">
        <v>4</v>
      </c>
      <c r="D65">
        <v>0.33329999999999999</v>
      </c>
      <c r="E65" t="s">
        <v>492</v>
      </c>
      <c r="F65" t="s">
        <v>493</v>
      </c>
      <c r="G65" t="s">
        <v>494</v>
      </c>
      <c r="H65" t="s">
        <v>150</v>
      </c>
      <c r="J65" s="2" t="s">
        <v>495</v>
      </c>
      <c r="K65" t="s">
        <v>496</v>
      </c>
      <c r="L65" t="s">
        <v>497</v>
      </c>
      <c r="M65" t="s">
        <v>498</v>
      </c>
    </row>
    <row r="66" spans="1:13" ht="225" hidden="1" x14ac:dyDescent="0.25">
      <c r="A66" t="s">
        <v>121</v>
      </c>
      <c r="B66" t="s">
        <v>18</v>
      </c>
      <c r="C66">
        <v>5</v>
      </c>
      <c r="D66">
        <v>0.29170000000000001</v>
      </c>
      <c r="E66" t="s">
        <v>499</v>
      </c>
      <c r="F66" t="s">
        <v>500</v>
      </c>
      <c r="G66" t="s">
        <v>141</v>
      </c>
      <c r="H66" t="s">
        <v>193</v>
      </c>
      <c r="J66" s="2" t="s">
        <v>501</v>
      </c>
      <c r="K66" t="s">
        <v>502</v>
      </c>
      <c r="L66" t="s">
        <v>503</v>
      </c>
      <c r="M66" t="s">
        <v>504</v>
      </c>
    </row>
  </sheetData>
  <autoFilter ref="A1:M66" xr:uid="{00000000-0001-0000-0100-000000000000}">
    <filterColumn colId="0">
      <filters>
        <filter val="p01"/>
        <filter val="p09"/>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Guia</vt:lpstr>
      <vt:lpstr>Calificacion</vt:lpstr>
      <vt:lpstr>Resumen</vt:lpstr>
      <vt:lpstr>Config</vt:lpstr>
      <vt:lpstr>LLM_ToggleThink</vt:lpstr>
      <vt:lpstr>Prompts</vt:lpstr>
      <vt:lpstr>Contextos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Helpdesk csoc4</cp:lastModifiedBy>
  <dcterms:created xsi:type="dcterms:W3CDTF">2026-09-23T03:25:35Z</dcterms:created>
  <dcterms:modified xsi:type="dcterms:W3CDTF">2026-10-15T05:46:44Z</dcterms:modified>
</cp:coreProperties>
</file>