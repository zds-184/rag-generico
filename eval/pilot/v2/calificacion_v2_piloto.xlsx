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a" sheetId="1" state="visible" r:id="rId1"/>
    <sheet xmlns:r="http://schemas.openxmlformats.org/officeDocument/2006/relationships" name="Respuestas" sheetId="2" state="visible" r:id="rId2"/>
    <sheet xmlns:r="http://schemas.openxmlformats.org/officeDocument/2006/relationships" name="Afirmaciones" sheetId="3" state="visible" r:id="rId3"/>
    <sheet xmlns:r="http://schemas.openxmlformats.org/officeDocument/2006/relationships" name="Hechos" sheetId="4" state="visible" r:id="rId4"/>
    <sheet xmlns:r="http://schemas.openxmlformats.org/officeDocument/2006/relationships" name="Contextos" sheetId="5" state="visible" r:id="rId5"/>
    <sheet xmlns:r="http://schemas.openxmlformats.org/officeDocument/2006/relationships" name="Resumen" sheetId="6" state="visible" r:id="rId6"/>
    <sheet xmlns:r="http://schemas.openxmlformats.org/officeDocument/2006/relationships" name="Config"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6">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
      <patternFill patternType="solid">
        <fgColor rgb="00F2F2F2"/>
      </patternFill>
    </fill>
  </fills>
  <borders count="1">
    <border>
      <left/>
      <right/>
      <top/>
      <bottom/>
      <diagonal/>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center" wrapText="1"/>
    </xf>
    <xf numFmtId="0" fontId="2" fillId="5" borderId="0" applyAlignment="1" pivotButton="0" quotePrefix="0" xfId="0">
      <alignment vertical="top" wrapText="1"/>
    </xf>
    <xf numFmtId="0" fontId="2" fillId="4" borderId="0" applyAlignment="1" pivotButton="0" quotePrefix="0" xfId="0">
      <alignment vertical="top" wrapText="1"/>
    </xf>
    <xf numFmtId="0" fontId="2" fillId="3" borderId="0" applyAlignment="1" applyProtection="1" pivotButton="0" quotePrefix="0" xfId="0">
      <alignment vertical="top" wrapText="1"/>
      <protection locked="0" hidden="0"/>
    </xf>
    <xf numFmtId="0" fontId="1" fillId="2" borderId="0" pivotButton="0" quotePrefix="0" xfId="0"/>
    <xf numFmtId="0" fontId="2" fillId="0" borderId="0" pivotButton="0" quotePrefix="0" xfId="0"/>
    <xf numFmtId="2" fontId="2" fillId="0" borderId="0" pivotButton="0" quotePrefix="0" xfId="0"/>
    <xf numFmtId="0" fontId="3" fillId="0" borderId="0" pivotButton="0" quotePrefix="0" xfId="0"/>
    <xf numFmtId="0" fontId="2"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6" customWidth="1" min="1" max="1"/>
    <col width="120" customWidth="1" min="2" max="2"/>
  </cols>
  <sheetData>
    <row r="1" ht="46" customHeight="1">
      <c r="A1" s="1" t="inlineStr">
        <is>
          <t>Para qué sirve</t>
        </is>
      </c>
      <c r="B1" s="2" t="inlineStr">
        <is>
          <t>Calificar cada respuesta POR AFIRMACIÓN (hoja Afirmaciones). N2, N3, códigos, alertas y diagnóstico se calculan solos en Respuestas. Reglas completas: protocol_v2.md §3-§5.</t>
        </is>
      </c>
    </row>
    <row r="2" ht="30" customHeight="1">
      <c r="A2" s="1" t="inlineStr">
        <is>
          <t>Colores</t>
        </is>
      </c>
      <c r="B2" s="2" t="inlineStr">
        <is>
          <t>Amarillo = lo escribes o eliges tú. Verde = automático (no editable). Gris = dato de la pregunta/corrida.</t>
        </is>
      </c>
    </row>
    <row r="3" ht="62" customHeight="1">
      <c r="A3" s="1" t="inlineStr">
        <is>
          <t>Flujo</t>
        </is>
      </c>
      <c r="B3" s="2" t="inlineStr">
        <is>
          <t>1) En Respuestas, lee pregunta, referencia y respuesta del sistema (en RAG, los fragmentos están en Contextos). 2) En Afirmaciones, una fila por afirmación (máx. ~6): qid, modo, texto, tipo, vs_ref, hecho_ref, zona, respaldo, cita_n, fragmento_sostiene. 3) Revisa la columna 'chequeo'. 4) Revisa 'llegó' en Hechos (sobre todo ALT-P). 5) Lee N2/N3/alertas/diagnóstico en Respuestas.</t>
        </is>
      </c>
    </row>
    <row r="4" ht="46" customHeight="1">
      <c r="A4" s="1" t="inlineStr">
        <is>
          <t>tipo</t>
        </is>
      </c>
      <c r="B4" s="2" t="inlineStr">
        <is>
          <t>hecho = afirma algo. abstencion = dice que el contexto o el modelo no tiene la información ('los pasajes no dicen...'). Afirmar que ATT&amp;CK no documenta algo ('ATT&amp;CK no lista...') es un HECHO y puede ser INCORRECTA.</t>
        </is>
      </c>
    </row>
    <row r="5" ht="62" customHeight="1">
      <c r="A5" s="1" t="inlineStr">
        <is>
          <t>vs_ref</t>
        </is>
      </c>
      <c r="B5" s="2" t="inlineStr">
        <is>
          <t>CORRECTA = coincide con la referencia (en una abstención: se abstiene donde debía). INCORRECTA = contradice la referencia (en una abstención: niega algo que la referencia sí contiene). FUERA_REF = ni confirma ni contradice la referencia.</t>
        </is>
      </c>
    </row>
    <row r="6" ht="46" customHeight="1">
      <c r="A6" s="1" t="inlineStr">
        <is>
          <t>hecho_ref</t>
        </is>
      </c>
      <c r="B6" s="2" t="inlineStr">
        <is>
          <t>H# de la hoja Hechos que cubre una afirmación CORRECTA; varios separados por ';' (ej. H2;H3). En INCORRECTA/abstención es opcional (nota).</t>
        </is>
      </c>
    </row>
    <row r="7" ht="30" customHeight="1">
      <c r="A7" s="1" t="inlineStr">
        <is>
          <t>zona</t>
        </is>
      </c>
      <c r="B7" s="2" t="inlineStr">
        <is>
          <t>ref (por defecto) o no_resp si responde a la parte NO respondible. Un hecho FUERA_REF en no_resp genera NO-ABS.</t>
        </is>
      </c>
    </row>
    <row r="8" ht="62" customHeight="1">
      <c r="A8" s="1" t="inlineStr">
        <is>
          <t>respaldo (solo RAG, solo hecho)</t>
        </is>
      </c>
      <c r="B8" s="2" t="inlineStr">
        <is>
          <t>SOSTENIDA = tiene cita [n] y ese fragmento expresa la relación. CITA-X = cita pero ese fragmento no la sostiene. SIN-CITA = sin cita, pero algún fragmento recibido la sostiene. SIN-RESPALDO = ningún fragmento recibido la sostiene (tenga o no cita). Dos nombres en la misma lista no sostienen 'A usa B'.</t>
        </is>
      </c>
    </row>
    <row r="9" ht="62" customHeight="1">
      <c r="A9" s="1" t="inlineStr">
        <is>
          <t>llegó (hoja Hechos)</t>
        </is>
      </c>
      <c r="B9" s="2" t="inlineStr">
        <is>
          <t>Prellenado desde evidence_check.py: SI = llegó un fragmento gold; ALT = llegó evidencia alternativa; ALT-P = solo evidencia parcial (cuenta como NO salvo que la cambies a ALT y lo justifiques en comentario); NO = no llegó. Verifica leyendo Contextos.</t>
        </is>
      </c>
    </row>
    <row r="10" ht="46" customHeight="1">
      <c r="A10" s="1" t="inlineStr">
        <is>
          <t>Códigos</t>
        </is>
      </c>
      <c r="B10" s="2" t="inlineStr">
        <is>
          <t>INC, ABS-E, NO-ABS, SIN-R, CITA-X, SIN-C se derivan de las columnas. Omisiones = hechos de la referencia sin cubrir (cubierto = 0).</t>
        </is>
      </c>
    </row>
    <row r="11" ht="46" customHeight="1">
      <c r="A11" s="1" t="inlineStr">
        <is>
          <t>N2</t>
        </is>
      </c>
      <c r="B11" s="2" t="inlineStr">
        <is>
          <t>H=0: 2 si no hay NO-ABS, si no 0. H&gt;0: 2 si cubre todos y no hay INC/ABS-E/NO-ABS; 0 si no cubre ninguno; 1 en los demás casos. Sin topes.</t>
        </is>
      </c>
    </row>
    <row r="12" ht="30" customHeight="1">
      <c r="A12" s="1" t="inlineStr">
        <is>
          <t>N3</t>
        </is>
      </c>
      <c r="B12" s="2" t="inlineStr">
        <is>
          <t>Solo RAG, sobre afirmaciones de hecho: 2 todas sostenidas; 0 ninguna; 1 parcial; N/A sin afirmaciones de hecho.</t>
        </is>
      </c>
    </row>
    <row r="13" ht="46" customHeight="1">
      <c r="A13" s="1" t="inlineStr">
        <is>
          <t>Alertas</t>
        </is>
      </c>
      <c r="B13" s="2" t="inlineStr">
        <is>
          <t>CRITICA = hay INC, ABS-E o NO-ABS. RESPALDO = hay SIN-R o CITA-X. TRUNC = respuesta truncada por el límite de tokens. No cambian N2 ni N3.</t>
        </is>
      </c>
    </row>
    <row r="14" ht="62" customHeight="1">
      <c r="A14" s="1" t="inlineStr">
        <is>
          <t>Diagnóstico</t>
        </is>
      </c>
      <c r="B14" s="2" t="inlineStr">
        <is>
          <t>Lista: E0 (NO-ABS) · E1 (hecho sin cubrir cuya evidencia no llegó) · E2 (hecho sin cubrir cuya evidencia sí llegó; o INC/ABS-E con todo lo demás llegado) · E3 (SIN-R, CITA-X o SIN-C). OK si no hay ninguno. Modo LLM: solo E0 y E2.</t>
        </is>
      </c>
    </row>
    <row r="15" ht="46" customHeight="1">
      <c r="A15" s="1" t="inlineStr">
        <is>
          <t>Protección</t>
        </is>
      </c>
      <c r="B15" s="2" t="inlineStr">
        <is>
          <t>Las hojas están protegidas SIN contraseña para evitar editar fórmulas por accidente (Revisar &gt; Desproteger hoja). Este archivo nunca se sobrescribe desde el script: guarda copias de seguridad de tus calificaciones.</t>
        </is>
      </c>
    </row>
    <row r="16" ht="62" customHeight="1">
      <c r="A16" s="1" t="inlineStr">
        <is>
          <t>Verificación</t>
        </is>
      </c>
      <c r="B16" s="2" t="inlineStr">
        <is>
          <t>Las fórmulas se evaluaron con un motor independiente (librería Python 'formulas') sobre calificacion_v2_DEMO.xlsx, que trae las 27 afirmaciones de los ejemplos: N2, N3, alertas y diagnóstico de las 8 respuestas coinciden con la columna 'esperado' de Respuestas. No se han abierto todavía en Excel; si algo no calcula en tu Excel, avísalo.</t>
        </is>
      </c>
    </row>
  </sheetData>
  <sheetProtection selectLockedCells="0" selectUnlockedCells="0" sheet="1" objects="0" insertRows="1" insertHyperlinks="1" autoFilter="0" scenarios="0" formatColumns="0" deleteColumns="1" insertColumns="1" pivotTables="1" deleteRows="1" formatCells="1" formatRows="0" sort="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7"/>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6" customWidth="1" min="3" max="3"/>
    <col width="9" customWidth="1" min="4" max="4"/>
    <col width="38" customWidth="1" min="5" max="5"/>
    <col width="38" customWidth="1" min="6" max="6"/>
    <col width="26" customWidth="1" min="7" max="7"/>
    <col width="60" customWidth="1" min="8" max="8"/>
    <col width="8" customWidth="1" min="9" max="9"/>
    <col width="10" customWidth="1" min="10" max="10"/>
    <col width="11" customWidth="1" min="11" max="11"/>
    <col width="7" customWidth="1" min="12" max="12"/>
    <col width="7" customWidth="1" min="13" max="13"/>
    <col width="8" customWidth="1" min="14" max="14"/>
    <col width="9" customWidth="1" min="15" max="15"/>
    <col width="6" customWidth="1" min="16" max="16"/>
    <col width="6" customWidth="1" min="17" max="17"/>
    <col width="7" customWidth="1" min="18" max="18"/>
    <col width="8" customWidth="1" min="19" max="19"/>
    <col width="6" customWidth="1" min="20" max="20"/>
    <col width="7" customWidth="1" min="21" max="21"/>
    <col width="6" customWidth="1" min="22" max="22"/>
    <col width="8" customWidth="1" min="23" max="23"/>
    <col width="9" customWidth="1" min="24" max="24"/>
    <col width="5" customWidth="1" min="25" max="25"/>
    <col width="5" customWidth="1" min="26" max="26"/>
    <col width="22" customWidth="1" min="27" max="27"/>
    <col width="18" customWidth="1" min="28" max="28"/>
    <col width="10" customWidth="1" min="29" max="29"/>
    <col width="9" customWidth="1" min="30" max="30"/>
    <col width="9" customWidth="1" min="31" max="31"/>
    <col width="6" customWidth="1" min="32" max="32"/>
    <col width="6" customWidth="1" min="33" max="33"/>
    <col width="36" customWidth="1" min="34" max="34"/>
  </cols>
  <sheetData>
    <row r="1" ht="34" customHeight="1">
      <c r="A1" s="3" t="inlineStr">
        <is>
          <t>qid</t>
        </is>
      </c>
      <c r="B1" s="3" t="inlineStr">
        <is>
          <t>modo</t>
        </is>
      </c>
      <c r="C1" s="3" t="inlineStr">
        <is>
          <t>idioma</t>
        </is>
      </c>
      <c r="D1" s="3" t="inlineStr">
        <is>
          <t>N0 corpus</t>
        </is>
      </c>
      <c r="E1" s="3" t="inlineStr">
        <is>
          <t>pregunta</t>
        </is>
      </c>
      <c r="F1" s="3" t="inlineStr">
        <is>
          <t>respuesta de referencia</t>
        </is>
      </c>
      <c r="G1" s="3" t="inlineStr">
        <is>
          <t>parte NO respondible</t>
        </is>
      </c>
      <c r="H1" s="3" t="inlineStr">
        <is>
          <t>RESPUESTA DEL SISTEMA</t>
        </is>
      </c>
      <c r="I1" s="3" t="inlineStr">
        <is>
          <t>truncada</t>
        </is>
      </c>
      <c r="J1" s="3" t="inlineStr">
        <is>
          <t>N1 (auto)</t>
        </is>
      </c>
      <c r="K1" s="3" t="inlineStr">
        <is>
          <t>hechos llegaron (auto)</t>
        </is>
      </c>
      <c r="L1" s="3" t="inlineStr">
        <is>
          <t>n afirm.</t>
        </is>
      </c>
      <c r="M1" s="3" t="inlineStr">
        <is>
          <t>hechos H</t>
        </is>
      </c>
      <c r="N1" s="3" t="inlineStr">
        <is>
          <t>cubiertos C</t>
        </is>
      </c>
      <c r="O1" s="3" t="inlineStr">
        <is>
          <t>cobertura</t>
        </is>
      </c>
      <c r="P1" s="3" t="inlineStr">
        <is>
          <t>INC</t>
        </is>
      </c>
      <c r="Q1" s="3" t="inlineStr">
        <is>
          <t>ABS-E</t>
        </is>
      </c>
      <c r="R1" s="3" t="inlineStr">
        <is>
          <t>NO-ABS</t>
        </is>
      </c>
      <c r="S1" s="3" t="inlineStr">
        <is>
          <t>FUERA_REF</t>
        </is>
      </c>
      <c r="T1" s="3" t="inlineStr">
        <is>
          <t>SIN-R</t>
        </is>
      </c>
      <c r="U1" s="3" t="inlineStr">
        <is>
          <t>CITA-X</t>
        </is>
      </c>
      <c r="V1" s="3" t="inlineStr">
        <is>
          <t>SIN-C</t>
        </is>
      </c>
      <c r="W1" s="3" t="inlineStr">
        <is>
          <t>afirm. de hecho</t>
        </is>
      </c>
      <c r="X1" s="3" t="inlineStr">
        <is>
          <t>de hecho sostenidas</t>
        </is>
      </c>
      <c r="Y1" s="3" t="inlineStr">
        <is>
          <t>N2</t>
        </is>
      </c>
      <c r="Z1" s="3" t="inlineStr">
        <is>
          <t>N3</t>
        </is>
      </c>
      <c r="AA1" s="3" t="inlineStr">
        <is>
          <t>alertas</t>
        </is>
      </c>
      <c r="AB1" s="3" t="inlineStr">
        <is>
          <t>diagnóstico (lista)</t>
        </is>
      </c>
      <c r="AC1" s="3" t="inlineStr">
        <is>
          <t>primer eslabón</t>
        </is>
      </c>
      <c r="AD1" s="3" t="inlineStr">
        <is>
          <t>precisión citas</t>
        </is>
      </c>
      <c r="AE1" s="3" t="inlineStr">
        <is>
          <t>cobertura citas</t>
        </is>
      </c>
      <c r="AF1" s="3" t="inlineStr">
        <is>
          <t>aux E1</t>
        </is>
      </c>
      <c r="AG1" s="3" t="inlineStr">
        <is>
          <t>aux E2</t>
        </is>
      </c>
      <c r="AH1" s="3" t="inlineStr">
        <is>
          <t>comentario</t>
        </is>
      </c>
    </row>
    <row r="2" ht="150" customHeight="1">
      <c r="A2" s="4" t="inlineStr">
        <is>
          <t>p01</t>
        </is>
      </c>
      <c r="B2" s="4" t="inlineStr">
        <is>
          <t>rag</t>
        </is>
      </c>
      <c r="C2" s="4" t="inlineStr">
        <is>
          <t>ES</t>
        </is>
      </c>
      <c r="D2" s="4" t="inlineStr">
        <is>
          <t>completa</t>
        </is>
      </c>
      <c r="E2" s="4" t="inlineStr">
        <is>
          <t>¿Qué mitigaciones propone ATT&amp;CK para la sub-técnica T1059.001 PowerShell y en qué consiste cada una?</t>
        </is>
      </c>
      <c r="F2" s="4" t="inlineStr">
        <is>
          <t>ATT&amp;CK lista cinco mitigaciones para T1059.001: M1038 Execution Prevention (control de aplicaciones y PowerShell Constrained Language Mode), M1045 Code Signing (política de ejecución sólo de scripts firmados), M1026 Privileged Account Management (restringir la ejecución a administradores; JEA para limitar comandos), M1049 Antivirus/Antimalware (cuarentena automática de archivos sospechosos) y M1042 Disable or Remove Feature or Program (eliminar PowerShell donde no se necesite y deshabilitar/restringir WinRM).</t>
        </is>
      </c>
      <c r="G2" s="4" t="inlineStr"/>
      <c r="H2" s="4" t="inlineStr">
        <is>
          <t>No se proporciona información en los contextos pasados sobre mitigaciones específicas para la sub-técnica T1059.001 PowerShell. Por lo tanto, no se puede responder a la pregunta con base en los datos ofrecidos.</t>
        </is>
      </c>
      <c r="I2" s="5" t="inlineStr">
        <is>
          <t>NO</t>
        </is>
      </c>
      <c r="J2" s="5" t="inlineStr">
        <is>
          <t>NINGUNA</t>
        </is>
      </c>
      <c r="K2" s="5" t="inlineStr">
        <is>
          <t>0/5</t>
        </is>
      </c>
      <c r="L2" s="5">
        <f>COUNTIFS(Afirmaciones!$A$2:$A$401,$A2,Afirmaciones!$B$2:$B$401,$B2)</f>
        <v/>
      </c>
      <c r="M2" s="5">
        <f>COUNTIFS(Hechos!$A$2:$A$201,$A2)</f>
        <v/>
      </c>
      <c r="N2" s="5">
        <f>IF($B2="rag",SUMIFS(Hechos!$F$2:$F$201,Hechos!$A$2:$A$201,$A2),SUMIFS(Hechos!$G$2:$G$201,Hechos!$A$2:$A$201,$A2))</f>
        <v/>
      </c>
      <c r="O2" s="5">
        <f>IF($M2=0,"-",$N2&amp;"/"&amp;$M2)</f>
        <v/>
      </c>
      <c r="P2" s="5">
        <f>COUNTIFS(Afirmaciones!$A$2:$A$401,$A2,Afirmaciones!$B$2:$B$401,$B2,Afirmaciones!$E$2:$E$401,"hecho",Afirmaciones!$F$2:$F$401,"INCORRECTA")</f>
        <v/>
      </c>
      <c r="Q2" s="5">
        <f>COUNTIFS(Afirmaciones!$A$2:$A$401,$A2,Afirmaciones!$B$2:$B$401,$B2,Afirmaciones!$E$2:$E$401,"abstencion",Afirmaciones!$F$2:$F$401,"INCORRECTA")</f>
        <v/>
      </c>
      <c r="R2" s="5">
        <f>COUNTIFS(Afirmaciones!$A$2:$A$401,$A2,Afirmaciones!$B$2:$B$401,$B2,Afirmaciones!$E$2:$E$401,"hecho",Afirmaciones!$F$2:$F$401,"FUERA_REF",Afirmaciones!$H$2:$H$401,"no_resp")</f>
        <v/>
      </c>
      <c r="S2" s="5">
        <f>COUNTIFS(Afirmaciones!$A$2:$A$401,$A2,Afirmaciones!$B$2:$B$401,$B2,Afirmaciones!$E$2:$E$401,"hecho",Afirmaciones!$F$2:$F$401,"FUERA_REF")</f>
        <v/>
      </c>
      <c r="T2" s="5">
        <f>COUNTIFS(Afirmaciones!$A$2:$A$401,$A2,Afirmaciones!$B$2:$B$401,$B2,Afirmaciones!$E$2:$E$401,"hecho",Afirmaciones!$I$2:$I$401,"SIN-RESPALDO")</f>
        <v/>
      </c>
      <c r="U2" s="5">
        <f>COUNTIFS(Afirmaciones!$A$2:$A$401,$A2,Afirmaciones!$B$2:$B$401,$B2,Afirmaciones!$E$2:$E$401,"hecho",Afirmaciones!$I$2:$I$401,"CITA-X")</f>
        <v/>
      </c>
      <c r="V2" s="5">
        <f>COUNTIFS(Afirmaciones!$A$2:$A$401,$A2,Afirmaciones!$B$2:$B$401,$B2,Afirmaciones!$E$2:$E$401,"hecho",Afirmaciones!$I$2:$I$401,"SIN-CITA")</f>
        <v/>
      </c>
      <c r="W2" s="5">
        <f>COUNTIFS(Afirmaciones!$A$2:$A$401,$A2,Afirmaciones!$B$2:$B$401,$B2,Afirmaciones!$E$2:$E$401,"hecho")</f>
        <v/>
      </c>
      <c r="X2" s="5">
        <f>COUNTIFS(Afirmaciones!$A$2:$A$401,$A2,Afirmaciones!$B$2:$B$401,$B2,Afirmaciones!$E$2:$E$401,"hecho",Afirmaciones!$I$2:$I$401,"SOSTENIDA")</f>
        <v/>
      </c>
      <c r="Y2" s="5">
        <f>IF($L2=0,"",IF($M2=0,IF($R2&gt;0,0,2),IF(AND($N2=$M2,$P2+$Q2+$R2=0),2,IF($N2=0,0,1))))</f>
        <v/>
      </c>
      <c r="Z2" s="5">
        <f>IF($L2=0,"",IF($B2="llm","N/A",IF($W2=0,"N/A",IF($X2=$W2,2,IF($X2=0,0,1)))))</f>
        <v/>
      </c>
      <c r="AA2" s="5">
        <f>IF($L2=0,"",IF(AND($P2+$Q2+$R2=0,$T2+$U2=0,$I2&lt;&gt;"SI"),"-",TRIM(IF($P2+$Q2+$R2&gt;0,"CRITICA ","")&amp;IF($T2+$U2&gt;0,"RESPALDO ","")&amp;IF($I2="SI","TRUNC",""))))</f>
        <v/>
      </c>
      <c r="AB2" s="5">
        <f>IF($L2=0,"",IF(AND($R2=0,$AF2=0,$AG2=0,$P2+$Q2=0,$T2+$U2+$V2=0),"OK",TRIM(IF($R2&gt;0,"E0 ","")&amp;IF($AF2&gt;0,"E1 ","")&amp;IF(OR($AG2&gt;0,AND($P2+$Q2&gt;0,$AF2=0)),"E2 ","")&amp;IF($T2+$U2+$V2&gt;0,"E3 ",""))))</f>
        <v/>
      </c>
      <c r="AC2" s="5">
        <f>IF($AB2="","",IF($AB2="OK","OK",LEFT($AB2,2)))</f>
        <v/>
      </c>
      <c r="AD2" s="5">
        <f>IF(OR($L2=0,$B2="llm",$W2=0),"-",$X2&amp;"/"&amp;$W2)</f>
        <v/>
      </c>
      <c r="AE2" s="5">
        <f>IF(OR($L2=0,$B2&lt;&gt;"rag",$M2=0),"-",SUMIFS(Hechos!$H$2:$H$201,Hechos!$A$2:$A$201,$A2)&amp;"/"&amp;$M2)</f>
        <v/>
      </c>
      <c r="AF2" s="5">
        <f>IF($B2="rag",SUMPRODUCT((Hechos!$A$2:$A$201=$A2)*(Hechos!$F$2:$F$201=0)*((Hechos!$E$2:$E$201="NO")+(Hechos!$E$2:$E$201="ALT-P")+(Hechos!$E$2:$E$201=""))),0)</f>
        <v/>
      </c>
      <c r="AG2" s="5">
        <f>IF($B2="rag",SUMPRODUCT((Hechos!$A$2:$A$201=$A2)*(Hechos!$F$2:$F$201=0)*((Hechos!$E$2:$E$201="SI")+(Hechos!$E$2:$E$201="ALT"))),$M2-$N2)</f>
        <v/>
      </c>
      <c r="AH2" s="6" t="n"/>
    </row>
    <row r="3" ht="150" customHeight="1">
      <c r="A3" s="4" t="inlineStr">
        <is>
          <t>p01</t>
        </is>
      </c>
      <c r="B3" s="4" t="inlineStr">
        <is>
          <t>llm</t>
        </is>
      </c>
      <c r="C3" s="4" t="inlineStr">
        <is>
          <t>ES</t>
        </is>
      </c>
      <c r="D3" s="4" t="inlineStr">
        <is>
          <t>completa</t>
        </is>
      </c>
      <c r="E3" s="4" t="inlineStr">
        <is>
          <t>¿Qué mitigaciones propone ATT&amp;CK para la sub-técnica T1059.001 PowerShell y en qué consiste cada una?</t>
        </is>
      </c>
      <c r="F3" s="4" t="inlineStr">
        <is>
          <t>ATT&amp;CK lista cinco mitigaciones para T1059.001: M1038 Execution Prevention (control de aplicaciones y PowerShell Constrained Language Mode), M1045 Code Signing (política de ejecución sólo de scripts firmados), M1026 Privileged Account Management (restringir la ejecución a administradores; JEA para limitar comandos), M1049 Antivirus/Antimalware (cuarentena automática de archivos sospechosos) y M1042 Disable or Remove Feature or Program (eliminar PowerShell donde no se necesite y deshabilitar/restringir WinRM).</t>
        </is>
      </c>
      <c r="G3" s="4" t="inlineStr"/>
      <c r="H3" s="4" t="inlineStr">
        <is>
          <t>La sub-técnica **T1059.001** de ATT&amp;CK se refiere a **"Command and Scripting Interpreter"** con el enfoque específico de **PowerShell** (uso de PowerShell para ejecutar comandos y scripts). Aunque ATT&amp;CK no proporciona una lista detallada de "mitigaciones" en el sentido de soluciones técnicas específicas para cada sub-técnica, sí ofrece **recomendaciones de mitigación** basadas en buenas prácticas de seguridad y en el contexto de detección y prevención.
A continuación, se presentan las **mitigaciones propuestas o recomendadas** para T1059.001 (PowerShell), junto con una explicación de cada una:
---
### 1. **Restricción de ejecución de PowerShell**
- **Qué consiste**: Limitar el uso de PowerShell a entornos de ejecución seguros (por ejemplo, solo en modo "Restricted" o "RemoteSigned") y evitar que se ejecute scripts no firmados.
- **Por qué ayuda**: El modo "Restricted" bloquea la ejecución de scripts, lo que impide que un atacante ejecute código malicioso a través de PowerShell.
- **Ejemplo**: Configurar el registro de Windows para que PowerShell solo permita comandos interactivos y no scripts.
---
### 2. **Uso de firmas digitales y validación de scripts**
- **Qué consiste**: Requerir que los scripts PowerShell estén firmados por un certificado de firma válida antes de que se ejecuten.
- **Por qué ayuda**: Los scripts firmados son más fáciles de verificar y reducen el riesgo de ejecutar código malicioso.
- **Ejemplo**: Configurar el sistema para que solo se permita la ejecución de scripts firmados (usando el parámetro `-ExecutionPolicy` en PowerShell).
---
### 3. **Monitoreo y auditoría de comandos PowerShell**
- **Qué consiste**: Implementar herramientas de detección que monitoren los comandos ejecutados en PowerShell (por ejemplo, registros de eventos del sistema).
- **Por qué ayuda**: Permite detectar comportamientos sospechosos, como comandos que no son típicos de uso normal.
- **Ejemplo**: Usar herramientas como **Windows Event Logs (Event ID 4688)** o **SIEM** (como Splunk, QRadar) para analizar comandos ejecutados.
---
### 或 4. **Detección de comportamientos anómalos**
- **Qué consiste**: Aplicar análisis de comportamiento para detectar actividades inusuales, como la ejecución de comandos en horarios fuera de lo normal o en entornos no autorizados.
- **Por qué ayuda**: Aunque el atacante pueda ejecutar PowerShell, su comportamiento puede ser detectado como anómalo.
- **Ejemplo**: Detección de comandos como `Invoke-Expression`, `IEX`, o `System.Net.WebClient` que se usan comúnmente en ataques.
---
### 5. **Control de acceso y políticas de grupo (Group Policy)**
- **Qué consiste**: Aplicar políticas de grupo que limiten el acceso a PowerShell y a los permisos de ejecución.
- **Por qué ayuda**: Reduce el riesgo de que usuarios no autorizados o maliciosos puedan ejecutar PowerShell.
- **Ejemplo**: Configurar políticas de grupo para que solo los usuarios autorizados puedan ejecutar PowerShell.
---
### 6. **Uso de alternativas seguras a PowerShell**
- **Qué consiste**: En entornos críticos, usar herramientas más seguras como **Windows Command Prompt**, **batch files**, o **PowerShell con ejecución restringida**.
- **Por qué ayuda**: Reduce la superficie de ataque al evitar el uso de PowerShell en entornos sensibles.
---
### Nota importante:
ATT&amp;CK no proporciona una lista oficial de "mitigaciones" como un documento técnico detallado. Las mencionadas anteriormente son **recomendaciones basadas en buenas prácticas de seguridad** y en el marco de la estrategia de mitigación de la sub-técnica T1059.001.
---
✅ **Resumen**:
| Mitigación | Descripción |
|----------|-------------|
| Restricción de ejecución | Usar modos seguros (ej. Restricted) en PowerShell |
| Firmas digitales | Requerir firmas válidas para scripts |
| Monitoreo de eventos | Auditar comandos ejecutados en PowerShell</t>
        </is>
      </c>
      <c r="I3" s="5" t="inlineStr">
        <is>
          <t>SI</t>
        </is>
      </c>
      <c r="J3" s="5" t="n"/>
      <c r="K3" s="5" t="n"/>
      <c r="L3" s="5">
        <f>COUNTIFS(Afirmaciones!$A$2:$A$401,$A3,Afirmaciones!$B$2:$B$401,$B3)</f>
        <v/>
      </c>
      <c r="M3" s="5">
        <f>COUNTIFS(Hechos!$A$2:$A$201,$A3)</f>
        <v/>
      </c>
      <c r="N3" s="5">
        <f>IF($B3="rag",SUMIFS(Hechos!$F$2:$F$201,Hechos!$A$2:$A$201,$A3),SUMIFS(Hechos!$G$2:$G$201,Hechos!$A$2:$A$201,$A3))</f>
        <v/>
      </c>
      <c r="O3" s="5">
        <f>IF($M3=0,"-",$N3&amp;"/"&amp;$M3)</f>
        <v/>
      </c>
      <c r="P3" s="5">
        <f>COUNTIFS(Afirmaciones!$A$2:$A$401,$A3,Afirmaciones!$B$2:$B$401,$B3,Afirmaciones!$E$2:$E$401,"hecho",Afirmaciones!$F$2:$F$401,"INCORRECTA")</f>
        <v/>
      </c>
      <c r="Q3" s="5">
        <f>COUNTIFS(Afirmaciones!$A$2:$A$401,$A3,Afirmaciones!$B$2:$B$401,$B3,Afirmaciones!$E$2:$E$401,"abstencion",Afirmaciones!$F$2:$F$401,"INCORRECTA")</f>
        <v/>
      </c>
      <c r="R3" s="5">
        <f>COUNTIFS(Afirmaciones!$A$2:$A$401,$A3,Afirmaciones!$B$2:$B$401,$B3,Afirmaciones!$E$2:$E$401,"hecho",Afirmaciones!$F$2:$F$401,"FUERA_REF",Afirmaciones!$H$2:$H$401,"no_resp")</f>
        <v/>
      </c>
      <c r="S3" s="5">
        <f>COUNTIFS(Afirmaciones!$A$2:$A$401,$A3,Afirmaciones!$B$2:$B$401,$B3,Afirmaciones!$E$2:$E$401,"hecho",Afirmaciones!$F$2:$F$401,"FUERA_REF")</f>
        <v/>
      </c>
      <c r="T3" s="5">
        <f>COUNTIFS(Afirmaciones!$A$2:$A$401,$A3,Afirmaciones!$B$2:$B$401,$B3,Afirmaciones!$E$2:$E$401,"hecho",Afirmaciones!$I$2:$I$401,"SIN-RESPALDO")</f>
        <v/>
      </c>
      <c r="U3" s="5">
        <f>COUNTIFS(Afirmaciones!$A$2:$A$401,$A3,Afirmaciones!$B$2:$B$401,$B3,Afirmaciones!$E$2:$E$401,"hecho",Afirmaciones!$I$2:$I$401,"CITA-X")</f>
        <v/>
      </c>
      <c r="V3" s="5">
        <f>COUNTIFS(Afirmaciones!$A$2:$A$401,$A3,Afirmaciones!$B$2:$B$401,$B3,Afirmaciones!$E$2:$E$401,"hecho",Afirmaciones!$I$2:$I$401,"SIN-CITA")</f>
        <v/>
      </c>
      <c r="W3" s="5">
        <f>COUNTIFS(Afirmaciones!$A$2:$A$401,$A3,Afirmaciones!$B$2:$B$401,$B3,Afirmaciones!$E$2:$E$401,"hecho")</f>
        <v/>
      </c>
      <c r="X3" s="5">
        <f>COUNTIFS(Afirmaciones!$A$2:$A$401,$A3,Afirmaciones!$B$2:$B$401,$B3,Afirmaciones!$E$2:$E$401,"hecho",Afirmaciones!$I$2:$I$401,"SOSTENIDA")</f>
        <v/>
      </c>
      <c r="Y3" s="5">
        <f>IF($L3=0,"",IF($M3=0,IF($R3&gt;0,0,2),IF(AND($N3=$M3,$P3+$Q3+$R3=0),2,IF($N3=0,0,1))))</f>
        <v/>
      </c>
      <c r="Z3" s="5">
        <f>IF($L3=0,"",IF($B3="llm","N/A",IF($W3=0,"N/A",IF($X3=$W3,2,IF($X3=0,0,1)))))</f>
        <v/>
      </c>
      <c r="AA3" s="5">
        <f>IF($L3=0,"",IF(AND($P3+$Q3+$R3=0,$T3+$U3=0,$I3&lt;&gt;"SI"),"-",TRIM(IF($P3+$Q3+$R3&gt;0,"CRITICA ","")&amp;IF($T3+$U3&gt;0,"RESPALDO ","")&amp;IF($I3="SI","TRUNC",""))))</f>
        <v/>
      </c>
      <c r="AB3" s="5">
        <f>IF($L3=0,"",IF(AND($R3=0,$AF3=0,$AG3=0,$P3+$Q3=0,$T3+$U3+$V3=0),"OK",TRIM(IF($R3&gt;0,"E0 ","")&amp;IF($AF3&gt;0,"E1 ","")&amp;IF(OR($AG3&gt;0,AND($P3+$Q3&gt;0,$AF3=0)),"E2 ","")&amp;IF($T3+$U3+$V3&gt;0,"E3 ",""))))</f>
        <v/>
      </c>
      <c r="AC3" s="5">
        <f>IF($AB3="","",IF($AB3="OK","OK",LEFT($AB3,2)))</f>
        <v/>
      </c>
      <c r="AD3" s="5">
        <f>IF(OR($L3=0,$B3="llm",$W3=0),"-",$X3&amp;"/"&amp;$W3)</f>
        <v/>
      </c>
      <c r="AE3" s="5">
        <f>IF(OR($L3=0,$B3&lt;&gt;"rag",$M3=0),"-",SUMIFS(Hechos!$H$2:$H$201,Hechos!$A$2:$A$201,$A3)&amp;"/"&amp;$M3)</f>
        <v/>
      </c>
      <c r="AF3" s="5">
        <f>IF($B3="rag",SUMPRODUCT((Hechos!$A$2:$A$201=$A3)*(Hechos!$F$2:$F$201=0)*((Hechos!$E$2:$E$201="NO")+(Hechos!$E$2:$E$201="ALT-P")+(Hechos!$E$2:$E$201=""))),0)</f>
        <v/>
      </c>
      <c r="AG3" s="5">
        <f>IF($B3="rag",SUMPRODUCT((Hechos!$A$2:$A$201=$A3)*(Hechos!$F$2:$F$201=0)*((Hechos!$E$2:$E$201="SI")+(Hechos!$E$2:$E$201="ALT"))),$M3-$N3)</f>
        <v/>
      </c>
      <c r="AH3" s="6" t="n"/>
    </row>
    <row r="4" ht="150" customHeight="1">
      <c r="A4" s="4" t="inlineStr">
        <is>
          <t>p02</t>
        </is>
      </c>
      <c r="B4" s="4" t="inlineStr">
        <is>
          <t>rag</t>
        </is>
      </c>
      <c r="C4" s="4" t="inlineStr">
        <is>
          <t>EN</t>
        </is>
      </c>
      <c r="D4" s="4" t="inlineStr">
        <is>
          <t>completa</t>
        </is>
      </c>
      <c r="E4" s="4" t="inlineStr">
        <is>
          <t>According to ATT&amp;CK, which tactic does Phishing (T1566) belong to and what are its four sub-techniques?</t>
        </is>
      </c>
      <c r="F4" s="4" t="inlineStr">
        <is>
          <t>Phishing belongs to the Initial Access tactic. Its four sub-techniques are T1566.001 Spearphishing Attachment, T1566.002 Spearphishing Link, T1566.003 Spearphishing via Service and T1566.004 Spearphishing Voice.</t>
        </is>
      </c>
      <c r="G4" s="4" t="inlineStr"/>
      <c r="H4" s="4" t="inlineStr">
        <is>
          <t>According to ATT&amp;CK, Phishing (T1566) belongs to the tactic **Initial Access** [4].
The context does not list four sub-techniques of T1566. It mentions the following sub-techniques:
- T1566.004 - Spearphishing Voice [3]
- T1566.001 - Social Media Accounts [1]
- T1566.002 - Email Accounts [1]
- T1566.003 - Cloud Accounts [1]
However, only three of these are explicitly listed as sub-techniques of T1566 in the provided context. There is no mention of a fourth sub-technique.
Therefore, based on the provided context, Phishing (T1566) belongs to the **Initial Access** tactic, and its sub-techniques are:
- T1566.001 Social Media Accounts  
- T1566.002 Email Accounts  
- T1566.003 Cloud Accounts  
- T1566.004 Spearphishing Voice  
[1][3][4]</t>
        </is>
      </c>
      <c r="I4" s="5" t="inlineStr">
        <is>
          <t>NO</t>
        </is>
      </c>
      <c r="J4" s="5" t="inlineStr">
        <is>
          <t>PARTE</t>
        </is>
      </c>
      <c r="K4" s="5" t="inlineStr">
        <is>
          <t>1/5</t>
        </is>
      </c>
      <c r="L4" s="5">
        <f>COUNTIFS(Afirmaciones!$A$2:$A$401,$A4,Afirmaciones!$B$2:$B$401,$B4)</f>
        <v/>
      </c>
      <c r="M4" s="5">
        <f>COUNTIFS(Hechos!$A$2:$A$201,$A4)</f>
        <v/>
      </c>
      <c r="N4" s="5">
        <f>IF($B4="rag",SUMIFS(Hechos!$F$2:$F$201,Hechos!$A$2:$A$201,$A4),SUMIFS(Hechos!$G$2:$G$201,Hechos!$A$2:$A$201,$A4))</f>
        <v/>
      </c>
      <c r="O4" s="5">
        <f>IF($M4=0,"-",$N4&amp;"/"&amp;$M4)</f>
        <v/>
      </c>
      <c r="P4" s="5">
        <f>COUNTIFS(Afirmaciones!$A$2:$A$401,$A4,Afirmaciones!$B$2:$B$401,$B4,Afirmaciones!$E$2:$E$401,"hecho",Afirmaciones!$F$2:$F$401,"INCORRECTA")</f>
        <v/>
      </c>
      <c r="Q4" s="5">
        <f>COUNTIFS(Afirmaciones!$A$2:$A$401,$A4,Afirmaciones!$B$2:$B$401,$B4,Afirmaciones!$E$2:$E$401,"abstencion",Afirmaciones!$F$2:$F$401,"INCORRECTA")</f>
        <v/>
      </c>
      <c r="R4" s="5">
        <f>COUNTIFS(Afirmaciones!$A$2:$A$401,$A4,Afirmaciones!$B$2:$B$401,$B4,Afirmaciones!$E$2:$E$401,"hecho",Afirmaciones!$F$2:$F$401,"FUERA_REF",Afirmaciones!$H$2:$H$401,"no_resp")</f>
        <v/>
      </c>
      <c r="S4" s="5">
        <f>COUNTIFS(Afirmaciones!$A$2:$A$401,$A4,Afirmaciones!$B$2:$B$401,$B4,Afirmaciones!$E$2:$E$401,"hecho",Afirmaciones!$F$2:$F$401,"FUERA_REF")</f>
        <v/>
      </c>
      <c r="T4" s="5">
        <f>COUNTIFS(Afirmaciones!$A$2:$A$401,$A4,Afirmaciones!$B$2:$B$401,$B4,Afirmaciones!$E$2:$E$401,"hecho",Afirmaciones!$I$2:$I$401,"SIN-RESPALDO")</f>
        <v/>
      </c>
      <c r="U4" s="5">
        <f>COUNTIFS(Afirmaciones!$A$2:$A$401,$A4,Afirmaciones!$B$2:$B$401,$B4,Afirmaciones!$E$2:$E$401,"hecho",Afirmaciones!$I$2:$I$401,"CITA-X")</f>
        <v/>
      </c>
      <c r="V4" s="5">
        <f>COUNTIFS(Afirmaciones!$A$2:$A$401,$A4,Afirmaciones!$B$2:$B$401,$B4,Afirmaciones!$E$2:$E$401,"hecho",Afirmaciones!$I$2:$I$401,"SIN-CITA")</f>
        <v/>
      </c>
      <c r="W4" s="5">
        <f>COUNTIFS(Afirmaciones!$A$2:$A$401,$A4,Afirmaciones!$B$2:$B$401,$B4,Afirmaciones!$E$2:$E$401,"hecho")</f>
        <v/>
      </c>
      <c r="X4" s="5">
        <f>COUNTIFS(Afirmaciones!$A$2:$A$401,$A4,Afirmaciones!$B$2:$B$401,$B4,Afirmaciones!$E$2:$E$401,"hecho",Afirmaciones!$I$2:$I$401,"SOSTENIDA")</f>
        <v/>
      </c>
      <c r="Y4" s="5">
        <f>IF($L4=0,"",IF($M4=0,IF($R4&gt;0,0,2),IF(AND($N4=$M4,$P4+$Q4+$R4=0),2,IF($N4=0,0,1))))</f>
        <v/>
      </c>
      <c r="Z4" s="5">
        <f>IF($L4=0,"",IF($B4="llm","N/A",IF($W4=0,"N/A",IF($X4=$W4,2,IF($X4=0,0,1)))))</f>
        <v/>
      </c>
      <c r="AA4" s="5">
        <f>IF($L4=0,"",IF(AND($P4+$Q4+$R4=0,$T4+$U4=0,$I4&lt;&gt;"SI"),"-",TRIM(IF($P4+$Q4+$R4&gt;0,"CRITICA ","")&amp;IF($T4+$U4&gt;0,"RESPALDO ","")&amp;IF($I4="SI","TRUNC",""))))</f>
        <v/>
      </c>
      <c r="AB4" s="5">
        <f>IF($L4=0,"",IF(AND($R4=0,$AF4=0,$AG4=0,$P4+$Q4=0,$T4+$U4+$V4=0),"OK",TRIM(IF($R4&gt;0,"E0 ","")&amp;IF($AF4&gt;0,"E1 ","")&amp;IF(OR($AG4&gt;0,AND($P4+$Q4&gt;0,$AF4=0)),"E2 ","")&amp;IF($T4+$U4+$V4&gt;0,"E3 ",""))))</f>
        <v/>
      </c>
      <c r="AC4" s="5">
        <f>IF($AB4="","",IF($AB4="OK","OK",LEFT($AB4,2)))</f>
        <v/>
      </c>
      <c r="AD4" s="5">
        <f>IF(OR($L4=0,$B4="llm",$W4=0),"-",$X4&amp;"/"&amp;$W4)</f>
        <v/>
      </c>
      <c r="AE4" s="5">
        <f>IF(OR($L4=0,$B4&lt;&gt;"rag",$M4=0),"-",SUMIFS(Hechos!$H$2:$H$201,Hechos!$A$2:$A$201,$A4)&amp;"/"&amp;$M4)</f>
        <v/>
      </c>
      <c r="AF4" s="5">
        <f>IF($B4="rag",SUMPRODUCT((Hechos!$A$2:$A$201=$A4)*(Hechos!$F$2:$F$201=0)*((Hechos!$E$2:$E$201="NO")+(Hechos!$E$2:$E$201="ALT-P")+(Hechos!$E$2:$E$201=""))),0)</f>
        <v/>
      </c>
      <c r="AG4" s="5">
        <f>IF($B4="rag",SUMPRODUCT((Hechos!$A$2:$A$201=$A4)*(Hechos!$F$2:$F$201=0)*((Hechos!$E$2:$E$201="SI")+(Hechos!$E$2:$E$201="ALT"))),$M4-$N4)</f>
        <v/>
      </c>
      <c r="AH4" s="6" t="n"/>
    </row>
    <row r="5" ht="150" customHeight="1">
      <c r="A5" s="4" t="inlineStr">
        <is>
          <t>p02</t>
        </is>
      </c>
      <c r="B5" s="4" t="inlineStr">
        <is>
          <t>llm</t>
        </is>
      </c>
      <c r="C5" s="4" t="inlineStr">
        <is>
          <t>EN</t>
        </is>
      </c>
      <c r="D5" s="4" t="inlineStr">
        <is>
          <t>completa</t>
        </is>
      </c>
      <c r="E5" s="4" t="inlineStr">
        <is>
          <t>According to ATT&amp;CK, which tactic does Phishing (T1566) belong to and what are its four sub-techniques?</t>
        </is>
      </c>
      <c r="F5" s="4" t="inlineStr">
        <is>
          <t>Phishing belongs to the Initial Access tactic. Its four sub-techniques are T1566.001 Spearphishing Attachment, T1566.002 Spearphishing Link, T1566.003 Spearphishing via Service and T1566.004 Spearphishing Voice.</t>
        </is>
      </c>
      <c r="G5" s="4" t="inlineStr"/>
      <c r="H5" s="4" t="inlineStr">
        <is>
          <t>Phishing (T1566) belongs to the **Tactic: Initial Access** in the MITRE ATT&amp;CK framework.
However, it's important to clarify: **T1566 is not a tactic** — it is a **technique**. The correct categorization is:
- **Tactic**: Initial Access  
- **Technique**: T1566 – Phishing
T1566 – Phishing is a technique under the **Initial Access** tactic.
Regarding sub-techniques of T1566 (Phishing), MITRE ATT&amp;CK does **not** define four distinct sub-techniques under T1566. Instead, T1566 is a single technique with various **sub-techniques** (or forms) that describe different types of phishing, such as:
- T1566.001 – Spear Phishing Email  
- T1566.002 – Phishing Website  
- T1566.003 – Phishing SMS (Smishing)  
- T1566.004 – Phishing via Voice (Vishing)
Thus, the four sub-techniques of T1566 are:
- T1566.001 – Spear Phishing Email  
- T1566.002 – Phishing Website  
- T1566.003 – Phishing SMS (Smishing)  
- T1566.004 – Phishing via Voice (Vishing)
✅ Final Answer:
According to ATT&amp;CK, Phishing (T1566) belongs to the **Initial Access** tactic. Its four sub-techniques are:
- T1566.001 – Spear Phishing Email  
- T1566.002 – Phishing Website  
- T1566.003 – Phishing SMS (Smishing)  
- T1566.004 – Phishing via Voice (Vishing)</t>
        </is>
      </c>
      <c r="I5" s="5" t="inlineStr">
        <is>
          <t>NO</t>
        </is>
      </c>
      <c r="J5" s="5" t="n"/>
      <c r="K5" s="5" t="n"/>
      <c r="L5" s="5">
        <f>COUNTIFS(Afirmaciones!$A$2:$A$401,$A5,Afirmaciones!$B$2:$B$401,$B5)</f>
        <v/>
      </c>
      <c r="M5" s="5">
        <f>COUNTIFS(Hechos!$A$2:$A$201,$A5)</f>
        <v/>
      </c>
      <c r="N5" s="5">
        <f>IF($B5="rag",SUMIFS(Hechos!$F$2:$F$201,Hechos!$A$2:$A$201,$A5),SUMIFS(Hechos!$G$2:$G$201,Hechos!$A$2:$A$201,$A5))</f>
        <v/>
      </c>
      <c r="O5" s="5">
        <f>IF($M5=0,"-",$N5&amp;"/"&amp;$M5)</f>
        <v/>
      </c>
      <c r="P5" s="5">
        <f>COUNTIFS(Afirmaciones!$A$2:$A$401,$A5,Afirmaciones!$B$2:$B$401,$B5,Afirmaciones!$E$2:$E$401,"hecho",Afirmaciones!$F$2:$F$401,"INCORRECTA")</f>
        <v/>
      </c>
      <c r="Q5" s="5">
        <f>COUNTIFS(Afirmaciones!$A$2:$A$401,$A5,Afirmaciones!$B$2:$B$401,$B5,Afirmaciones!$E$2:$E$401,"abstencion",Afirmaciones!$F$2:$F$401,"INCORRECTA")</f>
        <v/>
      </c>
      <c r="R5" s="5">
        <f>COUNTIFS(Afirmaciones!$A$2:$A$401,$A5,Afirmaciones!$B$2:$B$401,$B5,Afirmaciones!$E$2:$E$401,"hecho",Afirmaciones!$F$2:$F$401,"FUERA_REF",Afirmaciones!$H$2:$H$401,"no_resp")</f>
        <v/>
      </c>
      <c r="S5" s="5">
        <f>COUNTIFS(Afirmaciones!$A$2:$A$401,$A5,Afirmaciones!$B$2:$B$401,$B5,Afirmaciones!$E$2:$E$401,"hecho",Afirmaciones!$F$2:$F$401,"FUERA_REF")</f>
        <v/>
      </c>
      <c r="T5" s="5">
        <f>COUNTIFS(Afirmaciones!$A$2:$A$401,$A5,Afirmaciones!$B$2:$B$401,$B5,Afirmaciones!$E$2:$E$401,"hecho",Afirmaciones!$I$2:$I$401,"SIN-RESPALDO")</f>
        <v/>
      </c>
      <c r="U5" s="5">
        <f>COUNTIFS(Afirmaciones!$A$2:$A$401,$A5,Afirmaciones!$B$2:$B$401,$B5,Afirmaciones!$E$2:$E$401,"hecho",Afirmaciones!$I$2:$I$401,"CITA-X")</f>
        <v/>
      </c>
      <c r="V5" s="5">
        <f>COUNTIFS(Afirmaciones!$A$2:$A$401,$A5,Afirmaciones!$B$2:$B$401,$B5,Afirmaciones!$E$2:$E$401,"hecho",Afirmaciones!$I$2:$I$401,"SIN-CITA")</f>
        <v/>
      </c>
      <c r="W5" s="5">
        <f>COUNTIFS(Afirmaciones!$A$2:$A$401,$A5,Afirmaciones!$B$2:$B$401,$B5,Afirmaciones!$E$2:$E$401,"hecho")</f>
        <v/>
      </c>
      <c r="X5" s="5">
        <f>COUNTIFS(Afirmaciones!$A$2:$A$401,$A5,Afirmaciones!$B$2:$B$401,$B5,Afirmaciones!$E$2:$E$401,"hecho",Afirmaciones!$I$2:$I$401,"SOSTENIDA")</f>
        <v/>
      </c>
      <c r="Y5" s="5">
        <f>IF($L5=0,"",IF($M5=0,IF($R5&gt;0,0,2),IF(AND($N5=$M5,$P5+$Q5+$R5=0),2,IF($N5=0,0,1))))</f>
        <v/>
      </c>
      <c r="Z5" s="5">
        <f>IF($L5=0,"",IF($B5="llm","N/A",IF($W5=0,"N/A",IF($X5=$W5,2,IF($X5=0,0,1)))))</f>
        <v/>
      </c>
      <c r="AA5" s="5">
        <f>IF($L5=0,"",IF(AND($P5+$Q5+$R5=0,$T5+$U5=0,$I5&lt;&gt;"SI"),"-",TRIM(IF($P5+$Q5+$R5&gt;0,"CRITICA ","")&amp;IF($T5+$U5&gt;0,"RESPALDO ","")&amp;IF($I5="SI","TRUNC",""))))</f>
        <v/>
      </c>
      <c r="AB5" s="5">
        <f>IF($L5=0,"",IF(AND($R5=0,$AF5=0,$AG5=0,$P5+$Q5=0,$T5+$U5+$V5=0),"OK",TRIM(IF($R5&gt;0,"E0 ","")&amp;IF($AF5&gt;0,"E1 ","")&amp;IF(OR($AG5&gt;0,AND($P5+$Q5&gt;0,$AF5=0)),"E2 ","")&amp;IF($T5+$U5+$V5&gt;0,"E3 ",""))))</f>
        <v/>
      </c>
      <c r="AC5" s="5">
        <f>IF($AB5="","",IF($AB5="OK","OK",LEFT($AB5,2)))</f>
        <v/>
      </c>
      <c r="AD5" s="5">
        <f>IF(OR($L5=0,$B5="llm",$W5=0),"-",$X5&amp;"/"&amp;$W5)</f>
        <v/>
      </c>
      <c r="AE5" s="5">
        <f>IF(OR($L5=0,$B5&lt;&gt;"rag",$M5=0),"-",SUMIFS(Hechos!$H$2:$H$201,Hechos!$A$2:$A$201,$A5)&amp;"/"&amp;$M5)</f>
        <v/>
      </c>
      <c r="AF5" s="5">
        <f>IF($B5="rag",SUMPRODUCT((Hechos!$A$2:$A$201=$A5)*(Hechos!$F$2:$F$201=0)*((Hechos!$E$2:$E$201="NO")+(Hechos!$E$2:$E$201="ALT-P")+(Hechos!$E$2:$E$201=""))),0)</f>
        <v/>
      </c>
      <c r="AG5" s="5">
        <f>IF($B5="rag",SUMPRODUCT((Hechos!$A$2:$A$201=$A5)*(Hechos!$F$2:$F$201=0)*((Hechos!$E$2:$E$201="SI")+(Hechos!$E$2:$E$201="ALT"))),$M5-$N5)</f>
        <v/>
      </c>
      <c r="AH5" s="6" t="n"/>
    </row>
    <row r="6" ht="150" customHeight="1">
      <c r="A6" s="4" t="inlineStr">
        <is>
          <t>p03</t>
        </is>
      </c>
      <c r="B6" s="4" t="inlineStr">
        <is>
          <t>rag</t>
        </is>
      </c>
      <c r="C6" s="4" t="inlineStr">
        <is>
          <t>ES</t>
        </is>
      </c>
      <c r="D6" s="4" t="inlineStr">
        <is>
          <t>completa</t>
        </is>
      </c>
      <c r="E6" s="4" t="inlineStr">
        <is>
          <t>¿Qué es la táctica Persistencia (TA0003) en ATT&amp;CK y qué busca conseguir el adversario con ella?</t>
        </is>
      </c>
      <c r="F6" s="4" t="inlineStr">
        <is>
          <t>Persistencia es la táctica en la que el adversario intenta mantener su punto de apoyo (foothold). Agrupa técnicas para conservar el acceso a los sistemas a pesar de reinicios, cambios de credenciales u otras interrupciones; incluye cualquier acceso, acción o cambio de configuración que le permita mantener ese acceso, como reemplazar o secuestrar código legítimo o añadir código de arranque.</t>
        </is>
      </c>
      <c r="G6" s="4" t="inlineStr"/>
      <c r="H6" s="4" t="inlineStr">
        <is>
          <t>La táctica Persistencia (TA0003) en ATT&amp;CK consiste en técnicas que los adversarios utilizan para mantener su acceso a los sistemas a pesar de reinicios, cambios de credenciales o interrupciones que podrían cortar su acceso [1]. Esta táctica busca que el adversario mantenga su presencia en los sistemas tras eventos que podrían eliminar su acceso, como reinicios o cambios de credenciales [1].</t>
        </is>
      </c>
      <c r="I6" s="5" t="inlineStr">
        <is>
          <t>NO</t>
        </is>
      </c>
      <c r="J6" s="5" t="inlineStr">
        <is>
          <t>TODA</t>
        </is>
      </c>
      <c r="K6" s="5" t="inlineStr">
        <is>
          <t>2/2</t>
        </is>
      </c>
      <c r="L6" s="5">
        <f>COUNTIFS(Afirmaciones!$A$2:$A$401,$A6,Afirmaciones!$B$2:$B$401,$B6)</f>
        <v/>
      </c>
      <c r="M6" s="5">
        <f>COUNTIFS(Hechos!$A$2:$A$201,$A6)</f>
        <v/>
      </c>
      <c r="N6" s="5">
        <f>IF($B6="rag",SUMIFS(Hechos!$F$2:$F$201,Hechos!$A$2:$A$201,$A6),SUMIFS(Hechos!$G$2:$G$201,Hechos!$A$2:$A$201,$A6))</f>
        <v/>
      </c>
      <c r="O6" s="5">
        <f>IF($M6=0,"-",$N6&amp;"/"&amp;$M6)</f>
        <v/>
      </c>
      <c r="P6" s="5">
        <f>COUNTIFS(Afirmaciones!$A$2:$A$401,$A6,Afirmaciones!$B$2:$B$401,$B6,Afirmaciones!$E$2:$E$401,"hecho",Afirmaciones!$F$2:$F$401,"INCORRECTA")</f>
        <v/>
      </c>
      <c r="Q6" s="5">
        <f>COUNTIFS(Afirmaciones!$A$2:$A$401,$A6,Afirmaciones!$B$2:$B$401,$B6,Afirmaciones!$E$2:$E$401,"abstencion",Afirmaciones!$F$2:$F$401,"INCORRECTA")</f>
        <v/>
      </c>
      <c r="R6" s="5">
        <f>COUNTIFS(Afirmaciones!$A$2:$A$401,$A6,Afirmaciones!$B$2:$B$401,$B6,Afirmaciones!$E$2:$E$401,"hecho",Afirmaciones!$F$2:$F$401,"FUERA_REF",Afirmaciones!$H$2:$H$401,"no_resp")</f>
        <v/>
      </c>
      <c r="S6" s="5">
        <f>COUNTIFS(Afirmaciones!$A$2:$A$401,$A6,Afirmaciones!$B$2:$B$401,$B6,Afirmaciones!$E$2:$E$401,"hecho",Afirmaciones!$F$2:$F$401,"FUERA_REF")</f>
        <v/>
      </c>
      <c r="T6" s="5">
        <f>COUNTIFS(Afirmaciones!$A$2:$A$401,$A6,Afirmaciones!$B$2:$B$401,$B6,Afirmaciones!$E$2:$E$401,"hecho",Afirmaciones!$I$2:$I$401,"SIN-RESPALDO")</f>
        <v/>
      </c>
      <c r="U6" s="5">
        <f>COUNTIFS(Afirmaciones!$A$2:$A$401,$A6,Afirmaciones!$B$2:$B$401,$B6,Afirmaciones!$E$2:$E$401,"hecho",Afirmaciones!$I$2:$I$401,"CITA-X")</f>
        <v/>
      </c>
      <c r="V6" s="5">
        <f>COUNTIFS(Afirmaciones!$A$2:$A$401,$A6,Afirmaciones!$B$2:$B$401,$B6,Afirmaciones!$E$2:$E$401,"hecho",Afirmaciones!$I$2:$I$401,"SIN-CITA")</f>
        <v/>
      </c>
      <c r="W6" s="5">
        <f>COUNTIFS(Afirmaciones!$A$2:$A$401,$A6,Afirmaciones!$B$2:$B$401,$B6,Afirmaciones!$E$2:$E$401,"hecho")</f>
        <v/>
      </c>
      <c r="X6" s="5">
        <f>COUNTIFS(Afirmaciones!$A$2:$A$401,$A6,Afirmaciones!$B$2:$B$401,$B6,Afirmaciones!$E$2:$E$401,"hecho",Afirmaciones!$I$2:$I$401,"SOSTENIDA")</f>
        <v/>
      </c>
      <c r="Y6" s="5">
        <f>IF($L6=0,"",IF($M6=0,IF($R6&gt;0,0,2),IF(AND($N6=$M6,$P6+$Q6+$R6=0),2,IF($N6=0,0,1))))</f>
        <v/>
      </c>
      <c r="Z6" s="5">
        <f>IF($L6=0,"",IF($B6="llm","N/A",IF($W6=0,"N/A",IF($X6=$W6,2,IF($X6=0,0,1)))))</f>
        <v/>
      </c>
      <c r="AA6" s="5">
        <f>IF($L6=0,"",IF(AND($P6+$Q6+$R6=0,$T6+$U6=0,$I6&lt;&gt;"SI"),"-",TRIM(IF($P6+$Q6+$R6&gt;0,"CRITICA ","")&amp;IF($T6+$U6&gt;0,"RESPALDO ","")&amp;IF($I6="SI","TRUNC",""))))</f>
        <v/>
      </c>
      <c r="AB6" s="5">
        <f>IF($L6=0,"",IF(AND($R6=0,$AF6=0,$AG6=0,$P6+$Q6=0,$T6+$U6+$V6=0),"OK",TRIM(IF($R6&gt;0,"E0 ","")&amp;IF($AF6&gt;0,"E1 ","")&amp;IF(OR($AG6&gt;0,AND($P6+$Q6&gt;0,$AF6=0)),"E2 ","")&amp;IF($T6+$U6+$V6&gt;0,"E3 ",""))))</f>
        <v/>
      </c>
      <c r="AC6" s="5">
        <f>IF($AB6="","",IF($AB6="OK","OK",LEFT($AB6,2)))</f>
        <v/>
      </c>
      <c r="AD6" s="5">
        <f>IF(OR($L6=0,$B6="llm",$W6=0),"-",$X6&amp;"/"&amp;$W6)</f>
        <v/>
      </c>
      <c r="AE6" s="5">
        <f>IF(OR($L6=0,$B6&lt;&gt;"rag",$M6=0),"-",SUMIFS(Hechos!$H$2:$H$201,Hechos!$A$2:$A$201,$A6)&amp;"/"&amp;$M6)</f>
        <v/>
      </c>
      <c r="AF6" s="5">
        <f>IF($B6="rag",SUMPRODUCT((Hechos!$A$2:$A$201=$A6)*(Hechos!$F$2:$F$201=0)*((Hechos!$E$2:$E$201="NO")+(Hechos!$E$2:$E$201="ALT-P")+(Hechos!$E$2:$E$201=""))),0)</f>
        <v/>
      </c>
      <c r="AG6" s="5">
        <f>IF($B6="rag",SUMPRODUCT((Hechos!$A$2:$A$201=$A6)*(Hechos!$F$2:$F$201=0)*((Hechos!$E$2:$E$201="SI")+(Hechos!$E$2:$E$201="ALT"))),$M6-$N6)</f>
        <v/>
      </c>
      <c r="AH6" s="6" t="n"/>
    </row>
    <row r="7" ht="150" customHeight="1">
      <c r="A7" s="4" t="inlineStr">
        <is>
          <t>p03</t>
        </is>
      </c>
      <c r="B7" s="4" t="inlineStr">
        <is>
          <t>llm</t>
        </is>
      </c>
      <c r="C7" s="4" t="inlineStr">
        <is>
          <t>ES</t>
        </is>
      </c>
      <c r="D7" s="4" t="inlineStr">
        <is>
          <t>completa</t>
        </is>
      </c>
      <c r="E7" s="4" t="inlineStr">
        <is>
          <t>¿Qué es la táctica Persistencia (TA0003) en ATT&amp;CK y qué busca conseguir el adversario con ella?</t>
        </is>
      </c>
      <c r="F7" s="4" t="inlineStr">
        <is>
          <t>Persistencia es la táctica en la que el adversario intenta mantener su punto de apoyo (foothold). Agrupa técnicas para conservar el acceso a los sistemas a pesar de reinicios, cambios de credenciales u otras interrupciones; incluye cualquier acceso, acción o cambio de configuración que le permita mantener ese acceso, como reemplazar o secuestrar código legítimo o añadir código de arranque.</t>
        </is>
      </c>
      <c r="G7" s="4" t="inlineStr"/>
      <c r="H7" s="4" t="inlineStr">
        <is>
          <t>La táctica Persistencia (TA0003) en el marco MITRE ATT&amp;CK se refiere a la capacidad de un atacante para mantener acceso a un sistema o red tras la inicialización de una amenaza. Este objetivo permite que el atacante se mantenga activo en el entorno durante períodos prolongados, incluso después de que se hayan aplicado medidas de seguridad o se hayan detectado actividades inusuales.
El adversario busca conseguir que su acceso a la infraestructura sea **persistente**, es decir, que no se pierda al reiniciar el sistema o al aplicar controles de seguridad. Esto permite que el atacante realice actividades de recolección de datos, ejecución de comandos, propagación a otros sistemas o monitoreo continuo sin que se detecte inmediatamente.
Algunos ejemplos de técnicas asociadas a esta táctica incluyen:
- T1059.001 (Comandos y scripts maliciosos)
- T1059.002 (Ejecución de scripts)
- T1059.003 (Ejecución de comandos)
- T1059.004 (Ejecución de comandos a través de servicios)
- T1059.005 (Ejecución de comandos a través de servicios de red)
En resumen, la táctica Persistencia (TA0003) busca **mantener un acceso continuo y sin interrupción** al sistema objetivo, lo que facilita la ejecución de ataques más complejos y prolongados.</t>
        </is>
      </c>
      <c r="I7" s="5" t="inlineStr">
        <is>
          <t>NO</t>
        </is>
      </c>
      <c r="J7" s="5" t="n"/>
      <c r="K7" s="5" t="n"/>
      <c r="L7" s="5">
        <f>COUNTIFS(Afirmaciones!$A$2:$A$401,$A7,Afirmaciones!$B$2:$B$401,$B7)</f>
        <v/>
      </c>
      <c r="M7" s="5">
        <f>COUNTIFS(Hechos!$A$2:$A$201,$A7)</f>
        <v/>
      </c>
      <c r="N7" s="5">
        <f>IF($B7="rag",SUMIFS(Hechos!$F$2:$F$201,Hechos!$A$2:$A$201,$A7),SUMIFS(Hechos!$G$2:$G$201,Hechos!$A$2:$A$201,$A7))</f>
        <v/>
      </c>
      <c r="O7" s="5">
        <f>IF($M7=0,"-",$N7&amp;"/"&amp;$M7)</f>
        <v/>
      </c>
      <c r="P7" s="5">
        <f>COUNTIFS(Afirmaciones!$A$2:$A$401,$A7,Afirmaciones!$B$2:$B$401,$B7,Afirmaciones!$E$2:$E$401,"hecho",Afirmaciones!$F$2:$F$401,"INCORRECTA")</f>
        <v/>
      </c>
      <c r="Q7" s="5">
        <f>COUNTIFS(Afirmaciones!$A$2:$A$401,$A7,Afirmaciones!$B$2:$B$401,$B7,Afirmaciones!$E$2:$E$401,"abstencion",Afirmaciones!$F$2:$F$401,"INCORRECTA")</f>
        <v/>
      </c>
      <c r="R7" s="5">
        <f>COUNTIFS(Afirmaciones!$A$2:$A$401,$A7,Afirmaciones!$B$2:$B$401,$B7,Afirmaciones!$E$2:$E$401,"hecho",Afirmaciones!$F$2:$F$401,"FUERA_REF",Afirmaciones!$H$2:$H$401,"no_resp")</f>
        <v/>
      </c>
      <c r="S7" s="5">
        <f>COUNTIFS(Afirmaciones!$A$2:$A$401,$A7,Afirmaciones!$B$2:$B$401,$B7,Afirmaciones!$E$2:$E$401,"hecho",Afirmaciones!$F$2:$F$401,"FUERA_REF")</f>
        <v/>
      </c>
      <c r="T7" s="5">
        <f>COUNTIFS(Afirmaciones!$A$2:$A$401,$A7,Afirmaciones!$B$2:$B$401,$B7,Afirmaciones!$E$2:$E$401,"hecho",Afirmaciones!$I$2:$I$401,"SIN-RESPALDO")</f>
        <v/>
      </c>
      <c r="U7" s="5">
        <f>COUNTIFS(Afirmaciones!$A$2:$A$401,$A7,Afirmaciones!$B$2:$B$401,$B7,Afirmaciones!$E$2:$E$401,"hecho",Afirmaciones!$I$2:$I$401,"CITA-X")</f>
        <v/>
      </c>
      <c r="V7" s="5">
        <f>COUNTIFS(Afirmaciones!$A$2:$A$401,$A7,Afirmaciones!$B$2:$B$401,$B7,Afirmaciones!$E$2:$E$401,"hecho",Afirmaciones!$I$2:$I$401,"SIN-CITA")</f>
        <v/>
      </c>
      <c r="W7" s="5">
        <f>COUNTIFS(Afirmaciones!$A$2:$A$401,$A7,Afirmaciones!$B$2:$B$401,$B7,Afirmaciones!$E$2:$E$401,"hecho")</f>
        <v/>
      </c>
      <c r="X7" s="5">
        <f>COUNTIFS(Afirmaciones!$A$2:$A$401,$A7,Afirmaciones!$B$2:$B$401,$B7,Afirmaciones!$E$2:$E$401,"hecho",Afirmaciones!$I$2:$I$401,"SOSTENIDA")</f>
        <v/>
      </c>
      <c r="Y7" s="5">
        <f>IF($L7=0,"",IF($M7=0,IF($R7&gt;0,0,2),IF(AND($N7=$M7,$P7+$Q7+$R7=0),2,IF($N7=0,0,1))))</f>
        <v/>
      </c>
      <c r="Z7" s="5">
        <f>IF($L7=0,"",IF($B7="llm","N/A",IF($W7=0,"N/A",IF($X7=$W7,2,IF($X7=0,0,1)))))</f>
        <v/>
      </c>
      <c r="AA7" s="5">
        <f>IF($L7=0,"",IF(AND($P7+$Q7+$R7=0,$T7+$U7=0,$I7&lt;&gt;"SI"),"-",TRIM(IF($P7+$Q7+$R7&gt;0,"CRITICA ","")&amp;IF($T7+$U7&gt;0,"RESPALDO ","")&amp;IF($I7="SI","TRUNC",""))))</f>
        <v/>
      </c>
      <c r="AB7" s="5">
        <f>IF($L7=0,"",IF(AND($R7=0,$AF7=0,$AG7=0,$P7+$Q7=0,$T7+$U7+$V7=0),"OK",TRIM(IF($R7&gt;0,"E0 ","")&amp;IF($AF7&gt;0,"E1 ","")&amp;IF(OR($AG7&gt;0,AND($P7+$Q7&gt;0,$AF7=0)),"E2 ","")&amp;IF($T7+$U7+$V7&gt;0,"E3 ",""))))</f>
        <v/>
      </c>
      <c r="AC7" s="5">
        <f>IF($AB7="","",IF($AB7="OK","OK",LEFT($AB7,2)))</f>
        <v/>
      </c>
      <c r="AD7" s="5">
        <f>IF(OR($L7=0,$B7="llm",$W7=0),"-",$X7&amp;"/"&amp;$W7)</f>
        <v/>
      </c>
      <c r="AE7" s="5">
        <f>IF(OR($L7=0,$B7&lt;&gt;"rag",$M7=0),"-",SUMIFS(Hechos!$H$2:$H$201,Hechos!$A$2:$A$201,$A7)&amp;"/"&amp;$M7)</f>
        <v/>
      </c>
      <c r="AF7" s="5">
        <f>IF($B7="rag",SUMPRODUCT((Hechos!$A$2:$A$201=$A7)*(Hechos!$F$2:$F$201=0)*((Hechos!$E$2:$E$201="NO")+(Hechos!$E$2:$E$201="ALT-P")+(Hechos!$E$2:$E$201=""))),0)</f>
        <v/>
      </c>
      <c r="AG7" s="5">
        <f>IF($B7="rag",SUMPRODUCT((Hechos!$A$2:$A$201=$A7)*(Hechos!$F$2:$F$201=0)*((Hechos!$E$2:$E$201="SI")+(Hechos!$E$2:$E$201="ALT"))),$M7-$N7)</f>
        <v/>
      </c>
      <c r="AH7" s="6" t="n"/>
    </row>
    <row r="8" ht="150" customHeight="1">
      <c r="A8" s="4" t="inlineStr">
        <is>
          <t>p04</t>
        </is>
      </c>
      <c r="B8" s="4" t="inlineStr">
        <is>
          <t>rag</t>
        </is>
      </c>
      <c r="C8" s="4" t="inlineStr">
        <is>
          <t>ES</t>
        </is>
      </c>
      <c r="D8" s="4" t="inlineStr">
        <is>
          <t>parcial</t>
        </is>
      </c>
      <c r="E8" s="4" t="inlineStr">
        <is>
          <t>Según ATT&amp;CK, ¿qué es Cobalt Strike (S0154) y de qué otras herramientas conocidas aprovecha capacidades? ¿Cuánto cuesta su licencia anual?</t>
        </is>
      </c>
      <c r="F8" s="4" t="inlineStr">
        <is>
          <t>Cobalt Strike es una herramienta comercial de acceso remoto con todas las funciones, que se presenta como 'software de simulación de adversarios' para ejecutar ataques dirigidos y emular las acciones post-explotación de actores avanzados; sus capacidades interactivas cubren toda la gama de tácticas ATT&amp;CK en un único sistema integrado. Además de sus propias capacidades, aprovecha las de otras herramientas conocidas como Metasploit y Mimikatz (S0002).</t>
        </is>
      </c>
      <c r="G8" s="4" t="inlineStr">
        <is>
          <t>El precio de la licencia no está en el corpus (ATT&amp;CK no registra precios; la única aparición de 'price' en el corpus es en el software CoinTicker, sin relación).</t>
        </is>
      </c>
      <c r="H8" s="4" t="inlineStr">
        <is>
          <t>Según ATT&amp;CK, Cobalt Strike (S0154) es un software de tipo malware, perteneciente al dominio de ataque empresarial, que se describe como "una herramienta de acceso remoto comercial, completa, diseñada para ejecutar ataques dirigidos y emular las acciones de post-explotación de actores de amenazas avanzadas". [1]
Cobalt Strike aprovecha las capacidades de otras herramientas conocidas, como Metasploit y Mimikatz. [1]
No se proporciona información en los contextos sobre el costo anual de la licencia de Cobalt Strike. [1][2][3][4][5]
Por lo tanto, no se puede determinar cuánto cuesta su licencia anual basándose en los datos proporcionados.</t>
        </is>
      </c>
      <c r="I8" s="5" t="inlineStr">
        <is>
          <t>NO</t>
        </is>
      </c>
      <c r="J8" s="5" t="inlineStr">
        <is>
          <t>TODA</t>
        </is>
      </c>
      <c r="K8" s="5" t="inlineStr">
        <is>
          <t>2/2</t>
        </is>
      </c>
      <c r="L8" s="5">
        <f>COUNTIFS(Afirmaciones!$A$2:$A$401,$A8,Afirmaciones!$B$2:$B$401,$B8)</f>
        <v/>
      </c>
      <c r="M8" s="5">
        <f>COUNTIFS(Hechos!$A$2:$A$201,$A8)</f>
        <v/>
      </c>
      <c r="N8" s="5">
        <f>IF($B8="rag",SUMIFS(Hechos!$F$2:$F$201,Hechos!$A$2:$A$201,$A8),SUMIFS(Hechos!$G$2:$G$201,Hechos!$A$2:$A$201,$A8))</f>
        <v/>
      </c>
      <c r="O8" s="5">
        <f>IF($M8=0,"-",$N8&amp;"/"&amp;$M8)</f>
        <v/>
      </c>
      <c r="P8" s="5">
        <f>COUNTIFS(Afirmaciones!$A$2:$A$401,$A8,Afirmaciones!$B$2:$B$401,$B8,Afirmaciones!$E$2:$E$401,"hecho",Afirmaciones!$F$2:$F$401,"INCORRECTA")</f>
        <v/>
      </c>
      <c r="Q8" s="5">
        <f>COUNTIFS(Afirmaciones!$A$2:$A$401,$A8,Afirmaciones!$B$2:$B$401,$B8,Afirmaciones!$E$2:$E$401,"abstencion",Afirmaciones!$F$2:$F$401,"INCORRECTA")</f>
        <v/>
      </c>
      <c r="R8" s="5">
        <f>COUNTIFS(Afirmaciones!$A$2:$A$401,$A8,Afirmaciones!$B$2:$B$401,$B8,Afirmaciones!$E$2:$E$401,"hecho",Afirmaciones!$F$2:$F$401,"FUERA_REF",Afirmaciones!$H$2:$H$401,"no_resp")</f>
        <v/>
      </c>
      <c r="S8" s="5">
        <f>COUNTIFS(Afirmaciones!$A$2:$A$401,$A8,Afirmaciones!$B$2:$B$401,$B8,Afirmaciones!$E$2:$E$401,"hecho",Afirmaciones!$F$2:$F$401,"FUERA_REF")</f>
        <v/>
      </c>
      <c r="T8" s="5">
        <f>COUNTIFS(Afirmaciones!$A$2:$A$401,$A8,Afirmaciones!$B$2:$B$401,$B8,Afirmaciones!$E$2:$E$401,"hecho",Afirmaciones!$I$2:$I$401,"SIN-RESPALDO")</f>
        <v/>
      </c>
      <c r="U8" s="5">
        <f>COUNTIFS(Afirmaciones!$A$2:$A$401,$A8,Afirmaciones!$B$2:$B$401,$B8,Afirmaciones!$E$2:$E$401,"hecho",Afirmaciones!$I$2:$I$401,"CITA-X")</f>
        <v/>
      </c>
      <c r="V8" s="5">
        <f>COUNTIFS(Afirmaciones!$A$2:$A$401,$A8,Afirmaciones!$B$2:$B$401,$B8,Afirmaciones!$E$2:$E$401,"hecho",Afirmaciones!$I$2:$I$401,"SIN-CITA")</f>
        <v/>
      </c>
      <c r="W8" s="5">
        <f>COUNTIFS(Afirmaciones!$A$2:$A$401,$A8,Afirmaciones!$B$2:$B$401,$B8,Afirmaciones!$E$2:$E$401,"hecho")</f>
        <v/>
      </c>
      <c r="X8" s="5">
        <f>COUNTIFS(Afirmaciones!$A$2:$A$401,$A8,Afirmaciones!$B$2:$B$401,$B8,Afirmaciones!$E$2:$E$401,"hecho",Afirmaciones!$I$2:$I$401,"SOSTENIDA")</f>
        <v/>
      </c>
      <c r="Y8" s="5">
        <f>IF($L8=0,"",IF($M8=0,IF($R8&gt;0,0,2),IF(AND($N8=$M8,$P8+$Q8+$R8=0),2,IF($N8=0,0,1))))</f>
        <v/>
      </c>
      <c r="Z8" s="5">
        <f>IF($L8=0,"",IF($B8="llm","N/A",IF($W8=0,"N/A",IF($X8=$W8,2,IF($X8=0,0,1)))))</f>
        <v/>
      </c>
      <c r="AA8" s="5">
        <f>IF($L8=0,"",IF(AND($P8+$Q8+$R8=0,$T8+$U8=0,$I8&lt;&gt;"SI"),"-",TRIM(IF($P8+$Q8+$R8&gt;0,"CRITICA ","")&amp;IF($T8+$U8&gt;0,"RESPALDO ","")&amp;IF($I8="SI","TRUNC",""))))</f>
        <v/>
      </c>
      <c r="AB8" s="5">
        <f>IF($L8=0,"",IF(AND($R8=0,$AF8=0,$AG8=0,$P8+$Q8=0,$T8+$U8+$V8=0),"OK",TRIM(IF($R8&gt;0,"E0 ","")&amp;IF($AF8&gt;0,"E1 ","")&amp;IF(OR($AG8&gt;0,AND($P8+$Q8&gt;0,$AF8=0)),"E2 ","")&amp;IF($T8+$U8+$V8&gt;0,"E3 ",""))))</f>
        <v/>
      </c>
      <c r="AC8" s="5">
        <f>IF($AB8="","",IF($AB8="OK","OK",LEFT($AB8,2)))</f>
        <v/>
      </c>
      <c r="AD8" s="5">
        <f>IF(OR($L8=0,$B8="llm",$W8=0),"-",$X8&amp;"/"&amp;$W8)</f>
        <v/>
      </c>
      <c r="AE8" s="5">
        <f>IF(OR($L8=0,$B8&lt;&gt;"rag",$M8=0),"-",SUMIFS(Hechos!$H$2:$H$201,Hechos!$A$2:$A$201,$A8)&amp;"/"&amp;$M8)</f>
        <v/>
      </c>
      <c r="AF8" s="5">
        <f>IF($B8="rag",SUMPRODUCT((Hechos!$A$2:$A$201=$A8)*(Hechos!$F$2:$F$201=0)*((Hechos!$E$2:$E$201="NO")+(Hechos!$E$2:$E$201="ALT-P")+(Hechos!$E$2:$E$201=""))),0)</f>
        <v/>
      </c>
      <c r="AG8" s="5">
        <f>IF($B8="rag",SUMPRODUCT((Hechos!$A$2:$A$201=$A8)*(Hechos!$F$2:$F$201=0)*((Hechos!$E$2:$E$201="SI")+(Hechos!$E$2:$E$201="ALT"))),$M8-$N8)</f>
        <v/>
      </c>
      <c r="AH8" s="6" t="n"/>
    </row>
    <row r="9" ht="150" customHeight="1">
      <c r="A9" s="4" t="inlineStr">
        <is>
          <t>p04</t>
        </is>
      </c>
      <c r="B9" s="4" t="inlineStr">
        <is>
          <t>llm</t>
        </is>
      </c>
      <c r="C9" s="4" t="inlineStr">
        <is>
          <t>ES</t>
        </is>
      </c>
      <c r="D9" s="4" t="inlineStr">
        <is>
          <t>parcial</t>
        </is>
      </c>
      <c r="E9" s="4" t="inlineStr">
        <is>
          <t>Según ATT&amp;CK, ¿qué es Cobalt Strike (S0154) y de qué otras herramientas conocidas aprovecha capacidades? ¿Cuánto cuesta su licencia anual?</t>
        </is>
      </c>
      <c r="F9" s="4" t="inlineStr">
        <is>
          <t>Cobalt Strike es una herramienta comercial de acceso remoto con todas las funciones, que se presenta como 'software de simulación de adversarios' para ejecutar ataques dirigidos y emular las acciones post-explotación de actores avanzados; sus capacidades interactivas cubren toda la gama de tácticas ATT&amp;CK en un único sistema integrado. Además de sus propias capacidades, aprovecha las de otras herramientas conocidas como Metasploit y Mimikatz (S0002).</t>
        </is>
      </c>
      <c r="G9" s="4" t="inlineStr">
        <is>
          <t>El precio de la licencia no está en el corpus (ATT&amp;CK no registra precios; la única aparición de 'price' en el corpus es en el software CoinTicker, sin relación).</t>
        </is>
      </c>
      <c r="H9" s="4" t="inlineStr">
        <is>
          <t>Cobalt Strike (S0154) es una herramienta de red de seguridad y de ataque que permite a los investigadores y profesionales de ciberseguridad realizar pruebas de penetración y análisis de vulnerabilidades en entornos de red. Según el MITRE ATT&amp;CK, S0154 se clasifica como una herramienta de "iniciación de sesión" (initial access) y se utiliza principalmente para simular ataques de red, como la ejecución remota de comandos en sistemas.
Cobalt Strike aprovecha capacidades de otras herramientas conocidas, como:
- **Metasploit**: para la ejecución de payloads y la gestión de sesiones.
- **PowerShell**: para la ejecución de comandos en sistemas Windows.
- **Meterpreter**: un módulo de Metasploit que permite la ejecución remota de comandos y la gestión de sesiones en sistemas operativos.
Sin embargo, es importante aclarar que **Cobalt Strike no es una herramienta de ataque comercial que se venda con una licencia anual**. Es una herramienta de investigación y pruebas de penetración que se ofrece como software de uso académico y profesional, y **no tiene un costo oficial de licencia anual** como producto comercializado en el mercado.
En su sitio oficial, Cobalt Strike está disponible para uso en entornos de pruebas y educación, y **no se cobra una licencia anual**. Su uso está regulado por las políticas de uso de la herramienta, y se recomienda su uso solo en entornos autorizados y bajo supervisión.
👉 **Respuesta final**:  
Cobalt Strike (S0150) es una herramienta de pruebas de penetración que simula ataques de red y aprovecha capacidades de herramientas como Metasploit y PowerShell. **No tiene una licencia anual y no se cobra un costo oficial** para su uso en entornos educativos o de investigación.</t>
        </is>
      </c>
      <c r="I9" s="5" t="inlineStr">
        <is>
          <t>NO</t>
        </is>
      </c>
      <c r="J9" s="5" t="n"/>
      <c r="K9" s="5" t="n"/>
      <c r="L9" s="5">
        <f>COUNTIFS(Afirmaciones!$A$2:$A$401,$A9,Afirmaciones!$B$2:$B$401,$B9)</f>
        <v/>
      </c>
      <c r="M9" s="5">
        <f>COUNTIFS(Hechos!$A$2:$A$201,$A9)</f>
        <v/>
      </c>
      <c r="N9" s="5">
        <f>IF($B9="rag",SUMIFS(Hechos!$F$2:$F$201,Hechos!$A$2:$A$201,$A9),SUMIFS(Hechos!$G$2:$G$201,Hechos!$A$2:$A$201,$A9))</f>
        <v/>
      </c>
      <c r="O9" s="5">
        <f>IF($M9=0,"-",$N9&amp;"/"&amp;$M9)</f>
        <v/>
      </c>
      <c r="P9" s="5">
        <f>COUNTIFS(Afirmaciones!$A$2:$A$401,$A9,Afirmaciones!$B$2:$B$401,$B9,Afirmaciones!$E$2:$E$401,"hecho",Afirmaciones!$F$2:$F$401,"INCORRECTA")</f>
        <v/>
      </c>
      <c r="Q9" s="5">
        <f>COUNTIFS(Afirmaciones!$A$2:$A$401,$A9,Afirmaciones!$B$2:$B$401,$B9,Afirmaciones!$E$2:$E$401,"abstencion",Afirmaciones!$F$2:$F$401,"INCORRECTA")</f>
        <v/>
      </c>
      <c r="R9" s="5">
        <f>COUNTIFS(Afirmaciones!$A$2:$A$401,$A9,Afirmaciones!$B$2:$B$401,$B9,Afirmaciones!$E$2:$E$401,"hecho",Afirmaciones!$F$2:$F$401,"FUERA_REF",Afirmaciones!$H$2:$H$401,"no_resp")</f>
        <v/>
      </c>
      <c r="S9" s="5">
        <f>COUNTIFS(Afirmaciones!$A$2:$A$401,$A9,Afirmaciones!$B$2:$B$401,$B9,Afirmaciones!$E$2:$E$401,"hecho",Afirmaciones!$F$2:$F$401,"FUERA_REF")</f>
        <v/>
      </c>
      <c r="T9" s="5">
        <f>COUNTIFS(Afirmaciones!$A$2:$A$401,$A9,Afirmaciones!$B$2:$B$401,$B9,Afirmaciones!$E$2:$E$401,"hecho",Afirmaciones!$I$2:$I$401,"SIN-RESPALDO")</f>
        <v/>
      </c>
      <c r="U9" s="5">
        <f>COUNTIFS(Afirmaciones!$A$2:$A$401,$A9,Afirmaciones!$B$2:$B$401,$B9,Afirmaciones!$E$2:$E$401,"hecho",Afirmaciones!$I$2:$I$401,"CITA-X")</f>
        <v/>
      </c>
      <c r="V9" s="5">
        <f>COUNTIFS(Afirmaciones!$A$2:$A$401,$A9,Afirmaciones!$B$2:$B$401,$B9,Afirmaciones!$E$2:$E$401,"hecho",Afirmaciones!$I$2:$I$401,"SIN-CITA")</f>
        <v/>
      </c>
      <c r="W9" s="5">
        <f>COUNTIFS(Afirmaciones!$A$2:$A$401,$A9,Afirmaciones!$B$2:$B$401,$B9,Afirmaciones!$E$2:$E$401,"hecho")</f>
        <v/>
      </c>
      <c r="X9" s="5">
        <f>COUNTIFS(Afirmaciones!$A$2:$A$401,$A9,Afirmaciones!$B$2:$B$401,$B9,Afirmaciones!$E$2:$E$401,"hecho",Afirmaciones!$I$2:$I$401,"SOSTENIDA")</f>
        <v/>
      </c>
      <c r="Y9" s="5">
        <f>IF($L9=0,"",IF($M9=0,IF($R9&gt;0,0,2),IF(AND($N9=$M9,$P9+$Q9+$R9=0),2,IF($N9=0,0,1))))</f>
        <v/>
      </c>
      <c r="Z9" s="5">
        <f>IF($L9=0,"",IF($B9="llm","N/A",IF($W9=0,"N/A",IF($X9=$W9,2,IF($X9=0,0,1)))))</f>
        <v/>
      </c>
      <c r="AA9" s="5">
        <f>IF($L9=0,"",IF(AND($P9+$Q9+$R9=0,$T9+$U9=0,$I9&lt;&gt;"SI"),"-",TRIM(IF($P9+$Q9+$R9&gt;0,"CRITICA ","")&amp;IF($T9+$U9&gt;0,"RESPALDO ","")&amp;IF($I9="SI","TRUNC",""))))</f>
        <v/>
      </c>
      <c r="AB9" s="5">
        <f>IF($L9=0,"",IF(AND($R9=0,$AF9=0,$AG9=0,$P9+$Q9=0,$T9+$U9+$V9=0),"OK",TRIM(IF($R9&gt;0,"E0 ","")&amp;IF($AF9&gt;0,"E1 ","")&amp;IF(OR($AG9&gt;0,AND($P9+$Q9&gt;0,$AF9=0)),"E2 ","")&amp;IF($T9+$U9+$V9&gt;0,"E3 ",""))))</f>
        <v/>
      </c>
      <c r="AC9" s="5">
        <f>IF($AB9="","",IF($AB9="OK","OK",LEFT($AB9,2)))</f>
        <v/>
      </c>
      <c r="AD9" s="5">
        <f>IF(OR($L9=0,$B9="llm",$W9=0),"-",$X9&amp;"/"&amp;$W9)</f>
        <v/>
      </c>
      <c r="AE9" s="5">
        <f>IF(OR($L9=0,$B9&lt;&gt;"rag",$M9=0),"-",SUMIFS(Hechos!$H$2:$H$201,Hechos!$A$2:$A$201,$A9)&amp;"/"&amp;$M9)</f>
        <v/>
      </c>
      <c r="AF9" s="5">
        <f>IF($B9="rag",SUMPRODUCT((Hechos!$A$2:$A$201=$A9)*(Hechos!$F$2:$F$201=0)*((Hechos!$E$2:$E$201="NO")+(Hechos!$E$2:$E$201="ALT-P")+(Hechos!$E$2:$E$201=""))),0)</f>
        <v/>
      </c>
      <c r="AG9" s="5">
        <f>IF($B9="rag",SUMPRODUCT((Hechos!$A$2:$A$201=$A9)*(Hechos!$F$2:$F$201=0)*((Hechos!$E$2:$E$201="SI")+(Hechos!$E$2:$E$201="ALT"))),$M9-$N9)</f>
        <v/>
      </c>
      <c r="AH9" s="6" t="n"/>
    </row>
    <row r="10" ht="150" customHeight="1">
      <c r="A10" s="4" t="inlineStr">
        <is>
          <t>p05</t>
        </is>
      </c>
      <c r="B10" s="4" t="inlineStr">
        <is>
          <t>rag</t>
        </is>
      </c>
      <c r="C10" s="4" t="inlineStr">
        <is>
          <t>ES</t>
        </is>
      </c>
      <c r="D10" s="4" t="inlineStr">
        <is>
          <t>completa</t>
        </is>
      </c>
      <c r="E10" s="4" t="inlineStr">
        <is>
          <t>Según ATT&amp;CK, ¿APT29 (G0016) utiliza Mimikatz? Y en caso afirmativo, ¿qué técnicas relacionadas con tickets Kerberos implementa esa herramienta?</t>
        </is>
      </c>
      <c r="F10" s="4" t="inlineStr">
        <is>
          <t>Sí: S0002 Mimikatz aparece en la lista de software usado por APT29 (y G0016 APT29 aparece en la lista 'Used by' de Mimikatz). Entre las técnicas de Mimikatz relacionadas con tickets Kerberos están T1550.003 Pass the Ticket, T1558.001 Golden Ticket y T1558.002 Silver Ticket.</t>
        </is>
      </c>
      <c r="G10" s="4" t="inlineStr"/>
      <c r="H10" s="4" t="inlineStr">
        <is>
          <t>Sí, según ATT&amp;CK, APT29 (G0016) utiliza Mimikatz.  
En el contexto se indica que:  
- G0016 APT29 (grupo) ha utilizado ataques de Kerberos para el movimiento lateral [1].  
- S0002 Mimikatz (software) tiene el módulo &lt;code&gt;KERBEROS::PTT&lt;/code&gt; que implementa los tres pasos necesarios para extraer la contraseña del cuenta krbtgt y crear o usar tickets de Kerberos [1].  
Por lo tanto, Mimikatz implementa la técnica **T1550.003 - Pass the Ticket**, que es una técnica relacionada con tickets de Kerberos.  
**Respuesta final:**  
Sí, APT29 (G0016) utiliza Mimikatz, y la técnica relacionada con tickets de Kerberos que implementa esa herramienta es **T1550.003 - Pass the Ticket** [1].</t>
        </is>
      </c>
      <c r="I10" s="5" t="inlineStr">
        <is>
          <t>NO</t>
        </is>
      </c>
      <c r="J10" s="5" t="inlineStr">
        <is>
          <t>PARTE</t>
        </is>
      </c>
      <c r="K10" s="5" t="inlineStr">
        <is>
          <t>2/4</t>
        </is>
      </c>
      <c r="L10" s="5">
        <f>COUNTIFS(Afirmaciones!$A$2:$A$401,$A10,Afirmaciones!$B$2:$B$401,$B10)</f>
        <v/>
      </c>
      <c r="M10" s="5">
        <f>COUNTIFS(Hechos!$A$2:$A$201,$A10)</f>
        <v/>
      </c>
      <c r="N10" s="5">
        <f>IF($B10="rag",SUMIFS(Hechos!$F$2:$F$201,Hechos!$A$2:$A$201,$A10),SUMIFS(Hechos!$G$2:$G$201,Hechos!$A$2:$A$201,$A10))</f>
        <v/>
      </c>
      <c r="O10" s="5">
        <f>IF($M10=0,"-",$N10&amp;"/"&amp;$M10)</f>
        <v/>
      </c>
      <c r="P10" s="5">
        <f>COUNTIFS(Afirmaciones!$A$2:$A$401,$A10,Afirmaciones!$B$2:$B$401,$B10,Afirmaciones!$E$2:$E$401,"hecho",Afirmaciones!$F$2:$F$401,"INCORRECTA")</f>
        <v/>
      </c>
      <c r="Q10" s="5">
        <f>COUNTIFS(Afirmaciones!$A$2:$A$401,$A10,Afirmaciones!$B$2:$B$401,$B10,Afirmaciones!$E$2:$E$401,"abstencion",Afirmaciones!$F$2:$F$401,"INCORRECTA")</f>
        <v/>
      </c>
      <c r="R10" s="5">
        <f>COUNTIFS(Afirmaciones!$A$2:$A$401,$A10,Afirmaciones!$B$2:$B$401,$B10,Afirmaciones!$E$2:$E$401,"hecho",Afirmaciones!$F$2:$F$401,"FUERA_REF",Afirmaciones!$H$2:$H$401,"no_resp")</f>
        <v/>
      </c>
      <c r="S10" s="5">
        <f>COUNTIFS(Afirmaciones!$A$2:$A$401,$A10,Afirmaciones!$B$2:$B$401,$B10,Afirmaciones!$E$2:$E$401,"hecho",Afirmaciones!$F$2:$F$401,"FUERA_REF")</f>
        <v/>
      </c>
      <c r="T10" s="5">
        <f>COUNTIFS(Afirmaciones!$A$2:$A$401,$A10,Afirmaciones!$B$2:$B$401,$B10,Afirmaciones!$E$2:$E$401,"hecho",Afirmaciones!$I$2:$I$401,"SIN-RESPALDO")</f>
        <v/>
      </c>
      <c r="U10" s="5">
        <f>COUNTIFS(Afirmaciones!$A$2:$A$401,$A10,Afirmaciones!$B$2:$B$401,$B10,Afirmaciones!$E$2:$E$401,"hecho",Afirmaciones!$I$2:$I$401,"CITA-X")</f>
        <v/>
      </c>
      <c r="V10" s="5">
        <f>COUNTIFS(Afirmaciones!$A$2:$A$401,$A10,Afirmaciones!$B$2:$B$401,$B10,Afirmaciones!$E$2:$E$401,"hecho",Afirmaciones!$I$2:$I$401,"SIN-CITA")</f>
        <v/>
      </c>
      <c r="W10" s="5">
        <f>COUNTIFS(Afirmaciones!$A$2:$A$401,$A10,Afirmaciones!$B$2:$B$401,$B10,Afirmaciones!$E$2:$E$401,"hecho")</f>
        <v/>
      </c>
      <c r="X10" s="5">
        <f>COUNTIFS(Afirmaciones!$A$2:$A$401,$A10,Afirmaciones!$B$2:$B$401,$B10,Afirmaciones!$E$2:$E$401,"hecho",Afirmaciones!$I$2:$I$401,"SOSTENIDA")</f>
        <v/>
      </c>
      <c r="Y10" s="5">
        <f>IF($L10=0,"",IF($M10=0,IF($R10&gt;0,0,2),IF(AND($N10=$M10,$P10+$Q10+$R10=0),2,IF($N10=0,0,1))))</f>
        <v/>
      </c>
      <c r="Z10" s="5">
        <f>IF($L10=0,"",IF($B10="llm","N/A",IF($W10=0,"N/A",IF($X10=$W10,2,IF($X10=0,0,1)))))</f>
        <v/>
      </c>
      <c r="AA10" s="5">
        <f>IF($L10=0,"",IF(AND($P10+$Q10+$R10=0,$T10+$U10=0,$I10&lt;&gt;"SI"),"-",TRIM(IF($P10+$Q10+$R10&gt;0,"CRITICA ","")&amp;IF($T10+$U10&gt;0,"RESPALDO ","")&amp;IF($I10="SI","TRUNC",""))))</f>
        <v/>
      </c>
      <c r="AB10" s="5">
        <f>IF($L10=0,"",IF(AND($R10=0,$AF10=0,$AG10=0,$P10+$Q10=0,$T10+$U10+$V10=0),"OK",TRIM(IF($R10&gt;0,"E0 ","")&amp;IF($AF10&gt;0,"E1 ","")&amp;IF(OR($AG10&gt;0,AND($P10+$Q10&gt;0,$AF10=0)),"E2 ","")&amp;IF($T10+$U10+$V10&gt;0,"E3 ",""))))</f>
        <v/>
      </c>
      <c r="AC10" s="5">
        <f>IF($AB10="","",IF($AB10="OK","OK",LEFT($AB10,2)))</f>
        <v/>
      </c>
      <c r="AD10" s="5">
        <f>IF(OR($L10=0,$B10="llm",$W10=0),"-",$X10&amp;"/"&amp;$W10)</f>
        <v/>
      </c>
      <c r="AE10" s="5">
        <f>IF(OR($L10=0,$B10&lt;&gt;"rag",$M10=0),"-",SUMIFS(Hechos!$H$2:$H$201,Hechos!$A$2:$A$201,$A10)&amp;"/"&amp;$M10)</f>
        <v/>
      </c>
      <c r="AF10" s="5">
        <f>IF($B10="rag",SUMPRODUCT((Hechos!$A$2:$A$201=$A10)*(Hechos!$F$2:$F$201=0)*((Hechos!$E$2:$E$201="NO")+(Hechos!$E$2:$E$201="ALT-P")+(Hechos!$E$2:$E$201=""))),0)</f>
        <v/>
      </c>
      <c r="AG10" s="5">
        <f>IF($B10="rag",SUMPRODUCT((Hechos!$A$2:$A$201=$A10)*(Hechos!$F$2:$F$201=0)*((Hechos!$E$2:$E$201="SI")+(Hechos!$E$2:$E$201="ALT"))),$M10-$N10)</f>
        <v/>
      </c>
      <c r="AH10" s="6" t="n"/>
    </row>
    <row r="11" ht="150" customHeight="1">
      <c r="A11" s="4" t="inlineStr">
        <is>
          <t>p05</t>
        </is>
      </c>
      <c r="B11" s="4" t="inlineStr">
        <is>
          <t>llm</t>
        </is>
      </c>
      <c r="C11" s="4" t="inlineStr">
        <is>
          <t>ES</t>
        </is>
      </c>
      <c r="D11" s="4" t="inlineStr">
        <is>
          <t>completa</t>
        </is>
      </c>
      <c r="E11" s="4" t="inlineStr">
        <is>
          <t>Según ATT&amp;CK, ¿APT29 (G0016) utiliza Mimikatz? Y en caso afirmativo, ¿qué técnicas relacionadas con tickets Kerberos implementa esa herramienta?</t>
        </is>
      </c>
      <c r="F11" s="4" t="inlineStr">
        <is>
          <t>Sí: S0002 Mimikatz aparece en la lista de software usado por APT29 (y G0016 APT29 aparece en la lista 'Used by' de Mimikatz). Entre las técnicas de Mimikatz relacionadas con tickets Kerberos están T1550.003 Pass the Ticket, T1558.001 Golden Ticket y T1558.002 Silver Ticket.</t>
        </is>
      </c>
      <c r="G11" s="4" t="inlineStr"/>
      <c r="H11" s="4" t="inlineStr">
        <is>
          <t>No, según el marco MITRE ATT&amp;CK, el grupo APT29 (identificado como G0016) no se ha documentado como usuario directo de Mimikatz. Aunque APT29 ha sido asociado con técnicas de acceso a sistemas mediante el uso de tickets Kerberos (como T1547.001 - "Exploitation of Kerberos"), estas acciones se realizan mediante herramientas o métodos específicos de ataque, no necesariamente mediante Mimikatz.
Además, Mimikatz es una herramienta de análisis de seguridad que permite la extracción de credenciales almacenadas en memoria (como los tickets Kerberos), y aunque puede ser utilizada por atacantes para obtener acceso a sistemas, su uso no está directamente vinculado a APT29 en fuentes oficiales del MITRE ATT&amp;CK.
En cuanto a técnicas relacionadas con tickets Kerberos que podría implementar APT29:
- **T1547.001 - Exploitation of Kerberos**: Este es el principal sub-técnico relacionado con el uso de tickets Kerberos para obtener acceso a sistemas. APT29 ha sido asociado con este comportamiento, especialmente en ataques que aprovechan vulnerabilidades en el protocolo Kerberos (por ejemplo, en el uso de tickets de tiempo de vida o en la reutilización de tickets).
Por lo tanto:
✅ APT29 (G0016) **no utiliza directamente Mimikatz**.  
✅ APT29 **sí implementa técnicas relacionadas con el uso de tickets Kerberos**, principalmente **T1547.001**.
**Respuesta final:**  
No, APT29 (G0016) no utiliza Mimikatz. Sin embargo, sí implementa la técnica T1547.001 - Exploitation of Kerberos.</t>
        </is>
      </c>
      <c r="I11" s="5" t="inlineStr">
        <is>
          <t>NO</t>
        </is>
      </c>
      <c r="J11" s="5" t="n"/>
      <c r="K11" s="5" t="n"/>
      <c r="L11" s="5">
        <f>COUNTIFS(Afirmaciones!$A$2:$A$401,$A11,Afirmaciones!$B$2:$B$401,$B11)</f>
        <v/>
      </c>
      <c r="M11" s="5">
        <f>COUNTIFS(Hechos!$A$2:$A$201,$A11)</f>
        <v/>
      </c>
      <c r="N11" s="5">
        <f>IF($B11="rag",SUMIFS(Hechos!$F$2:$F$201,Hechos!$A$2:$A$201,$A11),SUMIFS(Hechos!$G$2:$G$201,Hechos!$A$2:$A$201,$A11))</f>
        <v/>
      </c>
      <c r="O11" s="5">
        <f>IF($M11=0,"-",$N11&amp;"/"&amp;$M11)</f>
        <v/>
      </c>
      <c r="P11" s="5">
        <f>COUNTIFS(Afirmaciones!$A$2:$A$401,$A11,Afirmaciones!$B$2:$B$401,$B11,Afirmaciones!$E$2:$E$401,"hecho",Afirmaciones!$F$2:$F$401,"INCORRECTA")</f>
        <v/>
      </c>
      <c r="Q11" s="5">
        <f>COUNTIFS(Afirmaciones!$A$2:$A$401,$A11,Afirmaciones!$B$2:$B$401,$B11,Afirmaciones!$E$2:$E$401,"abstencion",Afirmaciones!$F$2:$F$401,"INCORRECTA")</f>
        <v/>
      </c>
      <c r="R11" s="5">
        <f>COUNTIFS(Afirmaciones!$A$2:$A$401,$A11,Afirmaciones!$B$2:$B$401,$B11,Afirmaciones!$E$2:$E$401,"hecho",Afirmaciones!$F$2:$F$401,"FUERA_REF",Afirmaciones!$H$2:$H$401,"no_resp")</f>
        <v/>
      </c>
      <c r="S11" s="5">
        <f>COUNTIFS(Afirmaciones!$A$2:$A$401,$A11,Afirmaciones!$B$2:$B$401,$B11,Afirmaciones!$E$2:$E$401,"hecho",Afirmaciones!$F$2:$F$401,"FUERA_REF")</f>
        <v/>
      </c>
      <c r="T11" s="5">
        <f>COUNTIFS(Afirmaciones!$A$2:$A$401,$A11,Afirmaciones!$B$2:$B$401,$B11,Afirmaciones!$E$2:$E$401,"hecho",Afirmaciones!$I$2:$I$401,"SIN-RESPALDO")</f>
        <v/>
      </c>
      <c r="U11" s="5">
        <f>COUNTIFS(Afirmaciones!$A$2:$A$401,$A11,Afirmaciones!$B$2:$B$401,$B11,Afirmaciones!$E$2:$E$401,"hecho",Afirmaciones!$I$2:$I$401,"CITA-X")</f>
        <v/>
      </c>
      <c r="V11" s="5">
        <f>COUNTIFS(Afirmaciones!$A$2:$A$401,$A11,Afirmaciones!$B$2:$B$401,$B11,Afirmaciones!$E$2:$E$401,"hecho",Afirmaciones!$I$2:$I$401,"SIN-CITA")</f>
        <v/>
      </c>
      <c r="W11" s="5">
        <f>COUNTIFS(Afirmaciones!$A$2:$A$401,$A11,Afirmaciones!$B$2:$B$401,$B11,Afirmaciones!$E$2:$E$401,"hecho")</f>
        <v/>
      </c>
      <c r="X11" s="5">
        <f>COUNTIFS(Afirmaciones!$A$2:$A$401,$A11,Afirmaciones!$B$2:$B$401,$B11,Afirmaciones!$E$2:$E$401,"hecho",Afirmaciones!$I$2:$I$401,"SOSTENIDA")</f>
        <v/>
      </c>
      <c r="Y11" s="5">
        <f>IF($L11=0,"",IF($M11=0,IF($R11&gt;0,0,2),IF(AND($N11=$M11,$P11+$Q11+$R11=0),2,IF($N11=0,0,1))))</f>
        <v/>
      </c>
      <c r="Z11" s="5">
        <f>IF($L11=0,"",IF($B11="llm","N/A",IF($W11=0,"N/A",IF($X11=$W11,2,IF($X11=0,0,1)))))</f>
        <v/>
      </c>
      <c r="AA11" s="5">
        <f>IF($L11=0,"",IF(AND($P11+$Q11+$R11=0,$T11+$U11=0,$I11&lt;&gt;"SI"),"-",TRIM(IF($P11+$Q11+$R11&gt;0,"CRITICA ","")&amp;IF($T11+$U11&gt;0,"RESPALDO ","")&amp;IF($I11="SI","TRUNC",""))))</f>
        <v/>
      </c>
      <c r="AB11" s="5">
        <f>IF($L11=0,"",IF(AND($R11=0,$AF11=0,$AG11=0,$P11+$Q11=0,$T11+$U11+$V11=0),"OK",TRIM(IF($R11&gt;0,"E0 ","")&amp;IF($AF11&gt;0,"E1 ","")&amp;IF(OR($AG11&gt;0,AND($P11+$Q11&gt;0,$AF11=0)),"E2 ","")&amp;IF($T11+$U11+$V11&gt;0,"E3 ",""))))</f>
        <v/>
      </c>
      <c r="AC11" s="5">
        <f>IF($AB11="","",IF($AB11="OK","OK",LEFT($AB11,2)))</f>
        <v/>
      </c>
      <c r="AD11" s="5">
        <f>IF(OR($L11=0,$B11="llm",$W11=0),"-",$X11&amp;"/"&amp;$W11)</f>
        <v/>
      </c>
      <c r="AE11" s="5">
        <f>IF(OR($L11=0,$B11&lt;&gt;"rag",$M11=0),"-",SUMIFS(Hechos!$H$2:$H$201,Hechos!$A$2:$A$201,$A11)&amp;"/"&amp;$M11)</f>
        <v/>
      </c>
      <c r="AF11" s="5">
        <f>IF($B11="rag",SUMPRODUCT((Hechos!$A$2:$A$201=$A11)*(Hechos!$F$2:$F$201=0)*((Hechos!$E$2:$E$201="NO")+(Hechos!$E$2:$E$201="ALT-P")+(Hechos!$E$2:$E$201=""))),0)</f>
        <v/>
      </c>
      <c r="AG11" s="5">
        <f>IF($B11="rag",SUMPRODUCT((Hechos!$A$2:$A$201=$A11)*(Hechos!$F$2:$F$201=0)*((Hechos!$E$2:$E$201="SI")+(Hechos!$E$2:$E$201="ALT"))),$M11-$N11)</f>
        <v/>
      </c>
      <c r="AH11" s="6" t="n"/>
    </row>
    <row r="12" ht="150" customHeight="1">
      <c r="A12" s="4" t="inlineStr">
        <is>
          <t>p06</t>
        </is>
      </c>
      <c r="B12" s="4" t="inlineStr">
        <is>
          <t>rag</t>
        </is>
      </c>
      <c r="C12" s="4" t="inlineStr">
        <is>
          <t>ES</t>
        </is>
      </c>
      <c r="D12" s="4" t="inlineStr">
        <is>
          <t>parcial</t>
        </is>
      </c>
      <c r="E12" s="4" t="inlineStr">
        <is>
          <t>¿Qué sub-técnicas de intérpretes de comandos (T1059.*) usa Lazarus Group (G0032) según ATT&amp;CK, y qué ataques ha realizado este grupo contra Ecuador?</t>
        </is>
      </c>
      <c r="F12" s="4" t="inlineStr">
        <is>
          <t>ATT&amp;CK atribuye a Lazarus Group tres sub-técnicas de T1059: T1059.001 PowerShell, T1059.003 Windows Command Shell y T1059.005 Visual Basic.</t>
        </is>
      </c>
      <c r="G12" s="4" t="inlineStr">
        <is>
          <t>Ataques contra Ecuador: el documento de G0032 no menciona Ecuador (la única aparición de 'Ecuador' en todo el corpus está en T1480 Execution Guardrails, sin relación con Lazarus).</t>
        </is>
      </c>
      <c r="H12" s="4" t="inlineStr">
        <is>
          <t>No se proporciona información en los contextos sobre qué sub-técnicas de intérpretes de comandos (T1059.*) usa el Lazarus Group (G0032) o sobre ataques específicos que haya realizado contra Ecuador. Aunque se menciona que el Lazarus Group utiliza técnicas como T1059.003 Windows Command Shell y T1059.005 Visual Basic en el contexto de software como AuditCred y TYPEFRAME [1][3], no se especifica explícitamente el uso de sub-técnicas de T1059.* en general, ni se menciona cualquier actividad contra Ecuador.
Además, no hay ninguna referencia en los contextos a ataques realizados por el Lazarus Group contra Ecuador.
Por lo tanto, **no se puede responder con certeza** a la pregunta basándose únicamente en los contextos proporcionados.
**Respuesta: No se puede determinar a partir de los contextos proporcionados.**</t>
        </is>
      </c>
      <c r="I12" s="5" t="inlineStr">
        <is>
          <t>NO</t>
        </is>
      </c>
      <c r="J12" s="5" t="inlineStr">
        <is>
          <t>TODA</t>
        </is>
      </c>
      <c r="K12" s="5" t="inlineStr">
        <is>
          <t>3/3</t>
        </is>
      </c>
      <c r="L12" s="5">
        <f>COUNTIFS(Afirmaciones!$A$2:$A$401,$A12,Afirmaciones!$B$2:$B$401,$B12)</f>
        <v/>
      </c>
      <c r="M12" s="5">
        <f>COUNTIFS(Hechos!$A$2:$A$201,$A12)</f>
        <v/>
      </c>
      <c r="N12" s="5">
        <f>IF($B12="rag",SUMIFS(Hechos!$F$2:$F$201,Hechos!$A$2:$A$201,$A12),SUMIFS(Hechos!$G$2:$G$201,Hechos!$A$2:$A$201,$A12))</f>
        <v/>
      </c>
      <c r="O12" s="5">
        <f>IF($M12=0,"-",$N12&amp;"/"&amp;$M12)</f>
        <v/>
      </c>
      <c r="P12" s="5">
        <f>COUNTIFS(Afirmaciones!$A$2:$A$401,$A12,Afirmaciones!$B$2:$B$401,$B12,Afirmaciones!$E$2:$E$401,"hecho",Afirmaciones!$F$2:$F$401,"INCORRECTA")</f>
        <v/>
      </c>
      <c r="Q12" s="5">
        <f>COUNTIFS(Afirmaciones!$A$2:$A$401,$A12,Afirmaciones!$B$2:$B$401,$B12,Afirmaciones!$E$2:$E$401,"abstencion",Afirmaciones!$F$2:$F$401,"INCORRECTA")</f>
        <v/>
      </c>
      <c r="R12" s="5">
        <f>COUNTIFS(Afirmaciones!$A$2:$A$401,$A12,Afirmaciones!$B$2:$B$401,$B12,Afirmaciones!$E$2:$E$401,"hecho",Afirmaciones!$F$2:$F$401,"FUERA_REF",Afirmaciones!$H$2:$H$401,"no_resp")</f>
        <v/>
      </c>
      <c r="S12" s="5">
        <f>COUNTIFS(Afirmaciones!$A$2:$A$401,$A12,Afirmaciones!$B$2:$B$401,$B12,Afirmaciones!$E$2:$E$401,"hecho",Afirmaciones!$F$2:$F$401,"FUERA_REF")</f>
        <v/>
      </c>
      <c r="T12" s="5">
        <f>COUNTIFS(Afirmaciones!$A$2:$A$401,$A12,Afirmaciones!$B$2:$B$401,$B12,Afirmaciones!$E$2:$E$401,"hecho",Afirmaciones!$I$2:$I$401,"SIN-RESPALDO")</f>
        <v/>
      </c>
      <c r="U12" s="5">
        <f>COUNTIFS(Afirmaciones!$A$2:$A$401,$A12,Afirmaciones!$B$2:$B$401,$B12,Afirmaciones!$E$2:$E$401,"hecho",Afirmaciones!$I$2:$I$401,"CITA-X")</f>
        <v/>
      </c>
      <c r="V12" s="5">
        <f>COUNTIFS(Afirmaciones!$A$2:$A$401,$A12,Afirmaciones!$B$2:$B$401,$B12,Afirmaciones!$E$2:$E$401,"hecho",Afirmaciones!$I$2:$I$401,"SIN-CITA")</f>
        <v/>
      </c>
      <c r="W12" s="5">
        <f>COUNTIFS(Afirmaciones!$A$2:$A$401,$A12,Afirmaciones!$B$2:$B$401,$B12,Afirmaciones!$E$2:$E$401,"hecho")</f>
        <v/>
      </c>
      <c r="X12" s="5">
        <f>COUNTIFS(Afirmaciones!$A$2:$A$401,$A12,Afirmaciones!$B$2:$B$401,$B12,Afirmaciones!$E$2:$E$401,"hecho",Afirmaciones!$I$2:$I$401,"SOSTENIDA")</f>
        <v/>
      </c>
      <c r="Y12" s="5">
        <f>IF($L12=0,"",IF($M12=0,IF($R12&gt;0,0,2),IF(AND($N12=$M12,$P12+$Q12+$R12=0),2,IF($N12=0,0,1))))</f>
        <v/>
      </c>
      <c r="Z12" s="5">
        <f>IF($L12=0,"",IF($B12="llm","N/A",IF($W12=0,"N/A",IF($X12=$W12,2,IF($X12=0,0,1)))))</f>
        <v/>
      </c>
      <c r="AA12" s="5">
        <f>IF($L12=0,"",IF(AND($P12+$Q12+$R12=0,$T12+$U12=0,$I12&lt;&gt;"SI"),"-",TRIM(IF($P12+$Q12+$R12&gt;0,"CRITICA ","")&amp;IF($T12+$U12&gt;0,"RESPALDO ","")&amp;IF($I12="SI","TRUNC",""))))</f>
        <v/>
      </c>
      <c r="AB12" s="5">
        <f>IF($L12=0,"",IF(AND($R12=0,$AF12=0,$AG12=0,$P12+$Q12=0,$T12+$U12+$V12=0),"OK",TRIM(IF($R12&gt;0,"E0 ","")&amp;IF($AF12&gt;0,"E1 ","")&amp;IF(OR($AG12&gt;0,AND($P12+$Q12&gt;0,$AF12=0)),"E2 ","")&amp;IF($T12+$U12+$V12&gt;0,"E3 ",""))))</f>
        <v/>
      </c>
      <c r="AC12" s="5">
        <f>IF($AB12="","",IF($AB12="OK","OK",LEFT($AB12,2)))</f>
        <v/>
      </c>
      <c r="AD12" s="5">
        <f>IF(OR($L12=0,$B12="llm",$W12=0),"-",$X12&amp;"/"&amp;$W12)</f>
        <v/>
      </c>
      <c r="AE12" s="5">
        <f>IF(OR($L12=0,$B12&lt;&gt;"rag",$M12=0),"-",SUMIFS(Hechos!$H$2:$H$201,Hechos!$A$2:$A$201,$A12)&amp;"/"&amp;$M12)</f>
        <v/>
      </c>
      <c r="AF12" s="5">
        <f>IF($B12="rag",SUMPRODUCT((Hechos!$A$2:$A$201=$A12)*(Hechos!$F$2:$F$201=0)*((Hechos!$E$2:$E$201="NO")+(Hechos!$E$2:$E$201="ALT-P")+(Hechos!$E$2:$E$201=""))),0)</f>
        <v/>
      </c>
      <c r="AG12" s="5">
        <f>IF($B12="rag",SUMPRODUCT((Hechos!$A$2:$A$201=$A12)*(Hechos!$F$2:$F$201=0)*((Hechos!$E$2:$E$201="SI")+(Hechos!$E$2:$E$201="ALT"))),$M12-$N12)</f>
        <v/>
      </c>
      <c r="AH12" s="6" t="n"/>
    </row>
    <row r="13" ht="150" customHeight="1">
      <c r="A13" s="4" t="inlineStr">
        <is>
          <t>p06</t>
        </is>
      </c>
      <c r="B13" s="4" t="inlineStr">
        <is>
          <t>llm</t>
        </is>
      </c>
      <c r="C13" s="4" t="inlineStr">
        <is>
          <t>ES</t>
        </is>
      </c>
      <c r="D13" s="4" t="inlineStr">
        <is>
          <t>parcial</t>
        </is>
      </c>
      <c r="E13" s="4" t="inlineStr">
        <is>
          <t>¿Qué sub-técnicas de intérpretes de comandos (T1059.*) usa Lazarus Group (G0032) según ATT&amp;CK, y qué ataques ha realizado este grupo contra Ecuador?</t>
        </is>
      </c>
      <c r="F13" s="4" t="inlineStr">
        <is>
          <t>ATT&amp;CK atribuye a Lazarus Group tres sub-técnicas de T1059: T1059.001 PowerShell, T1059.003 Windows Command Shell y T1059.005 Visual Basic.</t>
        </is>
      </c>
      <c r="G13" s="4" t="inlineStr">
        <is>
          <t>Ataques contra Ecuador: el documento de G0032 no menciona Ecuador (la única aparición de 'Ecuador' en todo el corpus está en T1480 Execution Guardrails, sin relación con Lazarus).</t>
        </is>
      </c>
      <c r="H13" s="4" t="inlineStr">
        <is>
          <t>No se ha documentado oficialmente en el MITRE ATT&amp;CK que el grupo Lazarus (G0032) haya utilizado específicamente sub-técnicas de intérpretes de comandos (T1059.*) como parte de sus actividades conocidas, ni se ha registrado un ataque directo contra Ecuador atribuido a este grupo en fuentes oficiales del MITRE ATT&amp;CK.
Además, el MITRE ATT&amp;CK no proporciona una lista detallada de sub-técnicas (como T1059.001, T1059.002, etc.) que el grupo Lazarus haya utilizado en operaciones específicas, ni hay evidencia verificada de que el grupo haya atacado a Ecuador.
Por lo tanto, **no se puede afirmar con certeza** que Lazarus haya usado sub-técnicas de intérpretes de comandos (T1059.*) o que haya realizado ataques contra Ecuador según el MITRE ATT&amp;CK.
**Respuesta final:**  
No hay evidencia oficial en el MITRE ATT&amp;CK de que el grupo Lazarus (G0032) haya utilizado sub-técnicas de intérpretes de comandos (T1059.*) o haya realizado ataques contra Ecuador.</t>
        </is>
      </c>
      <c r="I13" s="5" t="inlineStr">
        <is>
          <t>NO</t>
        </is>
      </c>
      <c r="J13" s="5" t="n"/>
      <c r="K13" s="5" t="n"/>
      <c r="L13" s="5">
        <f>COUNTIFS(Afirmaciones!$A$2:$A$401,$A13,Afirmaciones!$B$2:$B$401,$B13)</f>
        <v/>
      </c>
      <c r="M13" s="5">
        <f>COUNTIFS(Hechos!$A$2:$A$201,$A13)</f>
        <v/>
      </c>
      <c r="N13" s="5">
        <f>IF($B13="rag",SUMIFS(Hechos!$F$2:$F$201,Hechos!$A$2:$A$201,$A13),SUMIFS(Hechos!$G$2:$G$201,Hechos!$A$2:$A$201,$A13))</f>
        <v/>
      </c>
      <c r="O13" s="5">
        <f>IF($M13=0,"-",$N13&amp;"/"&amp;$M13)</f>
        <v/>
      </c>
      <c r="P13" s="5">
        <f>COUNTIFS(Afirmaciones!$A$2:$A$401,$A13,Afirmaciones!$B$2:$B$401,$B13,Afirmaciones!$E$2:$E$401,"hecho",Afirmaciones!$F$2:$F$401,"INCORRECTA")</f>
        <v/>
      </c>
      <c r="Q13" s="5">
        <f>COUNTIFS(Afirmaciones!$A$2:$A$401,$A13,Afirmaciones!$B$2:$B$401,$B13,Afirmaciones!$E$2:$E$401,"abstencion",Afirmaciones!$F$2:$F$401,"INCORRECTA")</f>
        <v/>
      </c>
      <c r="R13" s="5">
        <f>COUNTIFS(Afirmaciones!$A$2:$A$401,$A13,Afirmaciones!$B$2:$B$401,$B13,Afirmaciones!$E$2:$E$401,"hecho",Afirmaciones!$F$2:$F$401,"FUERA_REF",Afirmaciones!$H$2:$H$401,"no_resp")</f>
        <v/>
      </c>
      <c r="S13" s="5">
        <f>COUNTIFS(Afirmaciones!$A$2:$A$401,$A13,Afirmaciones!$B$2:$B$401,$B13,Afirmaciones!$E$2:$E$401,"hecho",Afirmaciones!$F$2:$F$401,"FUERA_REF")</f>
        <v/>
      </c>
      <c r="T13" s="5">
        <f>COUNTIFS(Afirmaciones!$A$2:$A$401,$A13,Afirmaciones!$B$2:$B$401,$B13,Afirmaciones!$E$2:$E$401,"hecho",Afirmaciones!$I$2:$I$401,"SIN-RESPALDO")</f>
        <v/>
      </c>
      <c r="U13" s="5">
        <f>COUNTIFS(Afirmaciones!$A$2:$A$401,$A13,Afirmaciones!$B$2:$B$401,$B13,Afirmaciones!$E$2:$E$401,"hecho",Afirmaciones!$I$2:$I$401,"CITA-X")</f>
        <v/>
      </c>
      <c r="V13" s="5">
        <f>COUNTIFS(Afirmaciones!$A$2:$A$401,$A13,Afirmaciones!$B$2:$B$401,$B13,Afirmaciones!$E$2:$E$401,"hecho",Afirmaciones!$I$2:$I$401,"SIN-CITA")</f>
        <v/>
      </c>
      <c r="W13" s="5">
        <f>COUNTIFS(Afirmaciones!$A$2:$A$401,$A13,Afirmaciones!$B$2:$B$401,$B13,Afirmaciones!$E$2:$E$401,"hecho")</f>
        <v/>
      </c>
      <c r="X13" s="5">
        <f>COUNTIFS(Afirmaciones!$A$2:$A$401,$A13,Afirmaciones!$B$2:$B$401,$B13,Afirmaciones!$E$2:$E$401,"hecho",Afirmaciones!$I$2:$I$401,"SOSTENIDA")</f>
        <v/>
      </c>
      <c r="Y13" s="5">
        <f>IF($L13=0,"",IF($M13=0,IF($R13&gt;0,0,2),IF(AND($N13=$M13,$P13+$Q13+$R13=0),2,IF($N13=0,0,1))))</f>
        <v/>
      </c>
      <c r="Z13" s="5">
        <f>IF($L13=0,"",IF($B13="llm","N/A",IF($W13=0,"N/A",IF($X13=$W13,2,IF($X13=0,0,1)))))</f>
        <v/>
      </c>
      <c r="AA13" s="5">
        <f>IF($L13=0,"",IF(AND($P13+$Q13+$R13=0,$T13+$U13=0,$I13&lt;&gt;"SI"),"-",TRIM(IF($P13+$Q13+$R13&gt;0,"CRITICA ","")&amp;IF($T13+$U13&gt;0,"RESPALDO ","")&amp;IF($I13="SI","TRUNC",""))))</f>
        <v/>
      </c>
      <c r="AB13" s="5">
        <f>IF($L13=0,"",IF(AND($R13=0,$AF13=0,$AG13=0,$P13+$Q13=0,$T13+$U13+$V13=0),"OK",TRIM(IF($R13&gt;0,"E0 ","")&amp;IF($AF13&gt;0,"E1 ","")&amp;IF(OR($AG13&gt;0,AND($P13+$Q13&gt;0,$AF13=0)),"E2 ","")&amp;IF($T13+$U13+$V13&gt;0,"E3 ",""))))</f>
        <v/>
      </c>
      <c r="AC13" s="5">
        <f>IF($AB13="","",IF($AB13="OK","OK",LEFT($AB13,2)))</f>
        <v/>
      </c>
      <c r="AD13" s="5">
        <f>IF(OR($L13=0,$B13="llm",$W13=0),"-",$X13&amp;"/"&amp;$W13)</f>
        <v/>
      </c>
      <c r="AE13" s="5">
        <f>IF(OR($L13=0,$B13&lt;&gt;"rag",$M13=0),"-",SUMIFS(Hechos!$H$2:$H$201,Hechos!$A$2:$A$201,$A13)&amp;"/"&amp;$M13)</f>
        <v/>
      </c>
      <c r="AF13" s="5">
        <f>IF($B13="rag",SUMPRODUCT((Hechos!$A$2:$A$201=$A13)*(Hechos!$F$2:$F$201=0)*((Hechos!$E$2:$E$201="NO")+(Hechos!$E$2:$E$201="ALT-P")+(Hechos!$E$2:$E$201=""))),0)</f>
        <v/>
      </c>
      <c r="AG13" s="5">
        <f>IF($B13="rag",SUMPRODUCT((Hechos!$A$2:$A$201=$A13)*(Hechos!$F$2:$F$201=0)*((Hechos!$E$2:$E$201="SI")+(Hechos!$E$2:$E$201="ALT"))),$M13-$N13)</f>
        <v/>
      </c>
      <c r="AH13" s="6" t="n"/>
    </row>
    <row r="14" ht="150" customHeight="1">
      <c r="A14" s="4" t="inlineStr">
        <is>
          <t>p07</t>
        </is>
      </c>
      <c r="B14" s="4" t="inlineStr">
        <is>
          <t>rag</t>
        </is>
      </c>
      <c r="C14" s="4" t="inlineStr">
        <is>
          <t>EN</t>
        </is>
      </c>
      <c r="D14" s="4" t="inlineStr">
        <is>
          <t>completa</t>
        </is>
      </c>
      <c r="E14" s="4" t="inlineStr">
        <is>
          <t>According to ATT&amp;CK, how has APT28 (G0007) carried out password spraying (T1110.003)?</t>
        </is>
      </c>
      <c r="F14" s="4" t="inlineStr">
        <is>
          <t>ATT&amp;CK records that during the APT28 Nearest Neighbor Campaign (C0051) APT28 performed password-spray attacks against public-facing services to validate credentials; that APT28 used brute-force/password-spray tooling which, in password-spraying mode, made approximately four authentication attempts per hour per targeted account over several days or weeks; and that APT28 also used a Kubernetes cluster to conduct distributed, large-scale password spray attacks.</t>
        </is>
      </c>
      <c r="G14" s="4" t="inlineStr"/>
      <c r="H14" s="4" t="inlineStr">
        <is>
          <t>APT28 (G0007) has carried out password spraying (T1110.003) by using a brute-force/password-spray tooling that operated in two modes: in password-spraying mode, it conducted approximately four authentication attempts per hour per targeted account over the course of several days or weeks. Additionally, APT28 has used a Kubernetes cluster to conduct distributed, large-scale password spray attacks. During the APT28 Nearest Neighbor Campaign (C0051), APT28 performed password-spray attacks against public-facing services to validate credentials [1][2].</t>
        </is>
      </c>
      <c r="I14" s="5" t="inlineStr">
        <is>
          <t>NO</t>
        </is>
      </c>
      <c r="J14" s="5" t="inlineStr">
        <is>
          <t>TODA</t>
        </is>
      </c>
      <c r="K14" s="5" t="inlineStr">
        <is>
          <t>3/3</t>
        </is>
      </c>
      <c r="L14" s="5">
        <f>COUNTIFS(Afirmaciones!$A$2:$A$401,$A14,Afirmaciones!$B$2:$B$401,$B14)</f>
        <v/>
      </c>
      <c r="M14" s="5">
        <f>COUNTIFS(Hechos!$A$2:$A$201,$A14)</f>
        <v/>
      </c>
      <c r="N14" s="5">
        <f>IF($B14="rag",SUMIFS(Hechos!$F$2:$F$201,Hechos!$A$2:$A$201,$A14),SUMIFS(Hechos!$G$2:$G$201,Hechos!$A$2:$A$201,$A14))</f>
        <v/>
      </c>
      <c r="O14" s="5">
        <f>IF($M14=0,"-",$N14&amp;"/"&amp;$M14)</f>
        <v/>
      </c>
      <c r="P14" s="5">
        <f>COUNTIFS(Afirmaciones!$A$2:$A$401,$A14,Afirmaciones!$B$2:$B$401,$B14,Afirmaciones!$E$2:$E$401,"hecho",Afirmaciones!$F$2:$F$401,"INCORRECTA")</f>
        <v/>
      </c>
      <c r="Q14" s="5">
        <f>COUNTIFS(Afirmaciones!$A$2:$A$401,$A14,Afirmaciones!$B$2:$B$401,$B14,Afirmaciones!$E$2:$E$401,"abstencion",Afirmaciones!$F$2:$F$401,"INCORRECTA")</f>
        <v/>
      </c>
      <c r="R14" s="5">
        <f>COUNTIFS(Afirmaciones!$A$2:$A$401,$A14,Afirmaciones!$B$2:$B$401,$B14,Afirmaciones!$E$2:$E$401,"hecho",Afirmaciones!$F$2:$F$401,"FUERA_REF",Afirmaciones!$H$2:$H$401,"no_resp")</f>
        <v/>
      </c>
      <c r="S14" s="5">
        <f>COUNTIFS(Afirmaciones!$A$2:$A$401,$A14,Afirmaciones!$B$2:$B$401,$B14,Afirmaciones!$E$2:$E$401,"hecho",Afirmaciones!$F$2:$F$401,"FUERA_REF")</f>
        <v/>
      </c>
      <c r="T14" s="5">
        <f>COUNTIFS(Afirmaciones!$A$2:$A$401,$A14,Afirmaciones!$B$2:$B$401,$B14,Afirmaciones!$E$2:$E$401,"hecho",Afirmaciones!$I$2:$I$401,"SIN-RESPALDO")</f>
        <v/>
      </c>
      <c r="U14" s="5">
        <f>COUNTIFS(Afirmaciones!$A$2:$A$401,$A14,Afirmaciones!$B$2:$B$401,$B14,Afirmaciones!$E$2:$E$401,"hecho",Afirmaciones!$I$2:$I$401,"CITA-X")</f>
        <v/>
      </c>
      <c r="V14" s="5">
        <f>COUNTIFS(Afirmaciones!$A$2:$A$401,$A14,Afirmaciones!$B$2:$B$401,$B14,Afirmaciones!$E$2:$E$401,"hecho",Afirmaciones!$I$2:$I$401,"SIN-CITA")</f>
        <v/>
      </c>
      <c r="W14" s="5">
        <f>COUNTIFS(Afirmaciones!$A$2:$A$401,$A14,Afirmaciones!$B$2:$B$401,$B14,Afirmaciones!$E$2:$E$401,"hecho")</f>
        <v/>
      </c>
      <c r="X14" s="5">
        <f>COUNTIFS(Afirmaciones!$A$2:$A$401,$A14,Afirmaciones!$B$2:$B$401,$B14,Afirmaciones!$E$2:$E$401,"hecho",Afirmaciones!$I$2:$I$401,"SOSTENIDA")</f>
        <v/>
      </c>
      <c r="Y14" s="5">
        <f>IF($L14=0,"",IF($M14=0,IF($R14&gt;0,0,2),IF(AND($N14=$M14,$P14+$Q14+$R14=0),2,IF($N14=0,0,1))))</f>
        <v/>
      </c>
      <c r="Z14" s="5">
        <f>IF($L14=0,"",IF($B14="llm","N/A",IF($W14=0,"N/A",IF($X14=$W14,2,IF($X14=0,0,1)))))</f>
        <v/>
      </c>
      <c r="AA14" s="5">
        <f>IF($L14=0,"",IF(AND($P14+$Q14+$R14=0,$T14+$U14=0,$I14&lt;&gt;"SI"),"-",TRIM(IF($P14+$Q14+$R14&gt;0,"CRITICA ","")&amp;IF($T14+$U14&gt;0,"RESPALDO ","")&amp;IF($I14="SI","TRUNC",""))))</f>
        <v/>
      </c>
      <c r="AB14" s="5">
        <f>IF($L14=0,"",IF(AND($R14=0,$AF14=0,$AG14=0,$P14+$Q14=0,$T14+$U14+$V14=0),"OK",TRIM(IF($R14&gt;0,"E0 ","")&amp;IF($AF14&gt;0,"E1 ","")&amp;IF(OR($AG14&gt;0,AND($P14+$Q14&gt;0,$AF14=0)),"E2 ","")&amp;IF($T14+$U14+$V14&gt;0,"E3 ",""))))</f>
        <v/>
      </c>
      <c r="AC14" s="5">
        <f>IF($AB14="","",IF($AB14="OK","OK",LEFT($AB14,2)))</f>
        <v/>
      </c>
      <c r="AD14" s="5">
        <f>IF(OR($L14=0,$B14="llm",$W14=0),"-",$X14&amp;"/"&amp;$W14)</f>
        <v/>
      </c>
      <c r="AE14" s="5">
        <f>IF(OR($L14=0,$B14&lt;&gt;"rag",$M14=0),"-",SUMIFS(Hechos!$H$2:$H$201,Hechos!$A$2:$A$201,$A14)&amp;"/"&amp;$M14)</f>
        <v/>
      </c>
      <c r="AF14" s="5">
        <f>IF($B14="rag",SUMPRODUCT((Hechos!$A$2:$A$201=$A14)*(Hechos!$F$2:$F$201=0)*((Hechos!$E$2:$E$201="NO")+(Hechos!$E$2:$E$201="ALT-P")+(Hechos!$E$2:$E$201=""))),0)</f>
        <v/>
      </c>
      <c r="AG14" s="5">
        <f>IF($B14="rag",SUMPRODUCT((Hechos!$A$2:$A$201=$A14)*(Hechos!$F$2:$F$201=0)*((Hechos!$E$2:$E$201="SI")+(Hechos!$E$2:$E$201="ALT"))),$M14-$N14)</f>
        <v/>
      </c>
      <c r="AH14" s="6" t="n"/>
    </row>
    <row r="15" ht="150" customHeight="1">
      <c r="A15" s="4" t="inlineStr">
        <is>
          <t>p07</t>
        </is>
      </c>
      <c r="B15" s="4" t="inlineStr">
        <is>
          <t>llm</t>
        </is>
      </c>
      <c r="C15" s="4" t="inlineStr">
        <is>
          <t>EN</t>
        </is>
      </c>
      <c r="D15" s="4" t="inlineStr">
        <is>
          <t>completa</t>
        </is>
      </c>
      <c r="E15" s="4" t="inlineStr">
        <is>
          <t>According to ATT&amp;CK, how has APT28 (G0007) carried out password spraying (T1110.003)?</t>
        </is>
      </c>
      <c r="F15" s="4" t="inlineStr">
        <is>
          <t>ATT&amp;CK records that during the APT28 Nearest Neighbor Campaign (C0051) APT28 performed password-spray attacks against public-facing services to validate credentials; that APT28 used brute-force/password-spray tooling which, in password-spraying mode, made approximately four authentication attempts per hour per targeted account over several days or weeks; and that APT28 also used a Kubernetes cluster to conduct distributed, large-scale password spray attacks.</t>
        </is>
      </c>
      <c r="G15" s="4" t="inlineStr"/>
      <c r="H15" s="4" t="inlineStr">
        <is>
          <t>As of now, there is no publicly documented or verified evidence in the MITRE ATT&amp;CK framework that APT28 (G0007) has specifically carried out password spraying (T1110.003) in a manner that is explicitly attributed or detailed within the ATT&amp;CK knowledge base.
While APT28 is known to use credential harvesting and phishing techniques, and password spraying is a common technique used in credential access (T1110.003), the ATT&amp;CK framework does not provide a specific, confirmed instance of APT28 executing password spraying as a tactic or technique.
Therefore, based on available ATT&amp;CK data, **there is no confirmed or documented instance of APT28 (G0007) carrying out password spraying (T1110.003)**.
Note: The MITRE ATT&amp;CK framework describes techniques and behaviors observed in cyberattacks, but it does not assign specific attribution to individual threat actors in all cases—especially for less publicly documented or unverified activities. Attribution remains a complex and often uncertain process.
Answer: There is no confirmed or documented instance in the MITRE ATT&amp;CK framework of APT28 (G0007) carrying out password spraying (T1110.003).</t>
        </is>
      </c>
      <c r="I15" s="5" t="inlineStr">
        <is>
          <t>NO</t>
        </is>
      </c>
      <c r="J15" s="5" t="n"/>
      <c r="K15" s="5" t="n"/>
      <c r="L15" s="5">
        <f>COUNTIFS(Afirmaciones!$A$2:$A$401,$A15,Afirmaciones!$B$2:$B$401,$B15)</f>
        <v/>
      </c>
      <c r="M15" s="5">
        <f>COUNTIFS(Hechos!$A$2:$A$201,$A15)</f>
        <v/>
      </c>
      <c r="N15" s="5">
        <f>IF($B15="rag",SUMIFS(Hechos!$F$2:$F$201,Hechos!$A$2:$A$201,$A15),SUMIFS(Hechos!$G$2:$G$201,Hechos!$A$2:$A$201,$A15))</f>
        <v/>
      </c>
      <c r="O15" s="5">
        <f>IF($M15=0,"-",$N15&amp;"/"&amp;$M15)</f>
        <v/>
      </c>
      <c r="P15" s="5">
        <f>COUNTIFS(Afirmaciones!$A$2:$A$401,$A15,Afirmaciones!$B$2:$B$401,$B15,Afirmaciones!$E$2:$E$401,"hecho",Afirmaciones!$F$2:$F$401,"INCORRECTA")</f>
        <v/>
      </c>
      <c r="Q15" s="5">
        <f>COUNTIFS(Afirmaciones!$A$2:$A$401,$A15,Afirmaciones!$B$2:$B$401,$B15,Afirmaciones!$E$2:$E$401,"abstencion",Afirmaciones!$F$2:$F$401,"INCORRECTA")</f>
        <v/>
      </c>
      <c r="R15" s="5">
        <f>COUNTIFS(Afirmaciones!$A$2:$A$401,$A15,Afirmaciones!$B$2:$B$401,$B15,Afirmaciones!$E$2:$E$401,"hecho",Afirmaciones!$F$2:$F$401,"FUERA_REF",Afirmaciones!$H$2:$H$401,"no_resp")</f>
        <v/>
      </c>
      <c r="S15" s="5">
        <f>COUNTIFS(Afirmaciones!$A$2:$A$401,$A15,Afirmaciones!$B$2:$B$401,$B15,Afirmaciones!$E$2:$E$401,"hecho",Afirmaciones!$F$2:$F$401,"FUERA_REF")</f>
        <v/>
      </c>
      <c r="T15" s="5">
        <f>COUNTIFS(Afirmaciones!$A$2:$A$401,$A15,Afirmaciones!$B$2:$B$401,$B15,Afirmaciones!$E$2:$E$401,"hecho",Afirmaciones!$I$2:$I$401,"SIN-RESPALDO")</f>
        <v/>
      </c>
      <c r="U15" s="5">
        <f>COUNTIFS(Afirmaciones!$A$2:$A$401,$A15,Afirmaciones!$B$2:$B$401,$B15,Afirmaciones!$E$2:$E$401,"hecho",Afirmaciones!$I$2:$I$401,"CITA-X")</f>
        <v/>
      </c>
      <c r="V15" s="5">
        <f>COUNTIFS(Afirmaciones!$A$2:$A$401,$A15,Afirmaciones!$B$2:$B$401,$B15,Afirmaciones!$E$2:$E$401,"hecho",Afirmaciones!$I$2:$I$401,"SIN-CITA")</f>
        <v/>
      </c>
      <c r="W15" s="5">
        <f>COUNTIFS(Afirmaciones!$A$2:$A$401,$A15,Afirmaciones!$B$2:$B$401,$B15,Afirmaciones!$E$2:$E$401,"hecho")</f>
        <v/>
      </c>
      <c r="X15" s="5">
        <f>COUNTIFS(Afirmaciones!$A$2:$A$401,$A15,Afirmaciones!$B$2:$B$401,$B15,Afirmaciones!$E$2:$E$401,"hecho",Afirmaciones!$I$2:$I$401,"SOSTENIDA")</f>
        <v/>
      </c>
      <c r="Y15" s="5">
        <f>IF($L15=0,"",IF($M15=0,IF($R15&gt;0,0,2),IF(AND($N15=$M15,$P15+$Q15+$R15=0),2,IF($N15=0,0,1))))</f>
        <v/>
      </c>
      <c r="Z15" s="5">
        <f>IF($L15=0,"",IF($B15="llm","N/A",IF($W15=0,"N/A",IF($X15=$W15,2,IF($X15=0,0,1)))))</f>
        <v/>
      </c>
      <c r="AA15" s="5">
        <f>IF($L15=0,"",IF(AND($P15+$Q15+$R15=0,$T15+$U15=0,$I15&lt;&gt;"SI"),"-",TRIM(IF($P15+$Q15+$R15&gt;0,"CRITICA ","")&amp;IF($T15+$U15&gt;0,"RESPALDO ","")&amp;IF($I15="SI","TRUNC",""))))</f>
        <v/>
      </c>
      <c r="AB15" s="5">
        <f>IF($L15=0,"",IF(AND($R15=0,$AF15=0,$AG15=0,$P15+$Q15=0,$T15+$U15+$V15=0),"OK",TRIM(IF($R15&gt;0,"E0 ","")&amp;IF($AF15&gt;0,"E1 ","")&amp;IF(OR($AG15&gt;0,AND($P15+$Q15&gt;0,$AF15=0)),"E2 ","")&amp;IF($T15+$U15+$V15&gt;0,"E3 ",""))))</f>
        <v/>
      </c>
      <c r="AC15" s="5">
        <f>IF($AB15="","",IF($AB15="OK","OK",LEFT($AB15,2)))</f>
        <v/>
      </c>
      <c r="AD15" s="5">
        <f>IF(OR($L15=0,$B15="llm",$W15=0),"-",$X15&amp;"/"&amp;$W15)</f>
        <v/>
      </c>
      <c r="AE15" s="5">
        <f>IF(OR($L15=0,$B15&lt;&gt;"rag",$M15=0),"-",SUMIFS(Hechos!$H$2:$H$201,Hechos!$A$2:$A$201,$A15)&amp;"/"&amp;$M15)</f>
        <v/>
      </c>
      <c r="AF15" s="5">
        <f>IF($B15="rag",SUMPRODUCT((Hechos!$A$2:$A$201=$A15)*(Hechos!$F$2:$F$201=0)*((Hechos!$E$2:$E$201="NO")+(Hechos!$E$2:$E$201="ALT-P")+(Hechos!$E$2:$E$201=""))),0)</f>
        <v/>
      </c>
      <c r="AG15" s="5">
        <f>IF($B15="rag",SUMPRODUCT((Hechos!$A$2:$A$201=$A15)*(Hechos!$F$2:$F$201=0)*((Hechos!$E$2:$E$201="SI")+(Hechos!$E$2:$E$201="ALT"))),$M15-$N15)</f>
        <v/>
      </c>
      <c r="AH15" s="6" t="n"/>
    </row>
    <row r="16" ht="150" customHeight="1">
      <c r="A16" s="4" t="inlineStr">
        <is>
          <t>p08</t>
        </is>
      </c>
      <c r="B16" s="4" t="inlineStr">
        <is>
          <t>rag</t>
        </is>
      </c>
      <c r="C16" s="4" t="inlineStr">
        <is>
          <t>ES</t>
        </is>
      </c>
      <c r="D16" s="4" t="inlineStr">
        <is>
          <t>parcial</t>
        </is>
      </c>
      <c r="E16" s="4" t="inlineStr">
        <is>
          <t>¿Qué mitigaciones recomienda ATT&amp;CK contra Password Spraying (T1110.003) y qué porcentaje de las intrusiones registradas en 2025 comenzó con esta técnica?</t>
        </is>
      </c>
      <c r="F16" s="4" t="inlineStr">
        <is>
          <t>ATT&amp;CK recomienda tres mitigaciones: M1027 Password Policies (seguir las guías NIST al definir políticas de contraseñas), M1032 Multi-factor Authentication (usar MFA, también en servicios expuestos a Internet) y M1036 Account Use Policies (bloqueo de cuenta tras cierto número de intentos fallidos, con cuidado de no provocar denegación de servicio; políticas de acceso condicional para bloquear logins desde dispositivos no conformes o fuera de rangos IP de la organización; bloquear autenticaciones desde servicios de anonimización/proxies).</t>
        </is>
      </c>
      <c r="G16" s="4" t="inlineStr">
        <is>
          <t>El porcentaje de intrusiones de 2025 no existe en el corpus: ATT&amp;CK no contiene estadísticas de incidencia.</t>
        </is>
      </c>
      <c r="H16" s="4" t="inlineStr">
        <is>
          <t>No se proporciona información en los contextos sobre mitigaciones contra Password Spraying (T1110.003) ni sobre el porcentaje de intrusiones registradas en 2025 que comenzaron con esta técnica. Por lo tanto, no se puede responder a la pregunta con base en los datos ofrecidos.
[1][2][3][4][5] — ninguno de estos pasajes menciona mitigaciones específicas para T1110.003 ni proporciona datos sobre intrusiones en 2025.</t>
        </is>
      </c>
      <c r="I16" s="5" t="inlineStr">
        <is>
          <t>NO</t>
        </is>
      </c>
      <c r="J16" s="5" t="inlineStr">
        <is>
          <t>NINGUNA</t>
        </is>
      </c>
      <c r="K16" s="5" t="inlineStr">
        <is>
          <t>0/3</t>
        </is>
      </c>
      <c r="L16" s="5">
        <f>COUNTIFS(Afirmaciones!$A$2:$A$401,$A16,Afirmaciones!$B$2:$B$401,$B16)</f>
        <v/>
      </c>
      <c r="M16" s="5">
        <f>COUNTIFS(Hechos!$A$2:$A$201,$A16)</f>
        <v/>
      </c>
      <c r="N16" s="5">
        <f>IF($B16="rag",SUMIFS(Hechos!$F$2:$F$201,Hechos!$A$2:$A$201,$A16),SUMIFS(Hechos!$G$2:$G$201,Hechos!$A$2:$A$201,$A16))</f>
        <v/>
      </c>
      <c r="O16" s="5">
        <f>IF($M16=0,"-",$N16&amp;"/"&amp;$M16)</f>
        <v/>
      </c>
      <c r="P16" s="5">
        <f>COUNTIFS(Afirmaciones!$A$2:$A$401,$A16,Afirmaciones!$B$2:$B$401,$B16,Afirmaciones!$E$2:$E$401,"hecho",Afirmaciones!$F$2:$F$401,"INCORRECTA")</f>
        <v/>
      </c>
      <c r="Q16" s="5">
        <f>COUNTIFS(Afirmaciones!$A$2:$A$401,$A16,Afirmaciones!$B$2:$B$401,$B16,Afirmaciones!$E$2:$E$401,"abstencion",Afirmaciones!$F$2:$F$401,"INCORRECTA")</f>
        <v/>
      </c>
      <c r="R16" s="5">
        <f>COUNTIFS(Afirmaciones!$A$2:$A$401,$A16,Afirmaciones!$B$2:$B$401,$B16,Afirmaciones!$E$2:$E$401,"hecho",Afirmaciones!$F$2:$F$401,"FUERA_REF",Afirmaciones!$H$2:$H$401,"no_resp")</f>
        <v/>
      </c>
      <c r="S16" s="5">
        <f>COUNTIFS(Afirmaciones!$A$2:$A$401,$A16,Afirmaciones!$B$2:$B$401,$B16,Afirmaciones!$E$2:$E$401,"hecho",Afirmaciones!$F$2:$F$401,"FUERA_REF")</f>
        <v/>
      </c>
      <c r="T16" s="5">
        <f>COUNTIFS(Afirmaciones!$A$2:$A$401,$A16,Afirmaciones!$B$2:$B$401,$B16,Afirmaciones!$E$2:$E$401,"hecho",Afirmaciones!$I$2:$I$401,"SIN-RESPALDO")</f>
        <v/>
      </c>
      <c r="U16" s="5">
        <f>COUNTIFS(Afirmaciones!$A$2:$A$401,$A16,Afirmaciones!$B$2:$B$401,$B16,Afirmaciones!$E$2:$E$401,"hecho",Afirmaciones!$I$2:$I$401,"CITA-X")</f>
        <v/>
      </c>
      <c r="V16" s="5">
        <f>COUNTIFS(Afirmaciones!$A$2:$A$401,$A16,Afirmaciones!$B$2:$B$401,$B16,Afirmaciones!$E$2:$E$401,"hecho",Afirmaciones!$I$2:$I$401,"SIN-CITA")</f>
        <v/>
      </c>
      <c r="W16" s="5">
        <f>COUNTIFS(Afirmaciones!$A$2:$A$401,$A16,Afirmaciones!$B$2:$B$401,$B16,Afirmaciones!$E$2:$E$401,"hecho")</f>
        <v/>
      </c>
      <c r="X16" s="5">
        <f>COUNTIFS(Afirmaciones!$A$2:$A$401,$A16,Afirmaciones!$B$2:$B$401,$B16,Afirmaciones!$E$2:$E$401,"hecho",Afirmaciones!$I$2:$I$401,"SOSTENIDA")</f>
        <v/>
      </c>
      <c r="Y16" s="5">
        <f>IF($L16=0,"",IF($M16=0,IF($R16&gt;0,0,2),IF(AND($N16=$M16,$P16+$Q16+$R16=0),2,IF($N16=0,0,1))))</f>
        <v/>
      </c>
      <c r="Z16" s="5">
        <f>IF($L16=0,"",IF($B16="llm","N/A",IF($W16=0,"N/A",IF($X16=$W16,2,IF($X16=0,0,1)))))</f>
        <v/>
      </c>
      <c r="AA16" s="5">
        <f>IF($L16=0,"",IF(AND($P16+$Q16+$R16=0,$T16+$U16=0,$I16&lt;&gt;"SI"),"-",TRIM(IF($P16+$Q16+$R16&gt;0,"CRITICA ","")&amp;IF($T16+$U16&gt;0,"RESPALDO ","")&amp;IF($I16="SI","TRUNC",""))))</f>
        <v/>
      </c>
      <c r="AB16" s="5">
        <f>IF($L16=0,"",IF(AND($R16=0,$AF16=0,$AG16=0,$P16+$Q16=0,$T16+$U16+$V16=0),"OK",TRIM(IF($R16&gt;0,"E0 ","")&amp;IF($AF16&gt;0,"E1 ","")&amp;IF(OR($AG16&gt;0,AND($P16+$Q16&gt;0,$AF16=0)),"E2 ","")&amp;IF($T16+$U16+$V16&gt;0,"E3 ",""))))</f>
        <v/>
      </c>
      <c r="AC16" s="5">
        <f>IF($AB16="","",IF($AB16="OK","OK",LEFT($AB16,2)))</f>
        <v/>
      </c>
      <c r="AD16" s="5">
        <f>IF(OR($L16=0,$B16="llm",$W16=0),"-",$X16&amp;"/"&amp;$W16)</f>
        <v/>
      </c>
      <c r="AE16" s="5">
        <f>IF(OR($L16=0,$B16&lt;&gt;"rag",$M16=0),"-",SUMIFS(Hechos!$H$2:$H$201,Hechos!$A$2:$A$201,$A16)&amp;"/"&amp;$M16)</f>
        <v/>
      </c>
      <c r="AF16" s="5">
        <f>IF($B16="rag",SUMPRODUCT((Hechos!$A$2:$A$201=$A16)*(Hechos!$F$2:$F$201=0)*((Hechos!$E$2:$E$201="NO")+(Hechos!$E$2:$E$201="ALT-P")+(Hechos!$E$2:$E$201=""))),0)</f>
        <v/>
      </c>
      <c r="AG16" s="5">
        <f>IF($B16="rag",SUMPRODUCT((Hechos!$A$2:$A$201=$A16)*(Hechos!$F$2:$F$201=0)*((Hechos!$E$2:$E$201="SI")+(Hechos!$E$2:$E$201="ALT"))),$M16-$N16)</f>
        <v/>
      </c>
      <c r="AH16" s="6" t="n"/>
    </row>
    <row r="17" ht="150" customHeight="1">
      <c r="A17" s="4" t="inlineStr">
        <is>
          <t>p08</t>
        </is>
      </c>
      <c r="B17" s="4" t="inlineStr">
        <is>
          <t>llm</t>
        </is>
      </c>
      <c r="C17" s="4" t="inlineStr">
        <is>
          <t>ES</t>
        </is>
      </c>
      <c r="D17" s="4" t="inlineStr">
        <is>
          <t>parcial</t>
        </is>
      </c>
      <c r="E17" s="4" t="inlineStr">
        <is>
          <t>¿Qué mitigaciones recomienda ATT&amp;CK contra Password Spraying (T1110.003) y qué porcentaje de las intrusiones registradas en 2025 comenzó con esta técnica?</t>
        </is>
      </c>
      <c r="F17" s="4" t="inlineStr">
        <is>
          <t>ATT&amp;CK recomienda tres mitigaciones: M1027 Password Policies (seguir las guías NIST al definir políticas de contraseñas), M1032 Multi-factor Authentication (usar MFA, también en servicios expuestos a Internet) y M1036 Account Use Policies (bloqueo de cuenta tras cierto número de intentos fallidos, con cuidado de no provocar denegación de servicio; políticas de acceso condicional para bloquear logins desde dispositivos no conformes o fuera de rangos IP de la organización; bloquear autenticaciones desde servicios de anonimización/proxies).</t>
        </is>
      </c>
      <c r="G17" s="4" t="inlineStr">
        <is>
          <t>El porcentaje de intrusiones de 2025 no existe en el corpus: ATT&amp;CK no contiene estadísticas de incidencia.</t>
        </is>
      </c>
      <c r="H17" s="4" t="inlineStr">
        <is>
          <t>No se proporciona información oficial en el MITRE ATT&amp;CK sobre mitigaciones específicas para la técnica de Password Spraying (T1110.003), ni se tiene datos disponibles sobre el porcentaje de intrusiones registradas en 2025 que comenzaron con esta técnica.  
El MITRE ATT&amp;CK no publica estadísticas anuales sobre el número o porcentaje de intrusiones que comenzaron con una técnica específica en un año futuro como 2025, ya que es un conjunto de conocimiento de amenazas y no un repositorio de datos de incidentes históricos o proyectados.  
Por lo tanto, **no se puede afirmar un porcentaje de intrusiones en 2025 que comenzaron con Password Spraying**, y **no se recomiendan mitigaciones específicas en el MITRE ATT&amp;CK para esta técnica** en el contexto de datos de 2025.  
Las mitigaciones recomendadas para Password Spraying (T1110.003) en general, basadas en buenas prácticas de seguridad, incluyen:  
- Uso de políticas de contraseñas fuertes y complejas.  
- Implementación de autenticación multifactor (MFA).  
- Configuración de alertas para intentos de acceso múltiples con credenciales.  
- Uso de herramientas de detección de comportamiento anómalo.  
- Educación del personal sobre riesgos de ataques de "spraying".  
Sin embargo, estas no son mitigaciones directamente especificadas por el MITRE ATT&amp;CK para T1110.003.  
✅ Respuesta final:  
**No se proporcionan mitigaciones específicas en el MITRE ATT&amp;CK para Password Spraying (T1110.003), y no se tiene datos sobre el porcentaje de intrusiones registradas en 2025 que comenzaron con esta técnica.**</t>
        </is>
      </c>
      <c r="I17" s="5" t="inlineStr">
        <is>
          <t>NO</t>
        </is>
      </c>
      <c r="J17" s="5" t="n"/>
      <c r="K17" s="5" t="n"/>
      <c r="L17" s="5">
        <f>COUNTIFS(Afirmaciones!$A$2:$A$401,$A17,Afirmaciones!$B$2:$B$401,$B17)</f>
        <v/>
      </c>
      <c r="M17" s="5">
        <f>COUNTIFS(Hechos!$A$2:$A$201,$A17)</f>
        <v/>
      </c>
      <c r="N17" s="5">
        <f>IF($B17="rag",SUMIFS(Hechos!$F$2:$F$201,Hechos!$A$2:$A$201,$A17),SUMIFS(Hechos!$G$2:$G$201,Hechos!$A$2:$A$201,$A17))</f>
        <v/>
      </c>
      <c r="O17" s="5">
        <f>IF($M17=0,"-",$N17&amp;"/"&amp;$M17)</f>
        <v/>
      </c>
      <c r="P17" s="5">
        <f>COUNTIFS(Afirmaciones!$A$2:$A$401,$A17,Afirmaciones!$B$2:$B$401,$B17,Afirmaciones!$E$2:$E$401,"hecho",Afirmaciones!$F$2:$F$401,"INCORRECTA")</f>
        <v/>
      </c>
      <c r="Q17" s="5">
        <f>COUNTIFS(Afirmaciones!$A$2:$A$401,$A17,Afirmaciones!$B$2:$B$401,$B17,Afirmaciones!$E$2:$E$401,"abstencion",Afirmaciones!$F$2:$F$401,"INCORRECTA")</f>
        <v/>
      </c>
      <c r="R17" s="5">
        <f>COUNTIFS(Afirmaciones!$A$2:$A$401,$A17,Afirmaciones!$B$2:$B$401,$B17,Afirmaciones!$E$2:$E$401,"hecho",Afirmaciones!$F$2:$F$401,"FUERA_REF",Afirmaciones!$H$2:$H$401,"no_resp")</f>
        <v/>
      </c>
      <c r="S17" s="5">
        <f>COUNTIFS(Afirmaciones!$A$2:$A$401,$A17,Afirmaciones!$B$2:$B$401,$B17,Afirmaciones!$E$2:$E$401,"hecho",Afirmaciones!$F$2:$F$401,"FUERA_REF")</f>
        <v/>
      </c>
      <c r="T17" s="5">
        <f>COUNTIFS(Afirmaciones!$A$2:$A$401,$A17,Afirmaciones!$B$2:$B$401,$B17,Afirmaciones!$E$2:$E$401,"hecho",Afirmaciones!$I$2:$I$401,"SIN-RESPALDO")</f>
        <v/>
      </c>
      <c r="U17" s="5">
        <f>COUNTIFS(Afirmaciones!$A$2:$A$401,$A17,Afirmaciones!$B$2:$B$401,$B17,Afirmaciones!$E$2:$E$401,"hecho",Afirmaciones!$I$2:$I$401,"CITA-X")</f>
        <v/>
      </c>
      <c r="V17" s="5">
        <f>COUNTIFS(Afirmaciones!$A$2:$A$401,$A17,Afirmaciones!$B$2:$B$401,$B17,Afirmaciones!$E$2:$E$401,"hecho",Afirmaciones!$I$2:$I$401,"SIN-CITA")</f>
        <v/>
      </c>
      <c r="W17" s="5">
        <f>COUNTIFS(Afirmaciones!$A$2:$A$401,$A17,Afirmaciones!$B$2:$B$401,$B17,Afirmaciones!$E$2:$E$401,"hecho")</f>
        <v/>
      </c>
      <c r="X17" s="5">
        <f>COUNTIFS(Afirmaciones!$A$2:$A$401,$A17,Afirmaciones!$B$2:$B$401,$B17,Afirmaciones!$E$2:$E$401,"hecho",Afirmaciones!$I$2:$I$401,"SOSTENIDA")</f>
        <v/>
      </c>
      <c r="Y17" s="5">
        <f>IF($L17=0,"",IF($M17=0,IF($R17&gt;0,0,2),IF(AND($N17=$M17,$P17+$Q17+$R17=0),2,IF($N17=0,0,1))))</f>
        <v/>
      </c>
      <c r="Z17" s="5">
        <f>IF($L17=0,"",IF($B17="llm","N/A",IF($W17=0,"N/A",IF($X17=$W17,2,IF($X17=0,0,1)))))</f>
        <v/>
      </c>
      <c r="AA17" s="5">
        <f>IF($L17=0,"",IF(AND($P17+$Q17+$R17=0,$T17+$U17=0,$I17&lt;&gt;"SI"),"-",TRIM(IF($P17+$Q17+$R17&gt;0,"CRITICA ","")&amp;IF($T17+$U17&gt;0,"RESPALDO ","")&amp;IF($I17="SI","TRUNC",""))))</f>
        <v/>
      </c>
      <c r="AB17" s="5">
        <f>IF($L17=0,"",IF(AND($R17=0,$AF17=0,$AG17=0,$P17+$Q17=0,$T17+$U17+$V17=0),"OK",TRIM(IF($R17&gt;0,"E0 ","")&amp;IF($AF17&gt;0,"E1 ","")&amp;IF(OR($AG17&gt;0,AND($P17+$Q17&gt;0,$AF17=0)),"E2 ","")&amp;IF($T17+$U17+$V17&gt;0,"E3 ",""))))</f>
        <v/>
      </c>
      <c r="AC17" s="5">
        <f>IF($AB17="","",IF($AB17="OK","OK",LEFT($AB17,2)))</f>
        <v/>
      </c>
      <c r="AD17" s="5">
        <f>IF(OR($L17=0,$B17="llm",$W17=0),"-",$X17&amp;"/"&amp;$W17)</f>
        <v/>
      </c>
      <c r="AE17" s="5">
        <f>IF(OR($L17=0,$B17&lt;&gt;"rag",$M17=0),"-",SUMIFS(Hechos!$H$2:$H$201,Hechos!$A$2:$A$201,$A17)&amp;"/"&amp;$M17)</f>
        <v/>
      </c>
      <c r="AF17" s="5">
        <f>IF($B17="rag",SUMPRODUCT((Hechos!$A$2:$A$201=$A17)*(Hechos!$F$2:$F$201=0)*((Hechos!$E$2:$E$201="NO")+(Hechos!$E$2:$E$201="ALT-P")+(Hechos!$E$2:$E$201=""))),0)</f>
        <v/>
      </c>
      <c r="AG17" s="5">
        <f>IF($B17="rag",SUMPRODUCT((Hechos!$A$2:$A$201=$A17)*(Hechos!$F$2:$F$201=0)*((Hechos!$E$2:$E$201="SI")+(Hechos!$E$2:$E$201="ALT"))),$M17-$N17)</f>
        <v/>
      </c>
      <c r="AH17" s="6" t="n"/>
    </row>
    <row r="18" ht="150" customHeight="1">
      <c r="A18" s="4" t="inlineStr">
        <is>
          <t>p09</t>
        </is>
      </c>
      <c r="B18" s="4" t="inlineStr">
        <is>
          <t>rag</t>
        </is>
      </c>
      <c r="C18" s="4" t="inlineStr">
        <is>
          <t>EN</t>
        </is>
      </c>
      <c r="D18" s="4" t="inlineStr">
        <is>
          <t>parcial</t>
        </is>
      </c>
      <c r="E18" s="4" t="inlineStr">
        <is>
          <t>Which mitigations does ATT&amp;CK list for Phishing (T1566), and which commercial email security product does MITRE recommend to implement them?</t>
        </is>
      </c>
      <c r="F18" s="4" t="inlineStr">
        <is>
          <t>ATT&amp;CK lists six mitigations for Phishing: M1031 Network Intrusion Prevention (systems that scan and remove malicious attachments or links), M1021 Restrict Web-Based Content (block risky attachment types such as .scr, .exe, .pif, .cpl), M1017 User Training (train users to recognise social engineering and phishing), M1049 Antivirus/Antimalware (automatic quarantine of suspicious files), M1054 Software Configuration (anti-spoofing and email authentication: SPF, DKIM, DMARC) and M1047 Audit (audits/scans of systems, permissions and configurations).</t>
        </is>
      </c>
      <c r="G18" s="4" t="inlineStr">
        <is>
          <t>MITRE ATT&amp;CK does not recommend commercial vendors or products; no such recommendation exists in the corpus.</t>
        </is>
      </c>
      <c r="H18" s="4" t="inlineStr">
        <is>
          <t>The provided context passages do not list any mitigations for Phishing (T1566) nor do they specify any commercial email security product that MITRE recommends to implement them. While the passages mention email authentication mechanisms such as SPF, DKIM, and DMARC as part of filtering and validation, they do not explicitly state these as mitigations for T1566 or identify a specific commercial product to implement them [5]. Therefore, based on the given context, no mitigations or recommended commercial products are specified.
Answer: None of the mitigations or commercial email security products are listed in the provided context.</t>
        </is>
      </c>
      <c r="I18" s="5" t="inlineStr">
        <is>
          <t>NO</t>
        </is>
      </c>
      <c r="J18" s="5" t="inlineStr">
        <is>
          <t>PARTE</t>
        </is>
      </c>
      <c r="K18" s="5" t="inlineStr">
        <is>
          <t>2/6</t>
        </is>
      </c>
      <c r="L18" s="5">
        <f>COUNTIFS(Afirmaciones!$A$2:$A$401,$A18,Afirmaciones!$B$2:$B$401,$B18)</f>
        <v/>
      </c>
      <c r="M18" s="5">
        <f>COUNTIFS(Hechos!$A$2:$A$201,$A18)</f>
        <v/>
      </c>
      <c r="N18" s="5">
        <f>IF($B18="rag",SUMIFS(Hechos!$F$2:$F$201,Hechos!$A$2:$A$201,$A18),SUMIFS(Hechos!$G$2:$G$201,Hechos!$A$2:$A$201,$A18))</f>
        <v/>
      </c>
      <c r="O18" s="5">
        <f>IF($M18=0,"-",$N18&amp;"/"&amp;$M18)</f>
        <v/>
      </c>
      <c r="P18" s="5">
        <f>COUNTIFS(Afirmaciones!$A$2:$A$401,$A18,Afirmaciones!$B$2:$B$401,$B18,Afirmaciones!$E$2:$E$401,"hecho",Afirmaciones!$F$2:$F$401,"INCORRECTA")</f>
        <v/>
      </c>
      <c r="Q18" s="5">
        <f>COUNTIFS(Afirmaciones!$A$2:$A$401,$A18,Afirmaciones!$B$2:$B$401,$B18,Afirmaciones!$E$2:$E$401,"abstencion",Afirmaciones!$F$2:$F$401,"INCORRECTA")</f>
        <v/>
      </c>
      <c r="R18" s="5">
        <f>COUNTIFS(Afirmaciones!$A$2:$A$401,$A18,Afirmaciones!$B$2:$B$401,$B18,Afirmaciones!$E$2:$E$401,"hecho",Afirmaciones!$F$2:$F$401,"FUERA_REF",Afirmaciones!$H$2:$H$401,"no_resp")</f>
        <v/>
      </c>
      <c r="S18" s="5">
        <f>COUNTIFS(Afirmaciones!$A$2:$A$401,$A18,Afirmaciones!$B$2:$B$401,$B18,Afirmaciones!$E$2:$E$401,"hecho",Afirmaciones!$F$2:$F$401,"FUERA_REF")</f>
        <v/>
      </c>
      <c r="T18" s="5">
        <f>COUNTIFS(Afirmaciones!$A$2:$A$401,$A18,Afirmaciones!$B$2:$B$401,$B18,Afirmaciones!$E$2:$E$401,"hecho",Afirmaciones!$I$2:$I$401,"SIN-RESPALDO")</f>
        <v/>
      </c>
      <c r="U18" s="5">
        <f>COUNTIFS(Afirmaciones!$A$2:$A$401,$A18,Afirmaciones!$B$2:$B$401,$B18,Afirmaciones!$E$2:$E$401,"hecho",Afirmaciones!$I$2:$I$401,"CITA-X")</f>
        <v/>
      </c>
      <c r="V18" s="5">
        <f>COUNTIFS(Afirmaciones!$A$2:$A$401,$A18,Afirmaciones!$B$2:$B$401,$B18,Afirmaciones!$E$2:$E$401,"hecho",Afirmaciones!$I$2:$I$401,"SIN-CITA")</f>
        <v/>
      </c>
      <c r="W18" s="5">
        <f>COUNTIFS(Afirmaciones!$A$2:$A$401,$A18,Afirmaciones!$B$2:$B$401,$B18,Afirmaciones!$E$2:$E$401,"hecho")</f>
        <v/>
      </c>
      <c r="X18" s="5">
        <f>COUNTIFS(Afirmaciones!$A$2:$A$401,$A18,Afirmaciones!$B$2:$B$401,$B18,Afirmaciones!$E$2:$E$401,"hecho",Afirmaciones!$I$2:$I$401,"SOSTENIDA")</f>
        <v/>
      </c>
      <c r="Y18" s="5">
        <f>IF($L18=0,"",IF($M18=0,IF($R18&gt;0,0,2),IF(AND($N18=$M18,$P18+$Q18+$R18=0),2,IF($N18=0,0,1))))</f>
        <v/>
      </c>
      <c r="Z18" s="5">
        <f>IF($L18=0,"",IF($B18="llm","N/A",IF($W18=0,"N/A",IF($X18=$W18,2,IF($X18=0,0,1)))))</f>
        <v/>
      </c>
      <c r="AA18" s="5">
        <f>IF($L18=0,"",IF(AND($P18+$Q18+$R18=0,$T18+$U18=0,$I18&lt;&gt;"SI"),"-",TRIM(IF($P18+$Q18+$R18&gt;0,"CRITICA ","")&amp;IF($T18+$U18&gt;0,"RESPALDO ","")&amp;IF($I18="SI","TRUNC",""))))</f>
        <v/>
      </c>
      <c r="AB18" s="5">
        <f>IF($L18=0,"",IF(AND($R18=0,$AF18=0,$AG18=0,$P18+$Q18=0,$T18+$U18+$V18=0),"OK",TRIM(IF($R18&gt;0,"E0 ","")&amp;IF($AF18&gt;0,"E1 ","")&amp;IF(OR($AG18&gt;0,AND($P18+$Q18&gt;0,$AF18=0)),"E2 ","")&amp;IF($T18+$U18+$V18&gt;0,"E3 ",""))))</f>
        <v/>
      </c>
      <c r="AC18" s="5">
        <f>IF($AB18="","",IF($AB18="OK","OK",LEFT($AB18,2)))</f>
        <v/>
      </c>
      <c r="AD18" s="5">
        <f>IF(OR($L18=0,$B18="llm",$W18=0),"-",$X18&amp;"/"&amp;$W18)</f>
        <v/>
      </c>
      <c r="AE18" s="5">
        <f>IF(OR($L18=0,$B18&lt;&gt;"rag",$M18=0),"-",SUMIFS(Hechos!$H$2:$H$201,Hechos!$A$2:$A$201,$A18)&amp;"/"&amp;$M18)</f>
        <v/>
      </c>
      <c r="AF18" s="5">
        <f>IF($B18="rag",SUMPRODUCT((Hechos!$A$2:$A$201=$A18)*(Hechos!$F$2:$F$201=0)*((Hechos!$E$2:$E$201="NO")+(Hechos!$E$2:$E$201="ALT-P")+(Hechos!$E$2:$E$201=""))),0)</f>
        <v/>
      </c>
      <c r="AG18" s="5">
        <f>IF($B18="rag",SUMPRODUCT((Hechos!$A$2:$A$201=$A18)*(Hechos!$F$2:$F$201=0)*((Hechos!$E$2:$E$201="SI")+(Hechos!$E$2:$E$201="ALT"))),$M18-$N18)</f>
        <v/>
      </c>
      <c r="AH18" s="6" t="n"/>
    </row>
    <row r="19" ht="150" customHeight="1">
      <c r="A19" s="4" t="inlineStr">
        <is>
          <t>p09</t>
        </is>
      </c>
      <c r="B19" s="4" t="inlineStr">
        <is>
          <t>llm</t>
        </is>
      </c>
      <c r="C19" s="4" t="inlineStr">
        <is>
          <t>EN</t>
        </is>
      </c>
      <c r="D19" s="4" t="inlineStr">
        <is>
          <t>parcial</t>
        </is>
      </c>
      <c r="E19" s="4" t="inlineStr">
        <is>
          <t>Which mitigations does ATT&amp;CK list for Phishing (T1566), and which commercial email security product does MITRE recommend to implement them?</t>
        </is>
      </c>
      <c r="F19" s="4" t="inlineStr">
        <is>
          <t>ATT&amp;CK lists six mitigations for Phishing: M1031 Network Intrusion Prevention (systems that scan and remove malicious attachments or links), M1021 Restrict Web-Based Content (block risky attachment types such as .scr, .exe, .pif, .cpl), M1017 User Training (train users to recognise social engineering and phishing), M1049 Antivirus/Antimalware (automatic quarantine of suspicious files), M1054 Software Configuration (anti-spoofing and email authentication: SPF, DKIM, DMARC) and M1047 Audit (audits/scans of systems, permissions and configurations).</t>
        </is>
      </c>
      <c r="G19" s="4" t="inlineStr">
        <is>
          <t>MITRE ATT&amp;CK does not recommend commercial vendors or products; no such recommendation exists in the corpus.</t>
        </is>
      </c>
      <c r="H19" s="4" t="inlineStr">
        <is>
          <t>MITRE ATT&amp;CK does not list specific mitigations for Phishing (T1566) in the traditional sense of "mitigations" like firewall rules or endpoint protections. Instead, ATT&amp;CK provides a structured framework of tactics, techniques, and sub-techniques that adversaries use—such as phishing (T1566)—and recommends detection and prevention strategies based on real-world threat intelligence.
For Phishing (T1566), ATT&amp;CK recommends the following **detection and mitigation approaches**:
- **Email content filtering** to detect suspicious or malicious content.
- **Domain-based message authentication, reporting, and conformance (DMARC)** to prevent spoofed emails.
- **Sender Policy Framework (SPF)** and **DomainKeys Identified Mail (DKIM)** to verify sender authenticity.
- **User education and awareness programs** to reduce human susceptibility to phishing.
- **Real-time threat intelligence integration** to identify known phishing domains or URLs.
- **Behavioral analysis** to detect anomalies in email patterns (e.g., unusual senders, attachments, or links).
These are not "mitigations" in the sense of a product feature, but rather **security controls and practices** that help prevent or detect phishing attacks.
Regarding commercial email security products, MITRE does **not** recommend a specific commercial product** for implementing these mitigations. However, MITRE often references or aligns with industry-leading email security solutions that support these controls. For example:
- **Microsoft 365 Defender** (formerly Microsoft Defender for Office 365) is frequently cited in ATT&amp;CK for its capabilities in detecting and blocking phishing emails using DMARC, SPF, DKIM, and AI-driven content analysis.
- **Proofpoint**, **Palo Alto Networks Prisma Cloud**, and **Symantec Email Security** are also known to support many of these ATT&amp;CK-aligned controls.
✅ Therefore, while MITRE does not explicitly recommend a single commercial product for phishing mitigation, **Microsoft 365 Defender** is widely recognized and referenced in the ATT&amp;CK framework as a product that effectively implements many of the recommended mitigations for T1566 (Phishing).
**Final Answer:**
MITRE ATT&amp;CK does not list specific "mitigations" for Phishing (T1566) as a standalone category, but recommends controls such as DMARC/SPF/DKIM, user awareness, and real-time threat intelligence. MITRE does not recommend a single commercial product; however, **Microsoft 365 Defender** is a widely recognized email security solution that supports these ATT&amp;CK-aligned mitigations.</t>
        </is>
      </c>
      <c r="I19" s="5" t="inlineStr">
        <is>
          <t>NO</t>
        </is>
      </c>
      <c r="J19" s="5" t="n"/>
      <c r="K19" s="5" t="n"/>
      <c r="L19" s="5">
        <f>COUNTIFS(Afirmaciones!$A$2:$A$401,$A19,Afirmaciones!$B$2:$B$401,$B19)</f>
        <v/>
      </c>
      <c r="M19" s="5">
        <f>COUNTIFS(Hechos!$A$2:$A$201,$A19)</f>
        <v/>
      </c>
      <c r="N19" s="5">
        <f>IF($B19="rag",SUMIFS(Hechos!$F$2:$F$201,Hechos!$A$2:$A$201,$A19),SUMIFS(Hechos!$G$2:$G$201,Hechos!$A$2:$A$201,$A19))</f>
        <v/>
      </c>
      <c r="O19" s="5">
        <f>IF($M19=0,"-",$N19&amp;"/"&amp;$M19)</f>
        <v/>
      </c>
      <c r="P19" s="5">
        <f>COUNTIFS(Afirmaciones!$A$2:$A$401,$A19,Afirmaciones!$B$2:$B$401,$B19,Afirmaciones!$E$2:$E$401,"hecho",Afirmaciones!$F$2:$F$401,"INCORRECTA")</f>
        <v/>
      </c>
      <c r="Q19" s="5">
        <f>COUNTIFS(Afirmaciones!$A$2:$A$401,$A19,Afirmaciones!$B$2:$B$401,$B19,Afirmaciones!$E$2:$E$401,"abstencion",Afirmaciones!$F$2:$F$401,"INCORRECTA")</f>
        <v/>
      </c>
      <c r="R19" s="5">
        <f>COUNTIFS(Afirmaciones!$A$2:$A$401,$A19,Afirmaciones!$B$2:$B$401,$B19,Afirmaciones!$E$2:$E$401,"hecho",Afirmaciones!$F$2:$F$401,"FUERA_REF",Afirmaciones!$H$2:$H$401,"no_resp")</f>
        <v/>
      </c>
      <c r="S19" s="5">
        <f>COUNTIFS(Afirmaciones!$A$2:$A$401,$A19,Afirmaciones!$B$2:$B$401,$B19,Afirmaciones!$E$2:$E$401,"hecho",Afirmaciones!$F$2:$F$401,"FUERA_REF")</f>
        <v/>
      </c>
      <c r="T19" s="5">
        <f>COUNTIFS(Afirmaciones!$A$2:$A$401,$A19,Afirmaciones!$B$2:$B$401,$B19,Afirmaciones!$E$2:$E$401,"hecho",Afirmaciones!$I$2:$I$401,"SIN-RESPALDO")</f>
        <v/>
      </c>
      <c r="U19" s="5">
        <f>COUNTIFS(Afirmaciones!$A$2:$A$401,$A19,Afirmaciones!$B$2:$B$401,$B19,Afirmaciones!$E$2:$E$401,"hecho",Afirmaciones!$I$2:$I$401,"CITA-X")</f>
        <v/>
      </c>
      <c r="V19" s="5">
        <f>COUNTIFS(Afirmaciones!$A$2:$A$401,$A19,Afirmaciones!$B$2:$B$401,$B19,Afirmaciones!$E$2:$E$401,"hecho",Afirmaciones!$I$2:$I$401,"SIN-CITA")</f>
        <v/>
      </c>
      <c r="W19" s="5">
        <f>COUNTIFS(Afirmaciones!$A$2:$A$401,$A19,Afirmaciones!$B$2:$B$401,$B19,Afirmaciones!$E$2:$E$401,"hecho")</f>
        <v/>
      </c>
      <c r="X19" s="5">
        <f>COUNTIFS(Afirmaciones!$A$2:$A$401,$A19,Afirmaciones!$B$2:$B$401,$B19,Afirmaciones!$E$2:$E$401,"hecho",Afirmaciones!$I$2:$I$401,"SOSTENIDA")</f>
        <v/>
      </c>
      <c r="Y19" s="5">
        <f>IF($L19=0,"",IF($M19=0,IF($R19&gt;0,0,2),IF(AND($N19=$M19,$P19+$Q19+$R19=0),2,IF($N19=0,0,1))))</f>
        <v/>
      </c>
      <c r="Z19" s="5">
        <f>IF($L19=0,"",IF($B19="llm","N/A",IF($W19=0,"N/A",IF($X19=$W19,2,IF($X19=0,0,1)))))</f>
        <v/>
      </c>
      <c r="AA19" s="5">
        <f>IF($L19=0,"",IF(AND($P19+$Q19+$R19=0,$T19+$U19=0,$I19&lt;&gt;"SI"),"-",TRIM(IF($P19+$Q19+$R19&gt;0,"CRITICA ","")&amp;IF($T19+$U19&gt;0,"RESPALDO ","")&amp;IF($I19="SI","TRUNC",""))))</f>
        <v/>
      </c>
      <c r="AB19" s="5">
        <f>IF($L19=0,"",IF(AND($R19=0,$AF19=0,$AG19=0,$P19+$Q19=0,$T19+$U19+$V19=0),"OK",TRIM(IF($R19&gt;0,"E0 ","")&amp;IF($AF19&gt;0,"E1 ","")&amp;IF(OR($AG19&gt;0,AND($P19+$Q19&gt;0,$AF19=0)),"E2 ","")&amp;IF($T19+$U19+$V19&gt;0,"E3 ",""))))</f>
        <v/>
      </c>
      <c r="AC19" s="5">
        <f>IF($AB19="","",IF($AB19="OK","OK",LEFT($AB19,2)))</f>
        <v/>
      </c>
      <c r="AD19" s="5">
        <f>IF(OR($L19=0,$B19="llm",$W19=0),"-",$X19&amp;"/"&amp;$W19)</f>
        <v/>
      </c>
      <c r="AE19" s="5">
        <f>IF(OR($L19=0,$B19&lt;&gt;"rag",$M19=0),"-",SUMIFS(Hechos!$H$2:$H$201,Hechos!$A$2:$A$201,$A19)&amp;"/"&amp;$M19)</f>
        <v/>
      </c>
      <c r="AF19" s="5">
        <f>IF($B19="rag",SUMPRODUCT((Hechos!$A$2:$A$201=$A19)*(Hechos!$F$2:$F$201=0)*((Hechos!$E$2:$E$201="NO")+(Hechos!$E$2:$E$201="ALT-P")+(Hechos!$E$2:$E$201=""))),0)</f>
        <v/>
      </c>
      <c r="AG19" s="5">
        <f>IF($B19="rag",SUMPRODUCT((Hechos!$A$2:$A$201=$A19)*(Hechos!$F$2:$F$201=0)*((Hechos!$E$2:$E$201="SI")+(Hechos!$E$2:$E$201="ALT"))),$M19-$N19)</f>
        <v/>
      </c>
      <c r="AH19" s="6" t="n"/>
    </row>
    <row r="20" ht="150" customHeight="1">
      <c r="A20" s="4" t="inlineStr">
        <is>
          <t>p10</t>
        </is>
      </c>
      <c r="B20" s="4" t="inlineStr">
        <is>
          <t>rag</t>
        </is>
      </c>
      <c r="C20" s="4" t="inlineStr">
        <is>
          <t>ES</t>
        </is>
      </c>
      <c r="D20" s="4" t="inlineStr">
        <is>
          <t>nula</t>
        </is>
      </c>
      <c r="E20" s="4" t="inlineStr">
        <is>
          <t>¿Qué es la técnica T1417 Input Capture de ATT&amp;CK Mobile y qué mitigaciones propone ATT&amp;CK para ella?</t>
        </is>
      </c>
      <c r="F20" s="4" t="inlineStr">
        <is>
          <t>No respondible con el corpus: sólo está ingestado el dominio enterprise-attack; T1417 pertenece a mobile-attack y no existe ningún chunk con ese ID. La respuesta correcta es abstenerse indicando que el contexto no contiene esa información.</t>
        </is>
      </c>
      <c r="G20" s="4" t="inlineStr">
        <is>
          <t>Toda la pregunta.</t>
        </is>
      </c>
      <c r="H20" s="4" t="inlineStr">
        <is>
          <t>No se proporciona información sobre la técnica T1417 Input Capture en el contexto dado. Además, no hay menciones a ninguna técnica denominada "T1417 Input Capture" ni a mitigaciones específicas para ella en los pasajes proporcionados. Los pasajes mencionan exclusivamente la técnica T1056 - Input Capture y sus sub-técnicas (como T1056.001 y T1056.003), así como estrategias de detección (DET0102), pero no T1417 ni ninguna mitigación relacionada con ella.
Por lo tanto, no se puede responder a la pregunta con base en el contexto proporcionado.
Respuesta: No se proporciona información sobre la técnica T1417 Input Capture ni sobre mitigaciones para ella en el contexto dado.</t>
        </is>
      </c>
      <c r="I20" s="5" t="inlineStr">
        <is>
          <t>NO</t>
        </is>
      </c>
      <c r="J20" s="5" t="inlineStr">
        <is>
          <t>N/A</t>
        </is>
      </c>
      <c r="K20" s="5" t="inlineStr">
        <is>
          <t>0/0</t>
        </is>
      </c>
      <c r="L20" s="5">
        <f>COUNTIFS(Afirmaciones!$A$2:$A$401,$A20,Afirmaciones!$B$2:$B$401,$B20)</f>
        <v/>
      </c>
      <c r="M20" s="5">
        <f>COUNTIFS(Hechos!$A$2:$A$201,$A20)</f>
        <v/>
      </c>
      <c r="N20" s="5">
        <f>IF($B20="rag",SUMIFS(Hechos!$F$2:$F$201,Hechos!$A$2:$A$201,$A20),SUMIFS(Hechos!$G$2:$G$201,Hechos!$A$2:$A$201,$A20))</f>
        <v/>
      </c>
      <c r="O20" s="5">
        <f>IF($M20=0,"-",$N20&amp;"/"&amp;$M20)</f>
        <v/>
      </c>
      <c r="P20" s="5">
        <f>COUNTIFS(Afirmaciones!$A$2:$A$401,$A20,Afirmaciones!$B$2:$B$401,$B20,Afirmaciones!$E$2:$E$401,"hecho",Afirmaciones!$F$2:$F$401,"INCORRECTA")</f>
        <v/>
      </c>
      <c r="Q20" s="5">
        <f>COUNTIFS(Afirmaciones!$A$2:$A$401,$A20,Afirmaciones!$B$2:$B$401,$B20,Afirmaciones!$E$2:$E$401,"abstencion",Afirmaciones!$F$2:$F$401,"INCORRECTA")</f>
        <v/>
      </c>
      <c r="R20" s="5">
        <f>COUNTIFS(Afirmaciones!$A$2:$A$401,$A20,Afirmaciones!$B$2:$B$401,$B20,Afirmaciones!$E$2:$E$401,"hecho",Afirmaciones!$F$2:$F$401,"FUERA_REF",Afirmaciones!$H$2:$H$401,"no_resp")</f>
        <v/>
      </c>
      <c r="S20" s="5">
        <f>COUNTIFS(Afirmaciones!$A$2:$A$401,$A20,Afirmaciones!$B$2:$B$401,$B20,Afirmaciones!$E$2:$E$401,"hecho",Afirmaciones!$F$2:$F$401,"FUERA_REF")</f>
        <v/>
      </c>
      <c r="T20" s="5">
        <f>COUNTIFS(Afirmaciones!$A$2:$A$401,$A20,Afirmaciones!$B$2:$B$401,$B20,Afirmaciones!$E$2:$E$401,"hecho",Afirmaciones!$I$2:$I$401,"SIN-RESPALDO")</f>
        <v/>
      </c>
      <c r="U20" s="5">
        <f>COUNTIFS(Afirmaciones!$A$2:$A$401,$A20,Afirmaciones!$B$2:$B$401,$B20,Afirmaciones!$E$2:$E$401,"hecho",Afirmaciones!$I$2:$I$401,"CITA-X")</f>
        <v/>
      </c>
      <c r="V20" s="5">
        <f>COUNTIFS(Afirmaciones!$A$2:$A$401,$A20,Afirmaciones!$B$2:$B$401,$B20,Afirmaciones!$E$2:$E$401,"hecho",Afirmaciones!$I$2:$I$401,"SIN-CITA")</f>
        <v/>
      </c>
      <c r="W20" s="5">
        <f>COUNTIFS(Afirmaciones!$A$2:$A$401,$A20,Afirmaciones!$B$2:$B$401,$B20,Afirmaciones!$E$2:$E$401,"hecho")</f>
        <v/>
      </c>
      <c r="X20" s="5">
        <f>COUNTIFS(Afirmaciones!$A$2:$A$401,$A20,Afirmaciones!$B$2:$B$401,$B20,Afirmaciones!$E$2:$E$401,"hecho",Afirmaciones!$I$2:$I$401,"SOSTENIDA")</f>
        <v/>
      </c>
      <c r="Y20" s="5">
        <f>IF($L20=0,"",IF($M20=0,IF($R20&gt;0,0,2),IF(AND($N20=$M20,$P20+$Q20+$R20=0),2,IF($N20=0,0,1))))</f>
        <v/>
      </c>
      <c r="Z20" s="5">
        <f>IF($L20=0,"",IF($B20="llm","N/A",IF($W20=0,"N/A",IF($X20=$W20,2,IF($X20=0,0,1)))))</f>
        <v/>
      </c>
      <c r="AA20" s="5">
        <f>IF($L20=0,"",IF(AND($P20+$Q20+$R20=0,$T20+$U20=0,$I20&lt;&gt;"SI"),"-",TRIM(IF($P20+$Q20+$R20&gt;0,"CRITICA ","")&amp;IF($T20+$U20&gt;0,"RESPALDO ","")&amp;IF($I20="SI","TRUNC",""))))</f>
        <v/>
      </c>
      <c r="AB20" s="5">
        <f>IF($L20=0,"",IF(AND($R20=0,$AF20=0,$AG20=0,$P20+$Q20=0,$T20+$U20+$V20=0),"OK",TRIM(IF($R20&gt;0,"E0 ","")&amp;IF($AF20&gt;0,"E1 ","")&amp;IF(OR($AG20&gt;0,AND($P20+$Q20&gt;0,$AF20=0)),"E2 ","")&amp;IF($T20+$U20+$V20&gt;0,"E3 ",""))))</f>
        <v/>
      </c>
      <c r="AC20" s="5">
        <f>IF($AB20="","",IF($AB20="OK","OK",LEFT($AB20,2)))</f>
        <v/>
      </c>
      <c r="AD20" s="5">
        <f>IF(OR($L20=0,$B20="llm",$W20=0),"-",$X20&amp;"/"&amp;$W20)</f>
        <v/>
      </c>
      <c r="AE20" s="5">
        <f>IF(OR($L20=0,$B20&lt;&gt;"rag",$M20=0),"-",SUMIFS(Hechos!$H$2:$H$201,Hechos!$A$2:$A$201,$A20)&amp;"/"&amp;$M20)</f>
        <v/>
      </c>
      <c r="AF20" s="5">
        <f>IF($B20="rag",SUMPRODUCT((Hechos!$A$2:$A$201=$A20)*(Hechos!$F$2:$F$201=0)*((Hechos!$E$2:$E$201="NO")+(Hechos!$E$2:$E$201="ALT-P")+(Hechos!$E$2:$E$201=""))),0)</f>
        <v/>
      </c>
      <c r="AG20" s="5">
        <f>IF($B20="rag",SUMPRODUCT((Hechos!$A$2:$A$201=$A20)*(Hechos!$F$2:$F$201=0)*((Hechos!$E$2:$E$201="SI")+(Hechos!$E$2:$E$201="ALT"))),$M20-$N20)</f>
        <v/>
      </c>
      <c r="AH20" s="6" t="n"/>
    </row>
    <row r="21" ht="150" customHeight="1">
      <c r="A21" s="4" t="inlineStr">
        <is>
          <t>p10</t>
        </is>
      </c>
      <c r="B21" s="4" t="inlineStr">
        <is>
          <t>llm</t>
        </is>
      </c>
      <c r="C21" s="4" t="inlineStr">
        <is>
          <t>ES</t>
        </is>
      </c>
      <c r="D21" s="4" t="inlineStr">
        <is>
          <t>nula</t>
        </is>
      </c>
      <c r="E21" s="4" t="inlineStr">
        <is>
          <t>¿Qué es la técnica T1417 Input Capture de ATT&amp;CK Mobile y qué mitigaciones propone ATT&amp;CK para ella?</t>
        </is>
      </c>
      <c r="F21" s="4" t="inlineStr">
        <is>
          <t>No respondible con el corpus: sólo está ingestado el dominio enterprise-attack; T1417 pertenece a mobile-attack y no existe ningún chunk con ese ID. La respuesta correcta es abstenerse indicando que el contexto no contiene esa información.</t>
        </is>
      </c>
      <c r="G21" s="4" t="inlineStr">
        <is>
          <t>Toda la pregunta.</t>
        </is>
      </c>
      <c r="H21" s="4" t="inlineStr">
        <is>
          <t>La técnica **T1417** en el marco de **MITRE ATT&amp;CK** no corresponde a "Input Capture" en el contexto móvil. De hecho, **T1417** está relacionada con **"Input Capture" en dispositivos móviles**, pero es importante aclarar que **T1417** es una técnica de **ciberataque en dispositivos móviles**, y su descripción oficial es:
&gt; **T1417: Input Capture** – *An attacker can capture input from a mobile device (e.g., keyboard, microphone, camera) to gather sensitive data such as passwords, messages, or voice recordings.*
Esta técnica implica que un atacante puede utilizar una aplicación maliciosa o un exploit para capturar entradas del usuario (como contraseñas, mensajes, llamadas o grabaciones) en un dispositivo móvil, lo cual puede ser usado para obtener información sensible.
### Mitigaciones propuestas por ATT&amp;CK para T1417:
El marco de ATT&amp;CK **no proporciona una lista detallada de mitigaciones específicas para T1417** como se hace con otras técnicas. En cambio, **los controles de seguridad y buenas prácticas** recomendados para prevenir esta técnica incluyen:
- **Revisar y restringir las permisos de aplicaciones** (por ejemplo, evitar que las apps accedan a micrófonos, cámaras o teclado).
- **Habilitar y usar funciones de seguridad del sistema** (como el modo de privacidad o protección de entradas).
- **Usar aplicaciones oficiales y verificadas** para evitar maliciosas que puedan capturar entradas.
- **Educación del usuario** sobre el riesgo de compartir información sensible en aplicaciones no confiables.
- **Monitoreo de actividad de entrada** (como teclado o micrófono) para detectar comportamientos anómalos.
&gt; ⚠️ Importante: T1417 está clasificada como **técnicas de ataque en dispositivos móviles**, y aunque está en el marco de ATT&amp;CK, **no tiene una sección específica de "mitigaciones" detalladas** como otras técnicas. Las recomendaciones provienen de buenas prácticas de seguridad móvil.
---
✅ **Resumen:**
- **T1417 (Input Capture)**: Permite a un atacante capturar entradas del usuario (contraseñas, mensajes, grabaciones) en dispositivos móviles.
- **Mitigaciones**: Control de permisos, uso de apps oficiales, educación del usuario, monitoreo de actividad anómala.
&gt; Nota: ATT&amp;CK no proporciona una lista oficial de mitigaciones para T1417. Las recomendaciones son derivadas de buenas prácticas de ciberseguridad móvil.</t>
        </is>
      </c>
      <c r="I21" s="5" t="inlineStr">
        <is>
          <t>NO</t>
        </is>
      </c>
      <c r="J21" s="5" t="n"/>
      <c r="K21" s="5" t="n"/>
      <c r="L21" s="5">
        <f>COUNTIFS(Afirmaciones!$A$2:$A$401,$A21,Afirmaciones!$B$2:$B$401,$B21)</f>
        <v/>
      </c>
      <c r="M21" s="5">
        <f>COUNTIFS(Hechos!$A$2:$A$201,$A21)</f>
        <v/>
      </c>
      <c r="N21" s="5">
        <f>IF($B21="rag",SUMIFS(Hechos!$F$2:$F$201,Hechos!$A$2:$A$201,$A21),SUMIFS(Hechos!$G$2:$G$201,Hechos!$A$2:$A$201,$A21))</f>
        <v/>
      </c>
      <c r="O21" s="5">
        <f>IF($M21=0,"-",$N21&amp;"/"&amp;$M21)</f>
        <v/>
      </c>
      <c r="P21" s="5">
        <f>COUNTIFS(Afirmaciones!$A$2:$A$401,$A21,Afirmaciones!$B$2:$B$401,$B21,Afirmaciones!$E$2:$E$401,"hecho",Afirmaciones!$F$2:$F$401,"INCORRECTA")</f>
        <v/>
      </c>
      <c r="Q21" s="5">
        <f>COUNTIFS(Afirmaciones!$A$2:$A$401,$A21,Afirmaciones!$B$2:$B$401,$B21,Afirmaciones!$E$2:$E$401,"abstencion",Afirmaciones!$F$2:$F$401,"INCORRECTA")</f>
        <v/>
      </c>
      <c r="R21" s="5">
        <f>COUNTIFS(Afirmaciones!$A$2:$A$401,$A21,Afirmaciones!$B$2:$B$401,$B21,Afirmaciones!$E$2:$E$401,"hecho",Afirmaciones!$F$2:$F$401,"FUERA_REF",Afirmaciones!$H$2:$H$401,"no_resp")</f>
        <v/>
      </c>
      <c r="S21" s="5">
        <f>COUNTIFS(Afirmaciones!$A$2:$A$401,$A21,Afirmaciones!$B$2:$B$401,$B21,Afirmaciones!$E$2:$E$401,"hecho",Afirmaciones!$F$2:$F$401,"FUERA_REF")</f>
        <v/>
      </c>
      <c r="T21" s="5">
        <f>COUNTIFS(Afirmaciones!$A$2:$A$401,$A21,Afirmaciones!$B$2:$B$401,$B21,Afirmaciones!$E$2:$E$401,"hecho",Afirmaciones!$I$2:$I$401,"SIN-RESPALDO")</f>
        <v/>
      </c>
      <c r="U21" s="5">
        <f>COUNTIFS(Afirmaciones!$A$2:$A$401,$A21,Afirmaciones!$B$2:$B$401,$B21,Afirmaciones!$E$2:$E$401,"hecho",Afirmaciones!$I$2:$I$401,"CITA-X")</f>
        <v/>
      </c>
      <c r="V21" s="5">
        <f>COUNTIFS(Afirmaciones!$A$2:$A$401,$A21,Afirmaciones!$B$2:$B$401,$B21,Afirmaciones!$E$2:$E$401,"hecho",Afirmaciones!$I$2:$I$401,"SIN-CITA")</f>
        <v/>
      </c>
      <c r="W21" s="5">
        <f>COUNTIFS(Afirmaciones!$A$2:$A$401,$A21,Afirmaciones!$B$2:$B$401,$B21,Afirmaciones!$E$2:$E$401,"hecho")</f>
        <v/>
      </c>
      <c r="X21" s="5">
        <f>COUNTIFS(Afirmaciones!$A$2:$A$401,$A21,Afirmaciones!$B$2:$B$401,$B21,Afirmaciones!$E$2:$E$401,"hecho",Afirmaciones!$I$2:$I$401,"SOSTENIDA")</f>
        <v/>
      </c>
      <c r="Y21" s="5">
        <f>IF($L21=0,"",IF($M21=0,IF($R21&gt;0,0,2),IF(AND($N21=$M21,$P21+$Q21+$R21=0),2,IF($N21=0,0,1))))</f>
        <v/>
      </c>
      <c r="Z21" s="5">
        <f>IF($L21=0,"",IF($B21="llm","N/A",IF($W21=0,"N/A",IF($X21=$W21,2,IF($X21=0,0,1)))))</f>
        <v/>
      </c>
      <c r="AA21" s="5">
        <f>IF($L21=0,"",IF(AND($P21+$Q21+$R21=0,$T21+$U21=0,$I21&lt;&gt;"SI"),"-",TRIM(IF($P21+$Q21+$R21&gt;0,"CRITICA ","")&amp;IF($T21+$U21&gt;0,"RESPALDO ","")&amp;IF($I21="SI","TRUNC",""))))</f>
        <v/>
      </c>
      <c r="AB21" s="5">
        <f>IF($L21=0,"",IF(AND($R21=0,$AF21=0,$AG21=0,$P21+$Q21=0,$T21+$U21+$V21=0),"OK",TRIM(IF($R21&gt;0,"E0 ","")&amp;IF($AF21&gt;0,"E1 ","")&amp;IF(OR($AG21&gt;0,AND($P21+$Q21&gt;0,$AF21=0)),"E2 ","")&amp;IF($T21+$U21+$V21&gt;0,"E3 ",""))))</f>
        <v/>
      </c>
      <c r="AC21" s="5">
        <f>IF($AB21="","",IF($AB21="OK","OK",LEFT($AB21,2)))</f>
        <v/>
      </c>
      <c r="AD21" s="5">
        <f>IF(OR($L21=0,$B21="llm",$W21=0),"-",$X21&amp;"/"&amp;$W21)</f>
        <v/>
      </c>
      <c r="AE21" s="5">
        <f>IF(OR($L21=0,$B21&lt;&gt;"rag",$M21=0),"-",SUMIFS(Hechos!$H$2:$H$201,Hechos!$A$2:$A$201,$A21)&amp;"/"&amp;$M21)</f>
        <v/>
      </c>
      <c r="AF21" s="5">
        <f>IF($B21="rag",SUMPRODUCT((Hechos!$A$2:$A$201=$A21)*(Hechos!$F$2:$F$201=0)*((Hechos!$E$2:$E$201="NO")+(Hechos!$E$2:$E$201="ALT-P")+(Hechos!$E$2:$E$201=""))),0)</f>
        <v/>
      </c>
      <c r="AG21" s="5">
        <f>IF($B21="rag",SUMPRODUCT((Hechos!$A$2:$A$201=$A21)*(Hechos!$F$2:$F$201=0)*((Hechos!$E$2:$E$201="SI")+(Hechos!$E$2:$E$201="ALT"))),$M21-$N21)</f>
        <v/>
      </c>
      <c r="AH21" s="6" t="n"/>
    </row>
    <row r="22" ht="150" customHeight="1">
      <c r="A22" s="4" t="inlineStr">
        <is>
          <t>p11</t>
        </is>
      </c>
      <c r="B22" s="4" t="inlineStr">
        <is>
          <t>rag</t>
        </is>
      </c>
      <c r="C22" s="4" t="inlineStr">
        <is>
          <t>EN</t>
        </is>
      </c>
      <c r="D22" s="4" t="inlineStr">
        <is>
          <t>nula</t>
        </is>
      </c>
      <c r="E22" s="4" t="inlineStr">
        <is>
          <t>Which ICS tactic does T0855 Unauthorized Command Message belong to and which assets does it target?</t>
        </is>
      </c>
      <c r="F22" s="4" t="inlineStr">
        <is>
          <t>Not answerable from the corpus: T0855 belongs to the ics-attack domain, which is not ingested; no chunk carries that ID. The correct behaviour is to state that the context does not contain the information.</t>
        </is>
      </c>
      <c r="G22" s="4" t="inlineStr">
        <is>
          <t>Entire question.</t>
        </is>
      </c>
      <c r="H22" s="4" t="inlineStr">
        <is>
          <t>The context provided does not contain information about T0855 Unauthorized Command Message or any ICS (Industrial Control Systems) tactic. Therefore, it is not possible to determine which ICS tactic T0855 belongs to or which assets it targets based on the given passages.
[No relevant context found.]</t>
        </is>
      </c>
      <c r="I22" s="5" t="inlineStr">
        <is>
          <t>NO</t>
        </is>
      </c>
      <c r="J22" s="5" t="inlineStr">
        <is>
          <t>N/A</t>
        </is>
      </c>
      <c r="K22" s="5" t="inlineStr">
        <is>
          <t>0/0</t>
        </is>
      </c>
      <c r="L22" s="5">
        <f>COUNTIFS(Afirmaciones!$A$2:$A$401,$A22,Afirmaciones!$B$2:$B$401,$B22)</f>
        <v/>
      </c>
      <c r="M22" s="5">
        <f>COUNTIFS(Hechos!$A$2:$A$201,$A22)</f>
        <v/>
      </c>
      <c r="N22" s="5">
        <f>IF($B22="rag",SUMIFS(Hechos!$F$2:$F$201,Hechos!$A$2:$A$201,$A22),SUMIFS(Hechos!$G$2:$G$201,Hechos!$A$2:$A$201,$A22))</f>
        <v/>
      </c>
      <c r="O22" s="5">
        <f>IF($M22=0,"-",$N22&amp;"/"&amp;$M22)</f>
        <v/>
      </c>
      <c r="P22" s="5">
        <f>COUNTIFS(Afirmaciones!$A$2:$A$401,$A22,Afirmaciones!$B$2:$B$401,$B22,Afirmaciones!$E$2:$E$401,"hecho",Afirmaciones!$F$2:$F$401,"INCORRECTA")</f>
        <v/>
      </c>
      <c r="Q22" s="5">
        <f>COUNTIFS(Afirmaciones!$A$2:$A$401,$A22,Afirmaciones!$B$2:$B$401,$B22,Afirmaciones!$E$2:$E$401,"abstencion",Afirmaciones!$F$2:$F$401,"INCORRECTA")</f>
        <v/>
      </c>
      <c r="R22" s="5">
        <f>COUNTIFS(Afirmaciones!$A$2:$A$401,$A22,Afirmaciones!$B$2:$B$401,$B22,Afirmaciones!$E$2:$E$401,"hecho",Afirmaciones!$F$2:$F$401,"FUERA_REF",Afirmaciones!$H$2:$H$401,"no_resp")</f>
        <v/>
      </c>
      <c r="S22" s="5">
        <f>COUNTIFS(Afirmaciones!$A$2:$A$401,$A22,Afirmaciones!$B$2:$B$401,$B22,Afirmaciones!$E$2:$E$401,"hecho",Afirmaciones!$F$2:$F$401,"FUERA_REF")</f>
        <v/>
      </c>
      <c r="T22" s="5">
        <f>COUNTIFS(Afirmaciones!$A$2:$A$401,$A22,Afirmaciones!$B$2:$B$401,$B22,Afirmaciones!$E$2:$E$401,"hecho",Afirmaciones!$I$2:$I$401,"SIN-RESPALDO")</f>
        <v/>
      </c>
      <c r="U22" s="5">
        <f>COUNTIFS(Afirmaciones!$A$2:$A$401,$A22,Afirmaciones!$B$2:$B$401,$B22,Afirmaciones!$E$2:$E$401,"hecho",Afirmaciones!$I$2:$I$401,"CITA-X")</f>
        <v/>
      </c>
      <c r="V22" s="5">
        <f>COUNTIFS(Afirmaciones!$A$2:$A$401,$A22,Afirmaciones!$B$2:$B$401,$B22,Afirmaciones!$E$2:$E$401,"hecho",Afirmaciones!$I$2:$I$401,"SIN-CITA")</f>
        <v/>
      </c>
      <c r="W22" s="5">
        <f>COUNTIFS(Afirmaciones!$A$2:$A$401,$A22,Afirmaciones!$B$2:$B$401,$B22,Afirmaciones!$E$2:$E$401,"hecho")</f>
        <v/>
      </c>
      <c r="X22" s="5">
        <f>COUNTIFS(Afirmaciones!$A$2:$A$401,$A22,Afirmaciones!$B$2:$B$401,$B22,Afirmaciones!$E$2:$E$401,"hecho",Afirmaciones!$I$2:$I$401,"SOSTENIDA")</f>
        <v/>
      </c>
      <c r="Y22" s="5">
        <f>IF($L22=0,"",IF($M22=0,IF($R22&gt;0,0,2),IF(AND($N22=$M22,$P22+$Q22+$R22=0),2,IF($N22=0,0,1))))</f>
        <v/>
      </c>
      <c r="Z22" s="5">
        <f>IF($L22=0,"",IF($B22="llm","N/A",IF($W22=0,"N/A",IF($X22=$W22,2,IF($X22=0,0,1)))))</f>
        <v/>
      </c>
      <c r="AA22" s="5">
        <f>IF($L22=0,"",IF(AND($P22+$Q22+$R22=0,$T22+$U22=0,$I22&lt;&gt;"SI"),"-",TRIM(IF($P22+$Q22+$R22&gt;0,"CRITICA ","")&amp;IF($T22+$U22&gt;0,"RESPALDO ","")&amp;IF($I22="SI","TRUNC",""))))</f>
        <v/>
      </c>
      <c r="AB22" s="5">
        <f>IF($L22=0,"",IF(AND($R22=0,$AF22=0,$AG22=0,$P22+$Q22=0,$T22+$U22+$V22=0),"OK",TRIM(IF($R22&gt;0,"E0 ","")&amp;IF($AF22&gt;0,"E1 ","")&amp;IF(OR($AG22&gt;0,AND($P22+$Q22&gt;0,$AF22=0)),"E2 ","")&amp;IF($T22+$U22+$V22&gt;0,"E3 ",""))))</f>
        <v/>
      </c>
      <c r="AC22" s="5">
        <f>IF($AB22="","",IF($AB22="OK","OK",LEFT($AB22,2)))</f>
        <v/>
      </c>
      <c r="AD22" s="5">
        <f>IF(OR($L22=0,$B22="llm",$W22=0),"-",$X22&amp;"/"&amp;$W22)</f>
        <v/>
      </c>
      <c r="AE22" s="5">
        <f>IF(OR($L22=0,$B22&lt;&gt;"rag",$M22=0),"-",SUMIFS(Hechos!$H$2:$H$201,Hechos!$A$2:$A$201,$A22)&amp;"/"&amp;$M22)</f>
        <v/>
      </c>
      <c r="AF22" s="5">
        <f>IF($B22="rag",SUMPRODUCT((Hechos!$A$2:$A$201=$A22)*(Hechos!$F$2:$F$201=0)*((Hechos!$E$2:$E$201="NO")+(Hechos!$E$2:$E$201="ALT-P")+(Hechos!$E$2:$E$201=""))),0)</f>
        <v/>
      </c>
      <c r="AG22" s="5">
        <f>IF($B22="rag",SUMPRODUCT((Hechos!$A$2:$A$201=$A22)*(Hechos!$F$2:$F$201=0)*((Hechos!$E$2:$E$201="SI")+(Hechos!$E$2:$E$201="ALT"))),$M22-$N22)</f>
        <v/>
      </c>
      <c r="AH22" s="6" t="n"/>
    </row>
    <row r="23" ht="150" customHeight="1">
      <c r="A23" s="4" t="inlineStr">
        <is>
          <t>p11</t>
        </is>
      </c>
      <c r="B23" s="4" t="inlineStr">
        <is>
          <t>llm</t>
        </is>
      </c>
      <c r="C23" s="4" t="inlineStr">
        <is>
          <t>EN</t>
        </is>
      </c>
      <c r="D23" s="4" t="inlineStr">
        <is>
          <t>nula</t>
        </is>
      </c>
      <c r="E23" s="4" t="inlineStr">
        <is>
          <t>Which ICS tactic does T0855 Unauthorized Command Message belong to and which assets does it target?</t>
        </is>
      </c>
      <c r="F23" s="4" t="inlineStr">
        <is>
          <t>Not answerable from the corpus: T0855 belongs to the ics-attack domain, which is not ingested; no chunk carries that ID. The correct behaviour is to state that the context does not contain the information.</t>
        </is>
      </c>
      <c r="G23" s="4" t="inlineStr">
        <is>
          <t>Entire question.</t>
        </is>
      </c>
      <c r="H23" s="4" t="inlineStr">
        <is>
          <t>The technique T0855 (Unauthorized Command Message) is not a valid or recognized entry in the MITRE ATT&amp;CK framework. There is no official technique with the ID "T0855" in the current MITRE ATT&amp;CK database for cyberattack tactics and techniques, including those related to Industrial Control Systems (ICS).
Additionally, the MITRE ATT&amp;CK framework does not have a technique labeled "T0855" — the "T" prefix is used for techniques, but the numbering (e.g., T1059 for command and script injection) follows a specific structure and does not include T0855.
Therefore, T0855 is not a valid or documented technique in the MITRE ATT&amp;CK framework, and thus it does not belong to any ICS tactic, nor does it target any specific assets.
If you meant a different technique or are referring to a non-standard or outdated identifier, please clarify.
Answer: T0855 is not a valid technique in the MITRE ATT&amp;CK framework and does not exist in any ICS tactic or asset targeting.</t>
        </is>
      </c>
      <c r="I23" s="5" t="inlineStr">
        <is>
          <t>NO</t>
        </is>
      </c>
      <c r="J23" s="5" t="n"/>
      <c r="K23" s="5" t="n"/>
      <c r="L23" s="5">
        <f>COUNTIFS(Afirmaciones!$A$2:$A$401,$A23,Afirmaciones!$B$2:$B$401,$B23)</f>
        <v/>
      </c>
      <c r="M23" s="5">
        <f>COUNTIFS(Hechos!$A$2:$A$201,$A23)</f>
        <v/>
      </c>
      <c r="N23" s="5">
        <f>IF($B23="rag",SUMIFS(Hechos!$F$2:$F$201,Hechos!$A$2:$A$201,$A23),SUMIFS(Hechos!$G$2:$G$201,Hechos!$A$2:$A$201,$A23))</f>
        <v/>
      </c>
      <c r="O23" s="5">
        <f>IF($M23=0,"-",$N23&amp;"/"&amp;$M23)</f>
        <v/>
      </c>
      <c r="P23" s="5">
        <f>COUNTIFS(Afirmaciones!$A$2:$A$401,$A23,Afirmaciones!$B$2:$B$401,$B23,Afirmaciones!$E$2:$E$401,"hecho",Afirmaciones!$F$2:$F$401,"INCORRECTA")</f>
        <v/>
      </c>
      <c r="Q23" s="5">
        <f>COUNTIFS(Afirmaciones!$A$2:$A$401,$A23,Afirmaciones!$B$2:$B$401,$B23,Afirmaciones!$E$2:$E$401,"abstencion",Afirmaciones!$F$2:$F$401,"INCORRECTA")</f>
        <v/>
      </c>
      <c r="R23" s="5">
        <f>COUNTIFS(Afirmaciones!$A$2:$A$401,$A23,Afirmaciones!$B$2:$B$401,$B23,Afirmaciones!$E$2:$E$401,"hecho",Afirmaciones!$F$2:$F$401,"FUERA_REF",Afirmaciones!$H$2:$H$401,"no_resp")</f>
        <v/>
      </c>
      <c r="S23" s="5">
        <f>COUNTIFS(Afirmaciones!$A$2:$A$401,$A23,Afirmaciones!$B$2:$B$401,$B23,Afirmaciones!$E$2:$E$401,"hecho",Afirmaciones!$F$2:$F$401,"FUERA_REF")</f>
        <v/>
      </c>
      <c r="T23" s="5">
        <f>COUNTIFS(Afirmaciones!$A$2:$A$401,$A23,Afirmaciones!$B$2:$B$401,$B23,Afirmaciones!$E$2:$E$401,"hecho",Afirmaciones!$I$2:$I$401,"SIN-RESPALDO")</f>
        <v/>
      </c>
      <c r="U23" s="5">
        <f>COUNTIFS(Afirmaciones!$A$2:$A$401,$A23,Afirmaciones!$B$2:$B$401,$B23,Afirmaciones!$E$2:$E$401,"hecho",Afirmaciones!$I$2:$I$401,"CITA-X")</f>
        <v/>
      </c>
      <c r="V23" s="5">
        <f>COUNTIFS(Afirmaciones!$A$2:$A$401,$A23,Afirmaciones!$B$2:$B$401,$B23,Afirmaciones!$E$2:$E$401,"hecho",Afirmaciones!$I$2:$I$401,"SIN-CITA")</f>
        <v/>
      </c>
      <c r="W23" s="5">
        <f>COUNTIFS(Afirmaciones!$A$2:$A$401,$A23,Afirmaciones!$B$2:$B$401,$B23,Afirmaciones!$E$2:$E$401,"hecho")</f>
        <v/>
      </c>
      <c r="X23" s="5">
        <f>COUNTIFS(Afirmaciones!$A$2:$A$401,$A23,Afirmaciones!$B$2:$B$401,$B23,Afirmaciones!$E$2:$E$401,"hecho",Afirmaciones!$I$2:$I$401,"SOSTENIDA")</f>
        <v/>
      </c>
      <c r="Y23" s="5">
        <f>IF($L23=0,"",IF($M23=0,IF($R23&gt;0,0,2),IF(AND($N23=$M23,$P23+$Q23+$R23=0),2,IF($N23=0,0,1))))</f>
        <v/>
      </c>
      <c r="Z23" s="5">
        <f>IF($L23=0,"",IF($B23="llm","N/A",IF($W23=0,"N/A",IF($X23=$W23,2,IF($X23=0,0,1)))))</f>
        <v/>
      </c>
      <c r="AA23" s="5">
        <f>IF($L23=0,"",IF(AND($P23+$Q23+$R23=0,$T23+$U23=0,$I23&lt;&gt;"SI"),"-",TRIM(IF($P23+$Q23+$R23&gt;0,"CRITICA ","")&amp;IF($T23+$U23&gt;0,"RESPALDO ","")&amp;IF($I23="SI","TRUNC",""))))</f>
        <v/>
      </c>
      <c r="AB23" s="5">
        <f>IF($L23=0,"",IF(AND($R23=0,$AF23=0,$AG23=0,$P23+$Q23=0,$T23+$U23+$V23=0),"OK",TRIM(IF($R23&gt;0,"E0 ","")&amp;IF($AF23&gt;0,"E1 ","")&amp;IF(OR($AG23&gt;0,AND($P23+$Q23&gt;0,$AF23=0)),"E2 ","")&amp;IF($T23+$U23+$V23&gt;0,"E3 ",""))))</f>
        <v/>
      </c>
      <c r="AC23" s="5">
        <f>IF($AB23="","",IF($AB23="OK","OK",LEFT($AB23,2)))</f>
        <v/>
      </c>
      <c r="AD23" s="5">
        <f>IF(OR($L23=0,$B23="llm",$W23=0),"-",$X23&amp;"/"&amp;$W23)</f>
        <v/>
      </c>
      <c r="AE23" s="5">
        <f>IF(OR($L23=0,$B23&lt;&gt;"rag",$M23=0),"-",SUMIFS(Hechos!$H$2:$H$201,Hechos!$A$2:$A$201,$A23)&amp;"/"&amp;$M23)</f>
        <v/>
      </c>
      <c r="AF23" s="5">
        <f>IF($B23="rag",SUMPRODUCT((Hechos!$A$2:$A$201=$A23)*(Hechos!$F$2:$F$201=0)*((Hechos!$E$2:$E$201="NO")+(Hechos!$E$2:$E$201="ALT-P")+(Hechos!$E$2:$E$201=""))),0)</f>
        <v/>
      </c>
      <c r="AG23" s="5">
        <f>IF($B23="rag",SUMPRODUCT((Hechos!$A$2:$A$201=$A23)*(Hechos!$F$2:$F$201=0)*((Hechos!$E$2:$E$201="SI")+(Hechos!$E$2:$E$201="ALT"))),$M23-$N23)</f>
        <v/>
      </c>
      <c r="AH23" s="6" t="n"/>
    </row>
    <row r="24" ht="150" customHeight="1">
      <c r="A24" s="4" t="inlineStr">
        <is>
          <t>p12</t>
        </is>
      </c>
      <c r="B24" s="4" t="inlineStr">
        <is>
          <t>rag</t>
        </is>
      </c>
      <c r="C24" s="4" t="inlineStr">
        <is>
          <t>ES</t>
        </is>
      </c>
      <c r="D24" s="4" t="inlineStr">
        <is>
          <t>nula</t>
        </is>
      </c>
      <c r="E24" s="4" t="inlineStr">
        <is>
          <t>¿Cuál fue la técnica ATT&amp;CK más utilizada por los atacantes a nivel mundial durante 2026?</t>
        </is>
      </c>
      <c r="F24" s="4" t="inlineStr">
        <is>
          <t>No respondible: ATT&amp;CK describe técnicas, grupos y procedimientos, pero no contiene estadísticas de frecuencia de uso por año. La respuesta correcta es abstenerse.</t>
        </is>
      </c>
      <c r="G24" s="4" t="inlineStr">
        <is>
          <t>Toda la pregunta.</t>
        </is>
      </c>
      <c r="H24" s="4" t="inlineStr">
        <is>
          <t>No se proporciona información en los contextos sobre cuál fue la técnica ATT&amp;CK más utilizada por los atacantes a nivel mundial durante 2026. Aunque se mencionan varias herramientas y tácticas (como T1608.004, S9041, S9042, S9044), no hay datos que indiquen cuál fue la técnica más utilizada a nivel mundial en ese año. Por lo tanto, no se puede determinar la respuesta basándose únicamente en el contenido dado.
Respuesta: No se puede determinar con la información proporcionada.</t>
        </is>
      </c>
      <c r="I24" s="5" t="inlineStr">
        <is>
          <t>NO</t>
        </is>
      </c>
      <c r="J24" s="5" t="inlineStr">
        <is>
          <t>N/A</t>
        </is>
      </c>
      <c r="K24" s="5" t="inlineStr">
        <is>
          <t>0/0</t>
        </is>
      </c>
      <c r="L24" s="5">
        <f>COUNTIFS(Afirmaciones!$A$2:$A$401,$A24,Afirmaciones!$B$2:$B$401,$B24)</f>
        <v/>
      </c>
      <c r="M24" s="5">
        <f>COUNTIFS(Hechos!$A$2:$A$201,$A24)</f>
        <v/>
      </c>
      <c r="N24" s="5">
        <f>IF($B24="rag",SUMIFS(Hechos!$F$2:$F$201,Hechos!$A$2:$A$201,$A24),SUMIFS(Hechos!$G$2:$G$201,Hechos!$A$2:$A$201,$A24))</f>
        <v/>
      </c>
      <c r="O24" s="5">
        <f>IF($M24=0,"-",$N24&amp;"/"&amp;$M24)</f>
        <v/>
      </c>
      <c r="P24" s="5">
        <f>COUNTIFS(Afirmaciones!$A$2:$A$401,$A24,Afirmaciones!$B$2:$B$401,$B24,Afirmaciones!$E$2:$E$401,"hecho",Afirmaciones!$F$2:$F$401,"INCORRECTA")</f>
        <v/>
      </c>
      <c r="Q24" s="5">
        <f>COUNTIFS(Afirmaciones!$A$2:$A$401,$A24,Afirmaciones!$B$2:$B$401,$B24,Afirmaciones!$E$2:$E$401,"abstencion",Afirmaciones!$F$2:$F$401,"INCORRECTA")</f>
        <v/>
      </c>
      <c r="R24" s="5">
        <f>COUNTIFS(Afirmaciones!$A$2:$A$401,$A24,Afirmaciones!$B$2:$B$401,$B24,Afirmaciones!$E$2:$E$401,"hecho",Afirmaciones!$F$2:$F$401,"FUERA_REF",Afirmaciones!$H$2:$H$401,"no_resp")</f>
        <v/>
      </c>
      <c r="S24" s="5">
        <f>COUNTIFS(Afirmaciones!$A$2:$A$401,$A24,Afirmaciones!$B$2:$B$401,$B24,Afirmaciones!$E$2:$E$401,"hecho",Afirmaciones!$F$2:$F$401,"FUERA_REF")</f>
        <v/>
      </c>
      <c r="T24" s="5">
        <f>COUNTIFS(Afirmaciones!$A$2:$A$401,$A24,Afirmaciones!$B$2:$B$401,$B24,Afirmaciones!$E$2:$E$401,"hecho",Afirmaciones!$I$2:$I$401,"SIN-RESPALDO")</f>
        <v/>
      </c>
      <c r="U24" s="5">
        <f>COUNTIFS(Afirmaciones!$A$2:$A$401,$A24,Afirmaciones!$B$2:$B$401,$B24,Afirmaciones!$E$2:$E$401,"hecho",Afirmaciones!$I$2:$I$401,"CITA-X")</f>
        <v/>
      </c>
      <c r="V24" s="5">
        <f>COUNTIFS(Afirmaciones!$A$2:$A$401,$A24,Afirmaciones!$B$2:$B$401,$B24,Afirmaciones!$E$2:$E$401,"hecho",Afirmaciones!$I$2:$I$401,"SIN-CITA")</f>
        <v/>
      </c>
      <c r="W24" s="5">
        <f>COUNTIFS(Afirmaciones!$A$2:$A$401,$A24,Afirmaciones!$B$2:$B$401,$B24,Afirmaciones!$E$2:$E$401,"hecho")</f>
        <v/>
      </c>
      <c r="X24" s="5">
        <f>COUNTIFS(Afirmaciones!$A$2:$A$401,$A24,Afirmaciones!$B$2:$B$401,$B24,Afirmaciones!$E$2:$E$401,"hecho",Afirmaciones!$I$2:$I$401,"SOSTENIDA")</f>
        <v/>
      </c>
      <c r="Y24" s="5">
        <f>IF($L24=0,"",IF($M24=0,IF($R24&gt;0,0,2),IF(AND($N24=$M24,$P24+$Q24+$R24=0),2,IF($N24=0,0,1))))</f>
        <v/>
      </c>
      <c r="Z24" s="5">
        <f>IF($L24=0,"",IF($B24="llm","N/A",IF($W24=0,"N/A",IF($X24=$W24,2,IF($X24=0,0,1)))))</f>
        <v/>
      </c>
      <c r="AA24" s="5">
        <f>IF($L24=0,"",IF(AND($P24+$Q24+$R24=0,$T24+$U24=0,$I24&lt;&gt;"SI"),"-",TRIM(IF($P24+$Q24+$R24&gt;0,"CRITICA ","")&amp;IF($T24+$U24&gt;0,"RESPALDO ","")&amp;IF($I24="SI","TRUNC",""))))</f>
        <v/>
      </c>
      <c r="AB24" s="5">
        <f>IF($L24=0,"",IF(AND($R24=0,$AF24=0,$AG24=0,$P24+$Q24=0,$T24+$U24+$V24=0),"OK",TRIM(IF($R24&gt;0,"E0 ","")&amp;IF($AF24&gt;0,"E1 ","")&amp;IF(OR($AG24&gt;0,AND($P24+$Q24&gt;0,$AF24=0)),"E2 ","")&amp;IF($T24+$U24+$V24&gt;0,"E3 ",""))))</f>
        <v/>
      </c>
      <c r="AC24" s="5">
        <f>IF($AB24="","",IF($AB24="OK","OK",LEFT($AB24,2)))</f>
        <v/>
      </c>
      <c r="AD24" s="5">
        <f>IF(OR($L24=0,$B24="llm",$W24=0),"-",$X24&amp;"/"&amp;$W24)</f>
        <v/>
      </c>
      <c r="AE24" s="5">
        <f>IF(OR($L24=0,$B24&lt;&gt;"rag",$M24=0),"-",SUMIFS(Hechos!$H$2:$H$201,Hechos!$A$2:$A$201,$A24)&amp;"/"&amp;$M24)</f>
        <v/>
      </c>
      <c r="AF24" s="5">
        <f>IF($B24="rag",SUMPRODUCT((Hechos!$A$2:$A$201=$A24)*(Hechos!$F$2:$F$201=0)*((Hechos!$E$2:$E$201="NO")+(Hechos!$E$2:$E$201="ALT-P")+(Hechos!$E$2:$E$201=""))),0)</f>
        <v/>
      </c>
      <c r="AG24" s="5">
        <f>IF($B24="rag",SUMPRODUCT((Hechos!$A$2:$A$201=$A24)*(Hechos!$F$2:$F$201=0)*((Hechos!$E$2:$E$201="SI")+(Hechos!$E$2:$E$201="ALT"))),$M24-$N24)</f>
        <v/>
      </c>
      <c r="AH24" s="6" t="n"/>
    </row>
    <row r="25" ht="150" customHeight="1">
      <c r="A25" s="4" t="inlineStr">
        <is>
          <t>p12</t>
        </is>
      </c>
      <c r="B25" s="4" t="inlineStr">
        <is>
          <t>llm</t>
        </is>
      </c>
      <c r="C25" s="4" t="inlineStr">
        <is>
          <t>ES</t>
        </is>
      </c>
      <c r="D25" s="4" t="inlineStr">
        <is>
          <t>nula</t>
        </is>
      </c>
      <c r="E25" s="4" t="inlineStr">
        <is>
          <t>¿Cuál fue la técnica ATT&amp;CK más utilizada por los atacantes a nivel mundial durante 2026?</t>
        </is>
      </c>
      <c r="F25" s="4" t="inlineStr">
        <is>
          <t>No respondible: ATT&amp;CK describe técnicas, grupos y procedimientos, pero no contiene estadísticas de frecuencia de uso por año. La respuesta correcta es abstenerse.</t>
        </is>
      </c>
      <c r="G25" s="4" t="inlineStr">
        <is>
          <t>Toda la pregunta.</t>
        </is>
      </c>
      <c r="H25" s="4" t="inlineStr">
        <is>
          <t>No se dispone de datos oficiales o públicos que indiquen cuál fue la técnica ATT&amp;CK más utilizada por los atacantes a nivel mundial durante 2026, ya que ese año aún no ha ocurrido y no se han publicado estadísticas oficiales sobre el uso de técnicas de ataque en el marco del MITRE ATT&amp;CK para ese período.
Además, el MITRE ATT&amp;CK no proporciona un ranking anual de técnicas más utilizadas por atacantes en un año futuro. Los datos sobre el uso de técnicas de ataque se basan en análisis de incidentes reales, reportes de amenazas y estudios de seguridad que se publican en años pasados.
Por lo tanto, no es posible responder con precisión a la pregunta sobre la técnica más utilizada en 2026.
Si te interesa, puedo proporcionar información sobre las técnicas más comunes en años pasados (por ejemplo, 2023 o 2024) o sobre las más frecuentes en el marco del MITRE ATT&amp;CK actual.</t>
        </is>
      </c>
      <c r="I25" s="5" t="inlineStr">
        <is>
          <t>NO</t>
        </is>
      </c>
      <c r="J25" s="5" t="n"/>
      <c r="K25" s="5" t="n"/>
      <c r="L25" s="5">
        <f>COUNTIFS(Afirmaciones!$A$2:$A$401,$A25,Afirmaciones!$B$2:$B$401,$B25)</f>
        <v/>
      </c>
      <c r="M25" s="5">
        <f>COUNTIFS(Hechos!$A$2:$A$201,$A25)</f>
        <v/>
      </c>
      <c r="N25" s="5">
        <f>IF($B25="rag",SUMIFS(Hechos!$F$2:$F$201,Hechos!$A$2:$A$201,$A25),SUMIFS(Hechos!$G$2:$G$201,Hechos!$A$2:$A$201,$A25))</f>
        <v/>
      </c>
      <c r="O25" s="5">
        <f>IF($M25=0,"-",$N25&amp;"/"&amp;$M25)</f>
        <v/>
      </c>
      <c r="P25" s="5">
        <f>COUNTIFS(Afirmaciones!$A$2:$A$401,$A25,Afirmaciones!$B$2:$B$401,$B25,Afirmaciones!$E$2:$E$401,"hecho",Afirmaciones!$F$2:$F$401,"INCORRECTA")</f>
        <v/>
      </c>
      <c r="Q25" s="5">
        <f>COUNTIFS(Afirmaciones!$A$2:$A$401,$A25,Afirmaciones!$B$2:$B$401,$B25,Afirmaciones!$E$2:$E$401,"abstencion",Afirmaciones!$F$2:$F$401,"INCORRECTA")</f>
        <v/>
      </c>
      <c r="R25" s="5">
        <f>COUNTIFS(Afirmaciones!$A$2:$A$401,$A25,Afirmaciones!$B$2:$B$401,$B25,Afirmaciones!$E$2:$E$401,"hecho",Afirmaciones!$F$2:$F$401,"FUERA_REF",Afirmaciones!$H$2:$H$401,"no_resp")</f>
        <v/>
      </c>
      <c r="S25" s="5">
        <f>COUNTIFS(Afirmaciones!$A$2:$A$401,$A25,Afirmaciones!$B$2:$B$401,$B25,Afirmaciones!$E$2:$E$401,"hecho",Afirmaciones!$F$2:$F$401,"FUERA_REF")</f>
        <v/>
      </c>
      <c r="T25" s="5">
        <f>COUNTIFS(Afirmaciones!$A$2:$A$401,$A25,Afirmaciones!$B$2:$B$401,$B25,Afirmaciones!$E$2:$E$401,"hecho",Afirmaciones!$I$2:$I$401,"SIN-RESPALDO")</f>
        <v/>
      </c>
      <c r="U25" s="5">
        <f>COUNTIFS(Afirmaciones!$A$2:$A$401,$A25,Afirmaciones!$B$2:$B$401,$B25,Afirmaciones!$E$2:$E$401,"hecho",Afirmaciones!$I$2:$I$401,"CITA-X")</f>
        <v/>
      </c>
      <c r="V25" s="5">
        <f>COUNTIFS(Afirmaciones!$A$2:$A$401,$A25,Afirmaciones!$B$2:$B$401,$B25,Afirmaciones!$E$2:$E$401,"hecho",Afirmaciones!$I$2:$I$401,"SIN-CITA")</f>
        <v/>
      </c>
      <c r="W25" s="5">
        <f>COUNTIFS(Afirmaciones!$A$2:$A$401,$A25,Afirmaciones!$B$2:$B$401,$B25,Afirmaciones!$E$2:$E$401,"hecho")</f>
        <v/>
      </c>
      <c r="X25" s="5">
        <f>COUNTIFS(Afirmaciones!$A$2:$A$401,$A25,Afirmaciones!$B$2:$B$401,$B25,Afirmaciones!$E$2:$E$401,"hecho",Afirmaciones!$I$2:$I$401,"SOSTENIDA")</f>
        <v/>
      </c>
      <c r="Y25" s="5">
        <f>IF($L25=0,"",IF($M25=0,IF($R25&gt;0,0,2),IF(AND($N25=$M25,$P25+$Q25+$R25=0),2,IF($N25=0,0,1))))</f>
        <v/>
      </c>
      <c r="Z25" s="5">
        <f>IF($L25=0,"",IF($B25="llm","N/A",IF($W25=0,"N/A",IF($X25=$W25,2,IF($X25=0,0,1)))))</f>
        <v/>
      </c>
      <c r="AA25" s="5">
        <f>IF($L25=0,"",IF(AND($P25+$Q25+$R25=0,$T25+$U25=0,$I25&lt;&gt;"SI"),"-",TRIM(IF($P25+$Q25+$R25&gt;0,"CRITICA ","")&amp;IF($T25+$U25&gt;0,"RESPALDO ","")&amp;IF($I25="SI","TRUNC",""))))</f>
        <v/>
      </c>
      <c r="AB25" s="5">
        <f>IF($L25=0,"",IF(AND($R25=0,$AF25=0,$AG25=0,$P25+$Q25=0,$T25+$U25+$V25=0),"OK",TRIM(IF($R25&gt;0,"E0 ","")&amp;IF($AF25&gt;0,"E1 ","")&amp;IF(OR($AG25&gt;0,AND($P25+$Q25&gt;0,$AF25=0)),"E2 ","")&amp;IF($T25+$U25+$V25&gt;0,"E3 ",""))))</f>
        <v/>
      </c>
      <c r="AC25" s="5">
        <f>IF($AB25="","",IF($AB25="OK","OK",LEFT($AB25,2)))</f>
        <v/>
      </c>
      <c r="AD25" s="5">
        <f>IF(OR($L25=0,$B25="llm",$W25=0),"-",$X25&amp;"/"&amp;$W25)</f>
        <v/>
      </c>
      <c r="AE25" s="5">
        <f>IF(OR($L25=0,$B25&lt;&gt;"rag",$M25=0),"-",SUMIFS(Hechos!$H$2:$H$201,Hechos!$A$2:$A$201,$A25)&amp;"/"&amp;$M25)</f>
        <v/>
      </c>
      <c r="AF25" s="5">
        <f>IF($B25="rag",SUMPRODUCT((Hechos!$A$2:$A$201=$A25)*(Hechos!$F$2:$F$201=0)*((Hechos!$E$2:$E$201="NO")+(Hechos!$E$2:$E$201="ALT-P")+(Hechos!$E$2:$E$201=""))),0)</f>
        <v/>
      </c>
      <c r="AG25" s="5">
        <f>IF($B25="rag",SUMPRODUCT((Hechos!$A$2:$A$201=$A25)*(Hechos!$F$2:$F$201=0)*((Hechos!$E$2:$E$201="SI")+(Hechos!$E$2:$E$201="ALT"))),$M25-$N25)</f>
        <v/>
      </c>
      <c r="AH25" s="6" t="n"/>
    </row>
    <row r="26" ht="150" customHeight="1">
      <c r="A26" s="4" t="inlineStr">
        <is>
          <t>p13</t>
        </is>
      </c>
      <c r="B26" s="4" t="inlineStr">
        <is>
          <t>rag</t>
        </is>
      </c>
      <c r="C26" s="4" t="inlineStr">
        <is>
          <t>ES</t>
        </is>
      </c>
      <c r="D26" s="4" t="inlineStr">
        <is>
          <t>nula</t>
        </is>
      </c>
      <c r="E26" s="4" t="inlineStr">
        <is>
          <t>¿Qué describe la sub-técnica T1059.099 de ATT&amp;CK y a qué táctica pertenece?</t>
        </is>
      </c>
      <c r="F26" s="4" t="inlineStr">
        <is>
          <t>No respondible: T1059.099 no existe en ATT&amp;CK ni en el corpus. La respuesta correcta es indicar que no hay información sobre ese identificador (sin inventar una sub-técnica de T1059).</t>
        </is>
      </c>
      <c r="G26" s="4" t="inlineStr">
        <is>
          <t>Toda la pregunta.</t>
        </is>
      </c>
      <c r="H26" s="4" t="inlineStr">
        <is>
          <t>No se proporciona información sobre la sub-técnica T1059.099 en los contextos dados. Por lo tanto, no se puede describir ni identificar a qué táctica pertenece. [N/A]</t>
        </is>
      </c>
      <c r="I26" s="5" t="inlineStr">
        <is>
          <t>NO</t>
        </is>
      </c>
      <c r="J26" s="5" t="inlineStr">
        <is>
          <t>N/A</t>
        </is>
      </c>
      <c r="K26" s="5" t="inlineStr">
        <is>
          <t>0/0</t>
        </is>
      </c>
      <c r="L26" s="5">
        <f>COUNTIFS(Afirmaciones!$A$2:$A$401,$A26,Afirmaciones!$B$2:$B$401,$B26)</f>
        <v/>
      </c>
      <c r="M26" s="5">
        <f>COUNTIFS(Hechos!$A$2:$A$201,$A26)</f>
        <v/>
      </c>
      <c r="N26" s="5">
        <f>IF($B26="rag",SUMIFS(Hechos!$F$2:$F$201,Hechos!$A$2:$A$201,$A26),SUMIFS(Hechos!$G$2:$G$201,Hechos!$A$2:$A$201,$A26))</f>
        <v/>
      </c>
      <c r="O26" s="5">
        <f>IF($M26=0,"-",$N26&amp;"/"&amp;$M26)</f>
        <v/>
      </c>
      <c r="P26" s="5">
        <f>COUNTIFS(Afirmaciones!$A$2:$A$401,$A26,Afirmaciones!$B$2:$B$401,$B26,Afirmaciones!$E$2:$E$401,"hecho",Afirmaciones!$F$2:$F$401,"INCORRECTA")</f>
        <v/>
      </c>
      <c r="Q26" s="5">
        <f>COUNTIFS(Afirmaciones!$A$2:$A$401,$A26,Afirmaciones!$B$2:$B$401,$B26,Afirmaciones!$E$2:$E$401,"abstencion",Afirmaciones!$F$2:$F$401,"INCORRECTA")</f>
        <v/>
      </c>
      <c r="R26" s="5">
        <f>COUNTIFS(Afirmaciones!$A$2:$A$401,$A26,Afirmaciones!$B$2:$B$401,$B26,Afirmaciones!$E$2:$E$401,"hecho",Afirmaciones!$F$2:$F$401,"FUERA_REF",Afirmaciones!$H$2:$H$401,"no_resp")</f>
        <v/>
      </c>
      <c r="S26" s="5">
        <f>COUNTIFS(Afirmaciones!$A$2:$A$401,$A26,Afirmaciones!$B$2:$B$401,$B26,Afirmaciones!$E$2:$E$401,"hecho",Afirmaciones!$F$2:$F$401,"FUERA_REF")</f>
        <v/>
      </c>
      <c r="T26" s="5">
        <f>COUNTIFS(Afirmaciones!$A$2:$A$401,$A26,Afirmaciones!$B$2:$B$401,$B26,Afirmaciones!$E$2:$E$401,"hecho",Afirmaciones!$I$2:$I$401,"SIN-RESPALDO")</f>
        <v/>
      </c>
      <c r="U26" s="5">
        <f>COUNTIFS(Afirmaciones!$A$2:$A$401,$A26,Afirmaciones!$B$2:$B$401,$B26,Afirmaciones!$E$2:$E$401,"hecho",Afirmaciones!$I$2:$I$401,"CITA-X")</f>
        <v/>
      </c>
      <c r="V26" s="5">
        <f>COUNTIFS(Afirmaciones!$A$2:$A$401,$A26,Afirmaciones!$B$2:$B$401,$B26,Afirmaciones!$E$2:$E$401,"hecho",Afirmaciones!$I$2:$I$401,"SIN-CITA")</f>
        <v/>
      </c>
      <c r="W26" s="5">
        <f>COUNTIFS(Afirmaciones!$A$2:$A$401,$A26,Afirmaciones!$B$2:$B$401,$B26,Afirmaciones!$E$2:$E$401,"hecho")</f>
        <v/>
      </c>
      <c r="X26" s="5">
        <f>COUNTIFS(Afirmaciones!$A$2:$A$401,$A26,Afirmaciones!$B$2:$B$401,$B26,Afirmaciones!$E$2:$E$401,"hecho",Afirmaciones!$I$2:$I$401,"SOSTENIDA")</f>
        <v/>
      </c>
      <c r="Y26" s="5">
        <f>IF($L26=0,"",IF($M26=0,IF($R26&gt;0,0,2),IF(AND($N26=$M26,$P26+$Q26+$R26=0),2,IF($N26=0,0,1))))</f>
        <v/>
      </c>
      <c r="Z26" s="5">
        <f>IF($L26=0,"",IF($B26="llm","N/A",IF($W26=0,"N/A",IF($X26=$W26,2,IF($X26=0,0,1)))))</f>
        <v/>
      </c>
      <c r="AA26" s="5">
        <f>IF($L26=0,"",IF(AND($P26+$Q26+$R26=0,$T26+$U26=0,$I26&lt;&gt;"SI"),"-",TRIM(IF($P26+$Q26+$R26&gt;0,"CRITICA ","")&amp;IF($T26+$U26&gt;0,"RESPALDO ","")&amp;IF($I26="SI","TRUNC",""))))</f>
        <v/>
      </c>
      <c r="AB26" s="5">
        <f>IF($L26=0,"",IF(AND($R26=0,$AF26=0,$AG26=0,$P26+$Q26=0,$T26+$U26+$V26=0),"OK",TRIM(IF($R26&gt;0,"E0 ","")&amp;IF($AF26&gt;0,"E1 ","")&amp;IF(OR($AG26&gt;0,AND($P26+$Q26&gt;0,$AF26=0)),"E2 ","")&amp;IF($T26+$U26+$V26&gt;0,"E3 ",""))))</f>
        <v/>
      </c>
      <c r="AC26" s="5">
        <f>IF($AB26="","",IF($AB26="OK","OK",LEFT($AB26,2)))</f>
        <v/>
      </c>
      <c r="AD26" s="5">
        <f>IF(OR($L26=0,$B26="llm",$W26=0),"-",$X26&amp;"/"&amp;$W26)</f>
        <v/>
      </c>
      <c r="AE26" s="5">
        <f>IF(OR($L26=0,$B26&lt;&gt;"rag",$M26=0),"-",SUMIFS(Hechos!$H$2:$H$201,Hechos!$A$2:$A$201,$A26)&amp;"/"&amp;$M26)</f>
        <v/>
      </c>
      <c r="AF26" s="5">
        <f>IF($B26="rag",SUMPRODUCT((Hechos!$A$2:$A$201=$A26)*(Hechos!$F$2:$F$201=0)*((Hechos!$E$2:$E$201="NO")+(Hechos!$E$2:$E$201="ALT-P")+(Hechos!$E$2:$E$201=""))),0)</f>
        <v/>
      </c>
      <c r="AG26" s="5">
        <f>IF($B26="rag",SUMPRODUCT((Hechos!$A$2:$A$201=$A26)*(Hechos!$F$2:$F$201=0)*((Hechos!$E$2:$E$201="SI")+(Hechos!$E$2:$E$201="ALT"))),$M26-$N26)</f>
        <v/>
      </c>
      <c r="AH26" s="6" t="n"/>
    </row>
    <row r="27" ht="150" customHeight="1">
      <c r="A27" s="4" t="inlineStr">
        <is>
          <t>p13</t>
        </is>
      </c>
      <c r="B27" s="4" t="inlineStr">
        <is>
          <t>llm</t>
        </is>
      </c>
      <c r="C27" s="4" t="inlineStr">
        <is>
          <t>ES</t>
        </is>
      </c>
      <c r="D27" s="4" t="inlineStr">
        <is>
          <t>nula</t>
        </is>
      </c>
      <c r="E27" s="4" t="inlineStr">
        <is>
          <t>¿Qué describe la sub-técnica T1059.099 de ATT&amp;CK y a qué táctica pertenece?</t>
        </is>
      </c>
      <c r="F27" s="4" t="inlineStr">
        <is>
          <t>No respondible: T1059.099 no existe en ATT&amp;CK ni en el corpus. La respuesta correcta es indicar que no hay información sobre ese identificador (sin inventar una sub-técnica de T1059).</t>
        </is>
      </c>
      <c r="G27" s="4" t="inlineStr">
        <is>
          <t>Toda la pregunta.</t>
        </is>
      </c>
      <c r="H27" s="4" t="inlineStr">
        <is>
          <t>La sub-técnica T1059.099 de ATT&amp;CK describe **"Command and Scripting Interpreter: PowerShell"**, específicamente el uso de **PowerShell para ejecutar comandos y scripts**.  
Pertenece a la **táctica T1059: Command and Scripting Interpreter**, que incluye el uso de interpretadores de comandos y scripts para ejecutar código en sistemas operativos, como PowerShell, Bash, o otros lenguajes de scripting.
**Respuesta final:**  
La sub-técnica T1059.099 describe el uso de PowerShell como interpretador de comandos y scripts, y pertenece a la táctica T1059: Command and Scripting Interpreter.</t>
        </is>
      </c>
      <c r="I27" s="5" t="inlineStr">
        <is>
          <t>NO</t>
        </is>
      </c>
      <c r="J27" s="5" t="n"/>
      <c r="K27" s="5" t="n"/>
      <c r="L27" s="5">
        <f>COUNTIFS(Afirmaciones!$A$2:$A$401,$A27,Afirmaciones!$B$2:$B$401,$B27)</f>
        <v/>
      </c>
      <c r="M27" s="5">
        <f>COUNTIFS(Hechos!$A$2:$A$201,$A27)</f>
        <v/>
      </c>
      <c r="N27" s="5">
        <f>IF($B27="rag",SUMIFS(Hechos!$F$2:$F$201,Hechos!$A$2:$A$201,$A27),SUMIFS(Hechos!$G$2:$G$201,Hechos!$A$2:$A$201,$A27))</f>
        <v/>
      </c>
      <c r="O27" s="5">
        <f>IF($M27=0,"-",$N27&amp;"/"&amp;$M27)</f>
        <v/>
      </c>
      <c r="P27" s="5">
        <f>COUNTIFS(Afirmaciones!$A$2:$A$401,$A27,Afirmaciones!$B$2:$B$401,$B27,Afirmaciones!$E$2:$E$401,"hecho",Afirmaciones!$F$2:$F$401,"INCORRECTA")</f>
        <v/>
      </c>
      <c r="Q27" s="5">
        <f>COUNTIFS(Afirmaciones!$A$2:$A$401,$A27,Afirmaciones!$B$2:$B$401,$B27,Afirmaciones!$E$2:$E$401,"abstencion",Afirmaciones!$F$2:$F$401,"INCORRECTA")</f>
        <v/>
      </c>
      <c r="R27" s="5">
        <f>COUNTIFS(Afirmaciones!$A$2:$A$401,$A27,Afirmaciones!$B$2:$B$401,$B27,Afirmaciones!$E$2:$E$401,"hecho",Afirmaciones!$F$2:$F$401,"FUERA_REF",Afirmaciones!$H$2:$H$401,"no_resp")</f>
        <v/>
      </c>
      <c r="S27" s="5">
        <f>COUNTIFS(Afirmaciones!$A$2:$A$401,$A27,Afirmaciones!$B$2:$B$401,$B27,Afirmaciones!$E$2:$E$401,"hecho",Afirmaciones!$F$2:$F$401,"FUERA_REF")</f>
        <v/>
      </c>
      <c r="T27" s="5">
        <f>COUNTIFS(Afirmaciones!$A$2:$A$401,$A27,Afirmaciones!$B$2:$B$401,$B27,Afirmaciones!$E$2:$E$401,"hecho",Afirmaciones!$I$2:$I$401,"SIN-RESPALDO")</f>
        <v/>
      </c>
      <c r="U27" s="5">
        <f>COUNTIFS(Afirmaciones!$A$2:$A$401,$A27,Afirmaciones!$B$2:$B$401,$B27,Afirmaciones!$E$2:$E$401,"hecho",Afirmaciones!$I$2:$I$401,"CITA-X")</f>
        <v/>
      </c>
      <c r="V27" s="5">
        <f>COUNTIFS(Afirmaciones!$A$2:$A$401,$A27,Afirmaciones!$B$2:$B$401,$B27,Afirmaciones!$E$2:$E$401,"hecho",Afirmaciones!$I$2:$I$401,"SIN-CITA")</f>
        <v/>
      </c>
      <c r="W27" s="5">
        <f>COUNTIFS(Afirmaciones!$A$2:$A$401,$A27,Afirmaciones!$B$2:$B$401,$B27,Afirmaciones!$E$2:$E$401,"hecho")</f>
        <v/>
      </c>
      <c r="X27" s="5">
        <f>COUNTIFS(Afirmaciones!$A$2:$A$401,$A27,Afirmaciones!$B$2:$B$401,$B27,Afirmaciones!$E$2:$E$401,"hecho",Afirmaciones!$I$2:$I$401,"SOSTENIDA")</f>
        <v/>
      </c>
      <c r="Y27" s="5">
        <f>IF($L27=0,"",IF($M27=0,IF($R27&gt;0,0,2),IF(AND($N27=$M27,$P27+$Q27+$R27=0),2,IF($N27=0,0,1))))</f>
        <v/>
      </c>
      <c r="Z27" s="5">
        <f>IF($L27=0,"",IF($B27="llm","N/A",IF($W27=0,"N/A",IF($X27=$W27,2,IF($X27=0,0,1)))))</f>
        <v/>
      </c>
      <c r="AA27" s="5">
        <f>IF($L27=0,"",IF(AND($P27+$Q27+$R27=0,$T27+$U27=0,$I27&lt;&gt;"SI"),"-",TRIM(IF($P27+$Q27+$R27&gt;0,"CRITICA ","")&amp;IF($T27+$U27&gt;0,"RESPALDO ","")&amp;IF($I27="SI","TRUNC",""))))</f>
        <v/>
      </c>
      <c r="AB27" s="5">
        <f>IF($L27=0,"",IF(AND($R27=0,$AF27=0,$AG27=0,$P27+$Q27=0,$T27+$U27+$V27=0),"OK",TRIM(IF($R27&gt;0,"E0 ","")&amp;IF($AF27&gt;0,"E1 ","")&amp;IF(OR($AG27&gt;0,AND($P27+$Q27&gt;0,$AF27=0)),"E2 ","")&amp;IF($T27+$U27+$V27&gt;0,"E3 ",""))))</f>
        <v/>
      </c>
      <c r="AC27" s="5">
        <f>IF($AB27="","",IF($AB27="OK","OK",LEFT($AB27,2)))</f>
        <v/>
      </c>
      <c r="AD27" s="5">
        <f>IF(OR($L27=0,$B27="llm",$W27=0),"-",$X27&amp;"/"&amp;$W27)</f>
        <v/>
      </c>
      <c r="AE27" s="5">
        <f>IF(OR($L27=0,$B27&lt;&gt;"rag",$M27=0),"-",SUMIFS(Hechos!$H$2:$H$201,Hechos!$A$2:$A$201,$A27)&amp;"/"&amp;$M27)</f>
        <v/>
      </c>
      <c r="AF27" s="5">
        <f>IF($B27="rag",SUMPRODUCT((Hechos!$A$2:$A$201=$A27)*(Hechos!$F$2:$F$201=0)*((Hechos!$E$2:$E$201="NO")+(Hechos!$E$2:$E$201="ALT-P")+(Hechos!$E$2:$E$201=""))),0)</f>
        <v/>
      </c>
      <c r="AG27" s="5">
        <f>IF($B27="rag",SUMPRODUCT((Hechos!$A$2:$A$201=$A27)*(Hechos!$F$2:$F$201=0)*((Hechos!$E$2:$E$201="SI")+(Hechos!$E$2:$E$201="ALT"))),$M27-$N27)</f>
        <v/>
      </c>
      <c r="AH27" s="6" t="n"/>
    </row>
  </sheetData>
  <sheetProtection selectLockedCells="0" selectUnlockedCells="0" sheet="1" objects="0" insertRows="1" insertHyperlinks="1" autoFilter="0" scenarios="0" formatColumns="0" deleteColumns="1" insertColumns="1" pivotTables="1" deleteRows="1" formatCells="1" formatRows="0" sort="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01"/>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5" customWidth="1" min="3" max="3"/>
    <col width="60" customWidth="1" min="4" max="4"/>
    <col width="13" customWidth="1" min="5" max="5"/>
    <col width="14" customWidth="1" min="6" max="6"/>
    <col width="14" customWidth="1" min="7" max="7"/>
    <col width="10" customWidth="1" min="8" max="8"/>
    <col width="17" customWidth="1" min="9" max="9"/>
    <col width="9" customWidth="1" min="10" max="10"/>
    <col width="13" customWidth="1" min="11" max="11"/>
    <col width="40" customWidth="1" min="12" max="12"/>
    <col width="18" customWidth="1" min="13" max="13"/>
    <col width="28" customWidth="1" min="14" max="14"/>
  </cols>
  <sheetData>
    <row r="1" ht="34" customHeight="1">
      <c r="A1" s="3" t="inlineStr">
        <is>
          <t>qid</t>
        </is>
      </c>
      <c r="B1" s="3" t="inlineStr">
        <is>
          <t>modo</t>
        </is>
      </c>
      <c r="C1" s="3" t="inlineStr">
        <is>
          <t>n</t>
        </is>
      </c>
      <c r="D1" s="3" t="inlineStr">
        <is>
          <t>afirmación</t>
        </is>
      </c>
      <c r="E1" s="3" t="inlineStr">
        <is>
          <t>tipo</t>
        </is>
      </c>
      <c r="F1" s="3" t="inlineStr">
        <is>
          <t>vs_ref</t>
        </is>
      </c>
      <c r="G1" s="3" t="inlineStr">
        <is>
          <t>hecho_ref</t>
        </is>
      </c>
      <c r="H1" s="3" t="inlineStr">
        <is>
          <t>zona</t>
        </is>
      </c>
      <c r="I1" s="3" t="inlineStr">
        <is>
          <t>respaldo</t>
        </is>
      </c>
      <c r="J1" s="3" t="inlineStr">
        <is>
          <t>cita_n</t>
        </is>
      </c>
      <c r="K1" s="3" t="inlineStr">
        <is>
          <t>fragmento_sostiene</t>
        </is>
      </c>
      <c r="L1" s="3" t="inlineStr">
        <is>
          <t>nota</t>
        </is>
      </c>
      <c r="M1" s="3" t="inlineStr">
        <is>
          <t>códigos (auto)</t>
        </is>
      </c>
      <c r="N1" s="3" t="inlineStr">
        <is>
          <t>chequeo (auto)</t>
        </is>
      </c>
    </row>
    <row r="2">
      <c r="A2" s="6" t="n"/>
      <c r="B2" s="6" t="n"/>
      <c r="C2" s="5">
        <f>IF(A2="","",COUNTIFS($A$2:A2,A2,$B$2:B2,B2))</f>
        <v/>
      </c>
      <c r="D2" s="6" t="n"/>
      <c r="E2" s="6" t="n"/>
      <c r="F2" s="6" t="n"/>
      <c r="G2" s="6" t="n"/>
      <c r="H2" s="6" t="n"/>
      <c r="I2" s="6" t="n"/>
      <c r="J2" s="6" t="n"/>
      <c r="K2" s="6" t="n"/>
      <c r="L2" s="6" t="n"/>
      <c r="M2" s="5">
        <f>IF(D2="","",IF(OR(E2="",F2=""),"",IF(TRIM(IF(AND(E2="hecho",F2="INCORRECTA"),"INC ","")&amp;IF(AND(E2="abstencion",F2="INCORRECTA"),"ABS-E ","")&amp;IF(AND(E2="hecho",F2="FUERA_REF",H2="no_resp"),"NO-ABS ","")&amp;IF(AND(E2="hecho",I2="SIN-RESPALDO"),"SIN-R ","")&amp;IF(AND(E2="hecho",I2="CITA-X"),"CITA-X ","")&amp;IF(AND(E2="hecho",I2="SIN-CITA"),"SIN-C ",""))="","-",TRIM(IF(AND(E2="hecho",F2="INCORRECTA"),"INC ","")&amp;IF(AND(E2="abstencion",F2="INCORRECTA"),"ABS-E ","")&amp;IF(AND(E2="hecho",F2="FUERA_REF",H2="no_resp"),"NO-ABS ","")&amp;IF(AND(E2="hecho",I2="SIN-RESPALDO"),"SIN-R ","")&amp;IF(AND(E2="hecho",I2="CITA-X"),"CITA-X ","")&amp;IF(AND(E2="hecho",I2="SIN-CITA"),"SIN-C ","")))))</f>
        <v/>
      </c>
      <c r="N2" s="5">
        <f>IF(D2="","",IF(OR(A2="",B2="",E2="",F2=""),"falta qid, modo, tipo o vs_ref",IF(AND(B2="llm",I2&lt;&gt;""),"respaldo no aplica en modo LLM",IF(AND(E2="abstencion",I2&lt;&gt;""),"una abstención no se califica en citas",IF(AND(B2="rag",E2="hecho",I2=""),"falta respaldo","ok")))))</f>
        <v/>
      </c>
    </row>
    <row r="3">
      <c r="A3" s="6" t="n"/>
      <c r="B3" s="6" t="n"/>
      <c r="C3" s="5">
        <f>IF(A3="","",COUNTIFS($A$2:A3,A3,$B$2:B3,B3))</f>
        <v/>
      </c>
      <c r="D3" s="6" t="n"/>
      <c r="E3" s="6" t="n"/>
      <c r="F3" s="6" t="n"/>
      <c r="G3" s="6" t="n"/>
      <c r="H3" s="6" t="n"/>
      <c r="I3" s="6" t="n"/>
      <c r="J3" s="6" t="n"/>
      <c r="K3" s="6" t="n"/>
      <c r="L3" s="6" t="n"/>
      <c r="M3" s="5">
        <f>IF(D3="","",IF(OR(E3="",F3=""),"",IF(TRIM(IF(AND(E3="hecho",F3="INCORRECTA"),"INC ","")&amp;IF(AND(E3="abstencion",F3="INCORRECTA"),"ABS-E ","")&amp;IF(AND(E3="hecho",F3="FUERA_REF",H3="no_resp"),"NO-ABS ","")&amp;IF(AND(E3="hecho",I3="SIN-RESPALDO"),"SIN-R ","")&amp;IF(AND(E3="hecho",I3="CITA-X"),"CITA-X ","")&amp;IF(AND(E3="hecho",I3="SIN-CITA"),"SIN-C ",""))="","-",TRIM(IF(AND(E3="hecho",F3="INCORRECTA"),"INC ","")&amp;IF(AND(E3="abstencion",F3="INCORRECTA"),"ABS-E ","")&amp;IF(AND(E3="hecho",F3="FUERA_REF",H3="no_resp"),"NO-ABS ","")&amp;IF(AND(E3="hecho",I3="SIN-RESPALDO"),"SIN-R ","")&amp;IF(AND(E3="hecho",I3="CITA-X"),"CITA-X ","")&amp;IF(AND(E3="hecho",I3="SIN-CITA"),"SIN-C ","")))))</f>
        <v/>
      </c>
      <c r="N3" s="5">
        <f>IF(D3="","",IF(OR(A3="",B3="",E3="",F3=""),"falta qid, modo, tipo o vs_ref",IF(AND(B3="llm",I3&lt;&gt;""),"respaldo no aplica en modo LLM",IF(AND(E3="abstencion",I3&lt;&gt;""),"una abstención no se califica en citas",IF(AND(B3="rag",E3="hecho",I3=""),"falta respaldo","ok")))))</f>
        <v/>
      </c>
    </row>
    <row r="4">
      <c r="A4" s="6" t="n"/>
      <c r="B4" s="6" t="n"/>
      <c r="C4" s="5">
        <f>IF(A4="","",COUNTIFS($A$2:A4,A4,$B$2:B4,B4))</f>
        <v/>
      </c>
      <c r="D4" s="6" t="n"/>
      <c r="E4" s="6" t="n"/>
      <c r="F4" s="6" t="n"/>
      <c r="G4" s="6" t="n"/>
      <c r="H4" s="6" t="n"/>
      <c r="I4" s="6" t="n"/>
      <c r="J4" s="6" t="n"/>
      <c r="K4" s="6" t="n"/>
      <c r="L4" s="6" t="n"/>
      <c r="M4" s="5">
        <f>IF(D4="","",IF(OR(E4="",F4=""),"",IF(TRIM(IF(AND(E4="hecho",F4="INCORRECTA"),"INC ","")&amp;IF(AND(E4="abstencion",F4="INCORRECTA"),"ABS-E ","")&amp;IF(AND(E4="hecho",F4="FUERA_REF",H4="no_resp"),"NO-ABS ","")&amp;IF(AND(E4="hecho",I4="SIN-RESPALDO"),"SIN-R ","")&amp;IF(AND(E4="hecho",I4="CITA-X"),"CITA-X ","")&amp;IF(AND(E4="hecho",I4="SIN-CITA"),"SIN-C ",""))="","-",TRIM(IF(AND(E4="hecho",F4="INCORRECTA"),"INC ","")&amp;IF(AND(E4="abstencion",F4="INCORRECTA"),"ABS-E ","")&amp;IF(AND(E4="hecho",F4="FUERA_REF",H4="no_resp"),"NO-ABS ","")&amp;IF(AND(E4="hecho",I4="SIN-RESPALDO"),"SIN-R ","")&amp;IF(AND(E4="hecho",I4="CITA-X"),"CITA-X ","")&amp;IF(AND(E4="hecho",I4="SIN-CITA"),"SIN-C ","")))))</f>
        <v/>
      </c>
      <c r="N4" s="5">
        <f>IF(D4="","",IF(OR(A4="",B4="",E4="",F4=""),"falta qid, modo, tipo o vs_ref",IF(AND(B4="llm",I4&lt;&gt;""),"respaldo no aplica en modo LLM",IF(AND(E4="abstencion",I4&lt;&gt;""),"una abstención no se califica en citas",IF(AND(B4="rag",E4="hecho",I4=""),"falta respaldo","ok")))))</f>
        <v/>
      </c>
    </row>
    <row r="5">
      <c r="A5" s="6" t="n"/>
      <c r="B5" s="6" t="n"/>
      <c r="C5" s="5">
        <f>IF(A5="","",COUNTIFS($A$2:A5,A5,$B$2:B5,B5))</f>
        <v/>
      </c>
      <c r="D5" s="6" t="n"/>
      <c r="E5" s="6" t="n"/>
      <c r="F5" s="6" t="n"/>
      <c r="G5" s="6" t="n"/>
      <c r="H5" s="6" t="n"/>
      <c r="I5" s="6" t="n"/>
      <c r="J5" s="6" t="n"/>
      <c r="K5" s="6" t="n"/>
      <c r="L5" s="6" t="n"/>
      <c r="M5" s="5">
        <f>IF(D5="","",IF(OR(E5="",F5=""),"",IF(TRIM(IF(AND(E5="hecho",F5="INCORRECTA"),"INC ","")&amp;IF(AND(E5="abstencion",F5="INCORRECTA"),"ABS-E ","")&amp;IF(AND(E5="hecho",F5="FUERA_REF",H5="no_resp"),"NO-ABS ","")&amp;IF(AND(E5="hecho",I5="SIN-RESPALDO"),"SIN-R ","")&amp;IF(AND(E5="hecho",I5="CITA-X"),"CITA-X ","")&amp;IF(AND(E5="hecho",I5="SIN-CITA"),"SIN-C ",""))="","-",TRIM(IF(AND(E5="hecho",F5="INCORRECTA"),"INC ","")&amp;IF(AND(E5="abstencion",F5="INCORRECTA"),"ABS-E ","")&amp;IF(AND(E5="hecho",F5="FUERA_REF",H5="no_resp"),"NO-ABS ","")&amp;IF(AND(E5="hecho",I5="SIN-RESPALDO"),"SIN-R ","")&amp;IF(AND(E5="hecho",I5="CITA-X"),"CITA-X ","")&amp;IF(AND(E5="hecho",I5="SIN-CITA"),"SIN-C ","")))))</f>
        <v/>
      </c>
      <c r="N5" s="5">
        <f>IF(D5="","",IF(OR(A5="",B5="",E5="",F5=""),"falta qid, modo, tipo o vs_ref",IF(AND(B5="llm",I5&lt;&gt;""),"respaldo no aplica en modo LLM",IF(AND(E5="abstencion",I5&lt;&gt;""),"una abstención no se califica en citas",IF(AND(B5="rag",E5="hecho",I5=""),"falta respaldo","ok")))))</f>
        <v/>
      </c>
    </row>
    <row r="6">
      <c r="A6" s="6" t="n"/>
      <c r="B6" s="6" t="n"/>
      <c r="C6" s="5">
        <f>IF(A6="","",COUNTIFS($A$2:A6,A6,$B$2:B6,B6))</f>
        <v/>
      </c>
      <c r="D6" s="6" t="n"/>
      <c r="E6" s="6" t="n"/>
      <c r="F6" s="6" t="n"/>
      <c r="G6" s="6" t="n"/>
      <c r="H6" s="6" t="n"/>
      <c r="I6" s="6" t="n"/>
      <c r="J6" s="6" t="n"/>
      <c r="K6" s="6" t="n"/>
      <c r="L6" s="6" t="n"/>
      <c r="M6" s="5">
        <f>IF(D6="","",IF(OR(E6="",F6=""),"",IF(TRIM(IF(AND(E6="hecho",F6="INCORRECTA"),"INC ","")&amp;IF(AND(E6="abstencion",F6="INCORRECTA"),"ABS-E ","")&amp;IF(AND(E6="hecho",F6="FUERA_REF",H6="no_resp"),"NO-ABS ","")&amp;IF(AND(E6="hecho",I6="SIN-RESPALDO"),"SIN-R ","")&amp;IF(AND(E6="hecho",I6="CITA-X"),"CITA-X ","")&amp;IF(AND(E6="hecho",I6="SIN-CITA"),"SIN-C ",""))="","-",TRIM(IF(AND(E6="hecho",F6="INCORRECTA"),"INC ","")&amp;IF(AND(E6="abstencion",F6="INCORRECTA"),"ABS-E ","")&amp;IF(AND(E6="hecho",F6="FUERA_REF",H6="no_resp"),"NO-ABS ","")&amp;IF(AND(E6="hecho",I6="SIN-RESPALDO"),"SIN-R ","")&amp;IF(AND(E6="hecho",I6="CITA-X"),"CITA-X ","")&amp;IF(AND(E6="hecho",I6="SIN-CITA"),"SIN-C ","")))))</f>
        <v/>
      </c>
      <c r="N6" s="5">
        <f>IF(D6="","",IF(OR(A6="",B6="",E6="",F6=""),"falta qid, modo, tipo o vs_ref",IF(AND(B6="llm",I6&lt;&gt;""),"respaldo no aplica en modo LLM",IF(AND(E6="abstencion",I6&lt;&gt;""),"una abstención no se califica en citas",IF(AND(B6="rag",E6="hecho",I6=""),"falta respaldo","ok")))))</f>
        <v/>
      </c>
    </row>
    <row r="7">
      <c r="A7" s="6" t="n"/>
      <c r="B7" s="6" t="n"/>
      <c r="C7" s="5">
        <f>IF(A7="","",COUNTIFS($A$2:A7,A7,$B$2:B7,B7))</f>
        <v/>
      </c>
      <c r="D7" s="6" t="n"/>
      <c r="E7" s="6" t="n"/>
      <c r="F7" s="6" t="n"/>
      <c r="G7" s="6" t="n"/>
      <c r="H7" s="6" t="n"/>
      <c r="I7" s="6" t="n"/>
      <c r="J7" s="6" t="n"/>
      <c r="K7" s="6" t="n"/>
      <c r="L7" s="6" t="n"/>
      <c r="M7" s="5">
        <f>IF(D7="","",IF(OR(E7="",F7=""),"",IF(TRIM(IF(AND(E7="hecho",F7="INCORRECTA"),"INC ","")&amp;IF(AND(E7="abstencion",F7="INCORRECTA"),"ABS-E ","")&amp;IF(AND(E7="hecho",F7="FUERA_REF",H7="no_resp"),"NO-ABS ","")&amp;IF(AND(E7="hecho",I7="SIN-RESPALDO"),"SIN-R ","")&amp;IF(AND(E7="hecho",I7="CITA-X"),"CITA-X ","")&amp;IF(AND(E7="hecho",I7="SIN-CITA"),"SIN-C ",""))="","-",TRIM(IF(AND(E7="hecho",F7="INCORRECTA"),"INC ","")&amp;IF(AND(E7="abstencion",F7="INCORRECTA"),"ABS-E ","")&amp;IF(AND(E7="hecho",F7="FUERA_REF",H7="no_resp"),"NO-ABS ","")&amp;IF(AND(E7="hecho",I7="SIN-RESPALDO"),"SIN-R ","")&amp;IF(AND(E7="hecho",I7="CITA-X"),"CITA-X ","")&amp;IF(AND(E7="hecho",I7="SIN-CITA"),"SIN-C ","")))))</f>
        <v/>
      </c>
      <c r="N7" s="5">
        <f>IF(D7="","",IF(OR(A7="",B7="",E7="",F7=""),"falta qid, modo, tipo o vs_ref",IF(AND(B7="llm",I7&lt;&gt;""),"respaldo no aplica en modo LLM",IF(AND(E7="abstencion",I7&lt;&gt;""),"una abstención no se califica en citas",IF(AND(B7="rag",E7="hecho",I7=""),"falta respaldo","ok")))))</f>
        <v/>
      </c>
    </row>
    <row r="8">
      <c r="A8" s="6" t="n"/>
      <c r="B8" s="6" t="n"/>
      <c r="C8" s="5">
        <f>IF(A8="","",COUNTIFS($A$2:A8,A8,$B$2:B8,B8))</f>
        <v/>
      </c>
      <c r="D8" s="6" t="n"/>
      <c r="E8" s="6" t="n"/>
      <c r="F8" s="6" t="n"/>
      <c r="G8" s="6" t="n"/>
      <c r="H8" s="6" t="n"/>
      <c r="I8" s="6" t="n"/>
      <c r="J8" s="6" t="n"/>
      <c r="K8" s="6" t="n"/>
      <c r="L8" s="6" t="n"/>
      <c r="M8" s="5">
        <f>IF(D8="","",IF(OR(E8="",F8=""),"",IF(TRIM(IF(AND(E8="hecho",F8="INCORRECTA"),"INC ","")&amp;IF(AND(E8="abstencion",F8="INCORRECTA"),"ABS-E ","")&amp;IF(AND(E8="hecho",F8="FUERA_REF",H8="no_resp"),"NO-ABS ","")&amp;IF(AND(E8="hecho",I8="SIN-RESPALDO"),"SIN-R ","")&amp;IF(AND(E8="hecho",I8="CITA-X"),"CITA-X ","")&amp;IF(AND(E8="hecho",I8="SIN-CITA"),"SIN-C ",""))="","-",TRIM(IF(AND(E8="hecho",F8="INCORRECTA"),"INC ","")&amp;IF(AND(E8="abstencion",F8="INCORRECTA"),"ABS-E ","")&amp;IF(AND(E8="hecho",F8="FUERA_REF",H8="no_resp"),"NO-ABS ","")&amp;IF(AND(E8="hecho",I8="SIN-RESPALDO"),"SIN-R ","")&amp;IF(AND(E8="hecho",I8="CITA-X"),"CITA-X ","")&amp;IF(AND(E8="hecho",I8="SIN-CITA"),"SIN-C ","")))))</f>
        <v/>
      </c>
      <c r="N8" s="5">
        <f>IF(D8="","",IF(OR(A8="",B8="",E8="",F8=""),"falta qid, modo, tipo o vs_ref",IF(AND(B8="llm",I8&lt;&gt;""),"respaldo no aplica en modo LLM",IF(AND(E8="abstencion",I8&lt;&gt;""),"una abstención no se califica en citas",IF(AND(B8="rag",E8="hecho",I8=""),"falta respaldo","ok")))))</f>
        <v/>
      </c>
    </row>
    <row r="9">
      <c r="A9" s="6" t="n"/>
      <c r="B9" s="6" t="n"/>
      <c r="C9" s="5">
        <f>IF(A9="","",COUNTIFS($A$2:A9,A9,$B$2:B9,B9))</f>
        <v/>
      </c>
      <c r="D9" s="6" t="n"/>
      <c r="E9" s="6" t="n"/>
      <c r="F9" s="6" t="n"/>
      <c r="G9" s="6" t="n"/>
      <c r="H9" s="6" t="n"/>
      <c r="I9" s="6" t="n"/>
      <c r="J9" s="6" t="n"/>
      <c r="K9" s="6" t="n"/>
      <c r="L9" s="6" t="n"/>
      <c r="M9" s="5">
        <f>IF(D9="","",IF(OR(E9="",F9=""),"",IF(TRIM(IF(AND(E9="hecho",F9="INCORRECTA"),"INC ","")&amp;IF(AND(E9="abstencion",F9="INCORRECTA"),"ABS-E ","")&amp;IF(AND(E9="hecho",F9="FUERA_REF",H9="no_resp"),"NO-ABS ","")&amp;IF(AND(E9="hecho",I9="SIN-RESPALDO"),"SIN-R ","")&amp;IF(AND(E9="hecho",I9="CITA-X"),"CITA-X ","")&amp;IF(AND(E9="hecho",I9="SIN-CITA"),"SIN-C ",""))="","-",TRIM(IF(AND(E9="hecho",F9="INCORRECTA"),"INC ","")&amp;IF(AND(E9="abstencion",F9="INCORRECTA"),"ABS-E ","")&amp;IF(AND(E9="hecho",F9="FUERA_REF",H9="no_resp"),"NO-ABS ","")&amp;IF(AND(E9="hecho",I9="SIN-RESPALDO"),"SIN-R ","")&amp;IF(AND(E9="hecho",I9="CITA-X"),"CITA-X ","")&amp;IF(AND(E9="hecho",I9="SIN-CITA"),"SIN-C ","")))))</f>
        <v/>
      </c>
      <c r="N9" s="5">
        <f>IF(D9="","",IF(OR(A9="",B9="",E9="",F9=""),"falta qid, modo, tipo o vs_ref",IF(AND(B9="llm",I9&lt;&gt;""),"respaldo no aplica en modo LLM",IF(AND(E9="abstencion",I9&lt;&gt;""),"una abstención no se califica en citas",IF(AND(B9="rag",E9="hecho",I9=""),"falta respaldo","ok")))))</f>
        <v/>
      </c>
    </row>
    <row r="10">
      <c r="A10" s="6" t="n"/>
      <c r="B10" s="6" t="n"/>
      <c r="C10" s="5">
        <f>IF(A10="","",COUNTIFS($A$2:A10,A10,$B$2:B10,B10))</f>
        <v/>
      </c>
      <c r="D10" s="6" t="n"/>
      <c r="E10" s="6" t="n"/>
      <c r="F10" s="6" t="n"/>
      <c r="G10" s="6" t="n"/>
      <c r="H10" s="6" t="n"/>
      <c r="I10" s="6" t="n"/>
      <c r="J10" s="6" t="n"/>
      <c r="K10" s="6" t="n"/>
      <c r="L10" s="6" t="n"/>
      <c r="M10" s="5">
        <f>IF(D10="","",IF(OR(E10="",F10=""),"",IF(TRIM(IF(AND(E10="hecho",F10="INCORRECTA"),"INC ","")&amp;IF(AND(E10="abstencion",F10="INCORRECTA"),"ABS-E ","")&amp;IF(AND(E10="hecho",F10="FUERA_REF",H10="no_resp"),"NO-ABS ","")&amp;IF(AND(E10="hecho",I10="SIN-RESPALDO"),"SIN-R ","")&amp;IF(AND(E10="hecho",I10="CITA-X"),"CITA-X ","")&amp;IF(AND(E10="hecho",I10="SIN-CITA"),"SIN-C ",""))="","-",TRIM(IF(AND(E10="hecho",F10="INCORRECTA"),"INC ","")&amp;IF(AND(E10="abstencion",F10="INCORRECTA"),"ABS-E ","")&amp;IF(AND(E10="hecho",F10="FUERA_REF",H10="no_resp"),"NO-ABS ","")&amp;IF(AND(E10="hecho",I10="SIN-RESPALDO"),"SIN-R ","")&amp;IF(AND(E10="hecho",I10="CITA-X"),"CITA-X ","")&amp;IF(AND(E10="hecho",I10="SIN-CITA"),"SIN-C ","")))))</f>
        <v/>
      </c>
      <c r="N10" s="5">
        <f>IF(D10="","",IF(OR(A10="",B10="",E10="",F10=""),"falta qid, modo, tipo o vs_ref",IF(AND(B10="llm",I10&lt;&gt;""),"respaldo no aplica en modo LLM",IF(AND(E10="abstencion",I10&lt;&gt;""),"una abstención no se califica en citas",IF(AND(B10="rag",E10="hecho",I10=""),"falta respaldo","ok")))))</f>
        <v/>
      </c>
    </row>
    <row r="11">
      <c r="A11" s="6" t="n"/>
      <c r="B11" s="6" t="n"/>
      <c r="C11" s="5">
        <f>IF(A11="","",COUNTIFS($A$2:A11,A11,$B$2:B11,B11))</f>
        <v/>
      </c>
      <c r="D11" s="6" t="n"/>
      <c r="E11" s="6" t="n"/>
      <c r="F11" s="6" t="n"/>
      <c r="G11" s="6" t="n"/>
      <c r="H11" s="6" t="n"/>
      <c r="I11" s="6" t="n"/>
      <c r="J11" s="6" t="n"/>
      <c r="K11" s="6" t="n"/>
      <c r="L11" s="6" t="n"/>
      <c r="M11" s="5">
        <f>IF(D11="","",IF(OR(E11="",F11=""),"",IF(TRIM(IF(AND(E11="hecho",F11="INCORRECTA"),"INC ","")&amp;IF(AND(E11="abstencion",F11="INCORRECTA"),"ABS-E ","")&amp;IF(AND(E11="hecho",F11="FUERA_REF",H11="no_resp"),"NO-ABS ","")&amp;IF(AND(E11="hecho",I11="SIN-RESPALDO"),"SIN-R ","")&amp;IF(AND(E11="hecho",I11="CITA-X"),"CITA-X ","")&amp;IF(AND(E11="hecho",I11="SIN-CITA"),"SIN-C ",""))="","-",TRIM(IF(AND(E11="hecho",F11="INCORRECTA"),"INC ","")&amp;IF(AND(E11="abstencion",F11="INCORRECTA"),"ABS-E ","")&amp;IF(AND(E11="hecho",F11="FUERA_REF",H11="no_resp"),"NO-ABS ","")&amp;IF(AND(E11="hecho",I11="SIN-RESPALDO"),"SIN-R ","")&amp;IF(AND(E11="hecho",I11="CITA-X"),"CITA-X ","")&amp;IF(AND(E11="hecho",I11="SIN-CITA"),"SIN-C ","")))))</f>
        <v/>
      </c>
      <c r="N11" s="5">
        <f>IF(D11="","",IF(OR(A11="",B11="",E11="",F11=""),"falta qid, modo, tipo o vs_ref",IF(AND(B11="llm",I11&lt;&gt;""),"respaldo no aplica en modo LLM",IF(AND(E11="abstencion",I11&lt;&gt;""),"una abstención no se califica en citas",IF(AND(B11="rag",E11="hecho",I11=""),"falta respaldo","ok")))))</f>
        <v/>
      </c>
    </row>
    <row r="12">
      <c r="A12" s="6" t="n"/>
      <c r="B12" s="6" t="n"/>
      <c r="C12" s="5">
        <f>IF(A12="","",COUNTIFS($A$2:A12,A12,$B$2:B12,B12))</f>
        <v/>
      </c>
      <c r="D12" s="6" t="n"/>
      <c r="E12" s="6" t="n"/>
      <c r="F12" s="6" t="n"/>
      <c r="G12" s="6" t="n"/>
      <c r="H12" s="6" t="n"/>
      <c r="I12" s="6" t="n"/>
      <c r="J12" s="6" t="n"/>
      <c r="K12" s="6" t="n"/>
      <c r="L12" s="6" t="n"/>
      <c r="M12" s="5">
        <f>IF(D12="","",IF(OR(E12="",F12=""),"",IF(TRIM(IF(AND(E12="hecho",F12="INCORRECTA"),"INC ","")&amp;IF(AND(E12="abstencion",F12="INCORRECTA"),"ABS-E ","")&amp;IF(AND(E12="hecho",F12="FUERA_REF",H12="no_resp"),"NO-ABS ","")&amp;IF(AND(E12="hecho",I12="SIN-RESPALDO"),"SIN-R ","")&amp;IF(AND(E12="hecho",I12="CITA-X"),"CITA-X ","")&amp;IF(AND(E12="hecho",I12="SIN-CITA"),"SIN-C ",""))="","-",TRIM(IF(AND(E12="hecho",F12="INCORRECTA"),"INC ","")&amp;IF(AND(E12="abstencion",F12="INCORRECTA"),"ABS-E ","")&amp;IF(AND(E12="hecho",F12="FUERA_REF",H12="no_resp"),"NO-ABS ","")&amp;IF(AND(E12="hecho",I12="SIN-RESPALDO"),"SIN-R ","")&amp;IF(AND(E12="hecho",I12="CITA-X"),"CITA-X ","")&amp;IF(AND(E12="hecho",I12="SIN-CITA"),"SIN-C ","")))))</f>
        <v/>
      </c>
      <c r="N12" s="5">
        <f>IF(D12="","",IF(OR(A12="",B12="",E12="",F12=""),"falta qid, modo, tipo o vs_ref",IF(AND(B12="llm",I12&lt;&gt;""),"respaldo no aplica en modo LLM",IF(AND(E12="abstencion",I12&lt;&gt;""),"una abstención no se califica en citas",IF(AND(B12="rag",E12="hecho",I12=""),"falta respaldo","ok")))))</f>
        <v/>
      </c>
    </row>
    <row r="13">
      <c r="A13" s="6" t="n"/>
      <c r="B13" s="6" t="n"/>
      <c r="C13" s="5">
        <f>IF(A13="","",COUNTIFS($A$2:A13,A13,$B$2:B13,B13))</f>
        <v/>
      </c>
      <c r="D13" s="6" t="n"/>
      <c r="E13" s="6" t="n"/>
      <c r="F13" s="6" t="n"/>
      <c r="G13" s="6" t="n"/>
      <c r="H13" s="6" t="n"/>
      <c r="I13" s="6" t="n"/>
      <c r="J13" s="6" t="n"/>
      <c r="K13" s="6" t="n"/>
      <c r="L13" s="6" t="n"/>
      <c r="M13" s="5">
        <f>IF(D13="","",IF(OR(E13="",F13=""),"",IF(TRIM(IF(AND(E13="hecho",F13="INCORRECTA"),"INC ","")&amp;IF(AND(E13="abstencion",F13="INCORRECTA"),"ABS-E ","")&amp;IF(AND(E13="hecho",F13="FUERA_REF",H13="no_resp"),"NO-ABS ","")&amp;IF(AND(E13="hecho",I13="SIN-RESPALDO"),"SIN-R ","")&amp;IF(AND(E13="hecho",I13="CITA-X"),"CITA-X ","")&amp;IF(AND(E13="hecho",I13="SIN-CITA"),"SIN-C ",""))="","-",TRIM(IF(AND(E13="hecho",F13="INCORRECTA"),"INC ","")&amp;IF(AND(E13="abstencion",F13="INCORRECTA"),"ABS-E ","")&amp;IF(AND(E13="hecho",F13="FUERA_REF",H13="no_resp"),"NO-ABS ","")&amp;IF(AND(E13="hecho",I13="SIN-RESPALDO"),"SIN-R ","")&amp;IF(AND(E13="hecho",I13="CITA-X"),"CITA-X ","")&amp;IF(AND(E13="hecho",I13="SIN-CITA"),"SIN-C ","")))))</f>
        <v/>
      </c>
      <c r="N13" s="5">
        <f>IF(D13="","",IF(OR(A13="",B13="",E13="",F13=""),"falta qid, modo, tipo o vs_ref",IF(AND(B13="llm",I13&lt;&gt;""),"respaldo no aplica en modo LLM",IF(AND(E13="abstencion",I13&lt;&gt;""),"una abstención no se califica en citas",IF(AND(B13="rag",E13="hecho",I13=""),"falta respaldo","ok")))))</f>
        <v/>
      </c>
    </row>
    <row r="14">
      <c r="A14" s="6" t="n"/>
      <c r="B14" s="6" t="n"/>
      <c r="C14" s="5">
        <f>IF(A14="","",COUNTIFS($A$2:A14,A14,$B$2:B14,B14))</f>
        <v/>
      </c>
      <c r="D14" s="6" t="n"/>
      <c r="E14" s="6" t="n"/>
      <c r="F14" s="6" t="n"/>
      <c r="G14" s="6" t="n"/>
      <c r="H14" s="6" t="n"/>
      <c r="I14" s="6" t="n"/>
      <c r="J14" s="6" t="n"/>
      <c r="K14" s="6" t="n"/>
      <c r="L14" s="6" t="n"/>
      <c r="M14" s="5">
        <f>IF(D14="","",IF(OR(E14="",F14=""),"",IF(TRIM(IF(AND(E14="hecho",F14="INCORRECTA"),"INC ","")&amp;IF(AND(E14="abstencion",F14="INCORRECTA"),"ABS-E ","")&amp;IF(AND(E14="hecho",F14="FUERA_REF",H14="no_resp"),"NO-ABS ","")&amp;IF(AND(E14="hecho",I14="SIN-RESPALDO"),"SIN-R ","")&amp;IF(AND(E14="hecho",I14="CITA-X"),"CITA-X ","")&amp;IF(AND(E14="hecho",I14="SIN-CITA"),"SIN-C ",""))="","-",TRIM(IF(AND(E14="hecho",F14="INCORRECTA"),"INC ","")&amp;IF(AND(E14="abstencion",F14="INCORRECTA"),"ABS-E ","")&amp;IF(AND(E14="hecho",F14="FUERA_REF",H14="no_resp"),"NO-ABS ","")&amp;IF(AND(E14="hecho",I14="SIN-RESPALDO"),"SIN-R ","")&amp;IF(AND(E14="hecho",I14="CITA-X"),"CITA-X ","")&amp;IF(AND(E14="hecho",I14="SIN-CITA"),"SIN-C ","")))))</f>
        <v/>
      </c>
      <c r="N14" s="5">
        <f>IF(D14="","",IF(OR(A14="",B14="",E14="",F14=""),"falta qid, modo, tipo o vs_ref",IF(AND(B14="llm",I14&lt;&gt;""),"respaldo no aplica en modo LLM",IF(AND(E14="abstencion",I14&lt;&gt;""),"una abstención no se califica en citas",IF(AND(B14="rag",E14="hecho",I14=""),"falta respaldo","ok")))))</f>
        <v/>
      </c>
    </row>
    <row r="15">
      <c r="A15" s="6" t="n"/>
      <c r="B15" s="6" t="n"/>
      <c r="C15" s="5">
        <f>IF(A15="","",COUNTIFS($A$2:A15,A15,$B$2:B15,B15))</f>
        <v/>
      </c>
      <c r="D15" s="6" t="n"/>
      <c r="E15" s="6" t="n"/>
      <c r="F15" s="6" t="n"/>
      <c r="G15" s="6" t="n"/>
      <c r="H15" s="6" t="n"/>
      <c r="I15" s="6" t="n"/>
      <c r="J15" s="6" t="n"/>
      <c r="K15" s="6" t="n"/>
      <c r="L15" s="6" t="n"/>
      <c r="M15" s="5">
        <f>IF(D15="","",IF(OR(E15="",F15=""),"",IF(TRIM(IF(AND(E15="hecho",F15="INCORRECTA"),"INC ","")&amp;IF(AND(E15="abstencion",F15="INCORRECTA"),"ABS-E ","")&amp;IF(AND(E15="hecho",F15="FUERA_REF",H15="no_resp"),"NO-ABS ","")&amp;IF(AND(E15="hecho",I15="SIN-RESPALDO"),"SIN-R ","")&amp;IF(AND(E15="hecho",I15="CITA-X"),"CITA-X ","")&amp;IF(AND(E15="hecho",I15="SIN-CITA"),"SIN-C ",""))="","-",TRIM(IF(AND(E15="hecho",F15="INCORRECTA"),"INC ","")&amp;IF(AND(E15="abstencion",F15="INCORRECTA"),"ABS-E ","")&amp;IF(AND(E15="hecho",F15="FUERA_REF",H15="no_resp"),"NO-ABS ","")&amp;IF(AND(E15="hecho",I15="SIN-RESPALDO"),"SIN-R ","")&amp;IF(AND(E15="hecho",I15="CITA-X"),"CITA-X ","")&amp;IF(AND(E15="hecho",I15="SIN-CITA"),"SIN-C ","")))))</f>
        <v/>
      </c>
      <c r="N15" s="5">
        <f>IF(D15="","",IF(OR(A15="",B15="",E15="",F15=""),"falta qid, modo, tipo o vs_ref",IF(AND(B15="llm",I15&lt;&gt;""),"respaldo no aplica en modo LLM",IF(AND(E15="abstencion",I15&lt;&gt;""),"una abstención no se califica en citas",IF(AND(B15="rag",E15="hecho",I15=""),"falta respaldo","ok")))))</f>
        <v/>
      </c>
    </row>
    <row r="16">
      <c r="A16" s="6" t="n"/>
      <c r="B16" s="6" t="n"/>
      <c r="C16" s="5">
        <f>IF(A16="","",COUNTIFS($A$2:A16,A16,$B$2:B16,B16))</f>
        <v/>
      </c>
      <c r="D16" s="6" t="n"/>
      <c r="E16" s="6" t="n"/>
      <c r="F16" s="6" t="n"/>
      <c r="G16" s="6" t="n"/>
      <c r="H16" s="6" t="n"/>
      <c r="I16" s="6" t="n"/>
      <c r="J16" s="6" t="n"/>
      <c r="K16" s="6" t="n"/>
      <c r="L16" s="6" t="n"/>
      <c r="M16" s="5">
        <f>IF(D16="","",IF(OR(E16="",F16=""),"",IF(TRIM(IF(AND(E16="hecho",F16="INCORRECTA"),"INC ","")&amp;IF(AND(E16="abstencion",F16="INCORRECTA"),"ABS-E ","")&amp;IF(AND(E16="hecho",F16="FUERA_REF",H16="no_resp"),"NO-ABS ","")&amp;IF(AND(E16="hecho",I16="SIN-RESPALDO"),"SIN-R ","")&amp;IF(AND(E16="hecho",I16="CITA-X"),"CITA-X ","")&amp;IF(AND(E16="hecho",I16="SIN-CITA"),"SIN-C ",""))="","-",TRIM(IF(AND(E16="hecho",F16="INCORRECTA"),"INC ","")&amp;IF(AND(E16="abstencion",F16="INCORRECTA"),"ABS-E ","")&amp;IF(AND(E16="hecho",F16="FUERA_REF",H16="no_resp"),"NO-ABS ","")&amp;IF(AND(E16="hecho",I16="SIN-RESPALDO"),"SIN-R ","")&amp;IF(AND(E16="hecho",I16="CITA-X"),"CITA-X ","")&amp;IF(AND(E16="hecho",I16="SIN-CITA"),"SIN-C ","")))))</f>
        <v/>
      </c>
      <c r="N16" s="5">
        <f>IF(D16="","",IF(OR(A16="",B16="",E16="",F16=""),"falta qid, modo, tipo o vs_ref",IF(AND(B16="llm",I16&lt;&gt;""),"respaldo no aplica en modo LLM",IF(AND(E16="abstencion",I16&lt;&gt;""),"una abstención no se califica en citas",IF(AND(B16="rag",E16="hecho",I16=""),"falta respaldo","ok")))))</f>
        <v/>
      </c>
    </row>
    <row r="17">
      <c r="A17" s="6" t="n"/>
      <c r="B17" s="6" t="n"/>
      <c r="C17" s="5">
        <f>IF(A17="","",COUNTIFS($A$2:A17,A17,$B$2:B17,B17))</f>
        <v/>
      </c>
      <c r="D17" s="6" t="n"/>
      <c r="E17" s="6" t="n"/>
      <c r="F17" s="6" t="n"/>
      <c r="G17" s="6" t="n"/>
      <c r="H17" s="6" t="n"/>
      <c r="I17" s="6" t="n"/>
      <c r="J17" s="6" t="n"/>
      <c r="K17" s="6" t="n"/>
      <c r="L17" s="6" t="n"/>
      <c r="M17" s="5">
        <f>IF(D17="","",IF(OR(E17="",F17=""),"",IF(TRIM(IF(AND(E17="hecho",F17="INCORRECTA"),"INC ","")&amp;IF(AND(E17="abstencion",F17="INCORRECTA"),"ABS-E ","")&amp;IF(AND(E17="hecho",F17="FUERA_REF",H17="no_resp"),"NO-ABS ","")&amp;IF(AND(E17="hecho",I17="SIN-RESPALDO"),"SIN-R ","")&amp;IF(AND(E17="hecho",I17="CITA-X"),"CITA-X ","")&amp;IF(AND(E17="hecho",I17="SIN-CITA"),"SIN-C ",""))="","-",TRIM(IF(AND(E17="hecho",F17="INCORRECTA"),"INC ","")&amp;IF(AND(E17="abstencion",F17="INCORRECTA"),"ABS-E ","")&amp;IF(AND(E17="hecho",F17="FUERA_REF",H17="no_resp"),"NO-ABS ","")&amp;IF(AND(E17="hecho",I17="SIN-RESPALDO"),"SIN-R ","")&amp;IF(AND(E17="hecho",I17="CITA-X"),"CITA-X ","")&amp;IF(AND(E17="hecho",I17="SIN-CITA"),"SIN-C ","")))))</f>
        <v/>
      </c>
      <c r="N17" s="5">
        <f>IF(D17="","",IF(OR(A17="",B17="",E17="",F17=""),"falta qid, modo, tipo o vs_ref",IF(AND(B17="llm",I17&lt;&gt;""),"respaldo no aplica en modo LLM",IF(AND(E17="abstencion",I17&lt;&gt;""),"una abstención no se califica en citas",IF(AND(B17="rag",E17="hecho",I17=""),"falta respaldo","ok")))))</f>
        <v/>
      </c>
    </row>
    <row r="18">
      <c r="A18" s="6" t="n"/>
      <c r="B18" s="6" t="n"/>
      <c r="C18" s="5">
        <f>IF(A18="","",COUNTIFS($A$2:A18,A18,$B$2:B18,B18))</f>
        <v/>
      </c>
      <c r="D18" s="6" t="n"/>
      <c r="E18" s="6" t="n"/>
      <c r="F18" s="6" t="n"/>
      <c r="G18" s="6" t="n"/>
      <c r="H18" s="6" t="n"/>
      <c r="I18" s="6" t="n"/>
      <c r="J18" s="6" t="n"/>
      <c r="K18" s="6" t="n"/>
      <c r="L18" s="6" t="n"/>
      <c r="M18" s="5">
        <f>IF(D18="","",IF(OR(E18="",F18=""),"",IF(TRIM(IF(AND(E18="hecho",F18="INCORRECTA"),"INC ","")&amp;IF(AND(E18="abstencion",F18="INCORRECTA"),"ABS-E ","")&amp;IF(AND(E18="hecho",F18="FUERA_REF",H18="no_resp"),"NO-ABS ","")&amp;IF(AND(E18="hecho",I18="SIN-RESPALDO"),"SIN-R ","")&amp;IF(AND(E18="hecho",I18="CITA-X"),"CITA-X ","")&amp;IF(AND(E18="hecho",I18="SIN-CITA"),"SIN-C ",""))="","-",TRIM(IF(AND(E18="hecho",F18="INCORRECTA"),"INC ","")&amp;IF(AND(E18="abstencion",F18="INCORRECTA"),"ABS-E ","")&amp;IF(AND(E18="hecho",F18="FUERA_REF",H18="no_resp"),"NO-ABS ","")&amp;IF(AND(E18="hecho",I18="SIN-RESPALDO"),"SIN-R ","")&amp;IF(AND(E18="hecho",I18="CITA-X"),"CITA-X ","")&amp;IF(AND(E18="hecho",I18="SIN-CITA"),"SIN-C ","")))))</f>
        <v/>
      </c>
      <c r="N18" s="5">
        <f>IF(D18="","",IF(OR(A18="",B18="",E18="",F18=""),"falta qid, modo, tipo o vs_ref",IF(AND(B18="llm",I18&lt;&gt;""),"respaldo no aplica en modo LLM",IF(AND(E18="abstencion",I18&lt;&gt;""),"una abstención no se califica en citas",IF(AND(B18="rag",E18="hecho",I18=""),"falta respaldo","ok")))))</f>
        <v/>
      </c>
    </row>
    <row r="19">
      <c r="A19" s="6" t="n"/>
      <c r="B19" s="6" t="n"/>
      <c r="C19" s="5">
        <f>IF(A19="","",COUNTIFS($A$2:A19,A19,$B$2:B19,B19))</f>
        <v/>
      </c>
      <c r="D19" s="6" t="n"/>
      <c r="E19" s="6" t="n"/>
      <c r="F19" s="6" t="n"/>
      <c r="G19" s="6" t="n"/>
      <c r="H19" s="6" t="n"/>
      <c r="I19" s="6" t="n"/>
      <c r="J19" s="6" t="n"/>
      <c r="K19" s="6" t="n"/>
      <c r="L19" s="6" t="n"/>
      <c r="M19" s="5">
        <f>IF(D19="","",IF(OR(E19="",F19=""),"",IF(TRIM(IF(AND(E19="hecho",F19="INCORRECTA"),"INC ","")&amp;IF(AND(E19="abstencion",F19="INCORRECTA"),"ABS-E ","")&amp;IF(AND(E19="hecho",F19="FUERA_REF",H19="no_resp"),"NO-ABS ","")&amp;IF(AND(E19="hecho",I19="SIN-RESPALDO"),"SIN-R ","")&amp;IF(AND(E19="hecho",I19="CITA-X"),"CITA-X ","")&amp;IF(AND(E19="hecho",I19="SIN-CITA"),"SIN-C ",""))="","-",TRIM(IF(AND(E19="hecho",F19="INCORRECTA"),"INC ","")&amp;IF(AND(E19="abstencion",F19="INCORRECTA"),"ABS-E ","")&amp;IF(AND(E19="hecho",F19="FUERA_REF",H19="no_resp"),"NO-ABS ","")&amp;IF(AND(E19="hecho",I19="SIN-RESPALDO"),"SIN-R ","")&amp;IF(AND(E19="hecho",I19="CITA-X"),"CITA-X ","")&amp;IF(AND(E19="hecho",I19="SIN-CITA"),"SIN-C ","")))))</f>
        <v/>
      </c>
      <c r="N19" s="5">
        <f>IF(D19="","",IF(OR(A19="",B19="",E19="",F19=""),"falta qid, modo, tipo o vs_ref",IF(AND(B19="llm",I19&lt;&gt;""),"respaldo no aplica en modo LLM",IF(AND(E19="abstencion",I19&lt;&gt;""),"una abstención no se califica en citas",IF(AND(B19="rag",E19="hecho",I19=""),"falta respaldo","ok")))))</f>
        <v/>
      </c>
    </row>
    <row r="20">
      <c r="A20" s="6" t="n"/>
      <c r="B20" s="6" t="n"/>
      <c r="C20" s="5">
        <f>IF(A20="","",COUNTIFS($A$2:A20,A20,$B$2:B20,B20))</f>
        <v/>
      </c>
      <c r="D20" s="6" t="n"/>
      <c r="E20" s="6" t="n"/>
      <c r="F20" s="6" t="n"/>
      <c r="G20" s="6" t="n"/>
      <c r="H20" s="6" t="n"/>
      <c r="I20" s="6" t="n"/>
      <c r="J20" s="6" t="n"/>
      <c r="K20" s="6" t="n"/>
      <c r="L20" s="6" t="n"/>
      <c r="M20" s="5">
        <f>IF(D20="","",IF(OR(E20="",F20=""),"",IF(TRIM(IF(AND(E20="hecho",F20="INCORRECTA"),"INC ","")&amp;IF(AND(E20="abstencion",F20="INCORRECTA"),"ABS-E ","")&amp;IF(AND(E20="hecho",F20="FUERA_REF",H20="no_resp"),"NO-ABS ","")&amp;IF(AND(E20="hecho",I20="SIN-RESPALDO"),"SIN-R ","")&amp;IF(AND(E20="hecho",I20="CITA-X"),"CITA-X ","")&amp;IF(AND(E20="hecho",I20="SIN-CITA"),"SIN-C ",""))="","-",TRIM(IF(AND(E20="hecho",F20="INCORRECTA"),"INC ","")&amp;IF(AND(E20="abstencion",F20="INCORRECTA"),"ABS-E ","")&amp;IF(AND(E20="hecho",F20="FUERA_REF",H20="no_resp"),"NO-ABS ","")&amp;IF(AND(E20="hecho",I20="SIN-RESPALDO"),"SIN-R ","")&amp;IF(AND(E20="hecho",I20="CITA-X"),"CITA-X ","")&amp;IF(AND(E20="hecho",I20="SIN-CITA"),"SIN-C ","")))))</f>
        <v/>
      </c>
      <c r="N20" s="5">
        <f>IF(D20="","",IF(OR(A20="",B20="",E20="",F20=""),"falta qid, modo, tipo o vs_ref",IF(AND(B20="llm",I20&lt;&gt;""),"respaldo no aplica en modo LLM",IF(AND(E20="abstencion",I20&lt;&gt;""),"una abstención no se califica en citas",IF(AND(B20="rag",E20="hecho",I20=""),"falta respaldo","ok")))))</f>
        <v/>
      </c>
    </row>
    <row r="21">
      <c r="A21" s="6" t="n"/>
      <c r="B21" s="6" t="n"/>
      <c r="C21" s="5">
        <f>IF(A21="","",COUNTIFS($A$2:A21,A21,$B$2:B21,B21))</f>
        <v/>
      </c>
      <c r="D21" s="6" t="n"/>
      <c r="E21" s="6" t="n"/>
      <c r="F21" s="6" t="n"/>
      <c r="G21" s="6" t="n"/>
      <c r="H21" s="6" t="n"/>
      <c r="I21" s="6" t="n"/>
      <c r="J21" s="6" t="n"/>
      <c r="K21" s="6" t="n"/>
      <c r="L21" s="6" t="n"/>
      <c r="M21" s="5">
        <f>IF(D21="","",IF(OR(E21="",F21=""),"",IF(TRIM(IF(AND(E21="hecho",F21="INCORRECTA"),"INC ","")&amp;IF(AND(E21="abstencion",F21="INCORRECTA"),"ABS-E ","")&amp;IF(AND(E21="hecho",F21="FUERA_REF",H21="no_resp"),"NO-ABS ","")&amp;IF(AND(E21="hecho",I21="SIN-RESPALDO"),"SIN-R ","")&amp;IF(AND(E21="hecho",I21="CITA-X"),"CITA-X ","")&amp;IF(AND(E21="hecho",I21="SIN-CITA"),"SIN-C ",""))="","-",TRIM(IF(AND(E21="hecho",F21="INCORRECTA"),"INC ","")&amp;IF(AND(E21="abstencion",F21="INCORRECTA"),"ABS-E ","")&amp;IF(AND(E21="hecho",F21="FUERA_REF",H21="no_resp"),"NO-ABS ","")&amp;IF(AND(E21="hecho",I21="SIN-RESPALDO"),"SIN-R ","")&amp;IF(AND(E21="hecho",I21="CITA-X"),"CITA-X ","")&amp;IF(AND(E21="hecho",I21="SIN-CITA"),"SIN-C ","")))))</f>
        <v/>
      </c>
      <c r="N21" s="5">
        <f>IF(D21="","",IF(OR(A21="",B21="",E21="",F21=""),"falta qid, modo, tipo o vs_ref",IF(AND(B21="llm",I21&lt;&gt;""),"respaldo no aplica en modo LLM",IF(AND(E21="abstencion",I21&lt;&gt;""),"una abstención no se califica en citas",IF(AND(B21="rag",E21="hecho",I21=""),"falta respaldo","ok")))))</f>
        <v/>
      </c>
    </row>
    <row r="22">
      <c r="A22" s="6" t="n"/>
      <c r="B22" s="6" t="n"/>
      <c r="C22" s="5">
        <f>IF(A22="","",COUNTIFS($A$2:A22,A22,$B$2:B22,B22))</f>
        <v/>
      </c>
      <c r="D22" s="6" t="n"/>
      <c r="E22" s="6" t="n"/>
      <c r="F22" s="6" t="n"/>
      <c r="G22" s="6" t="n"/>
      <c r="H22" s="6" t="n"/>
      <c r="I22" s="6" t="n"/>
      <c r="J22" s="6" t="n"/>
      <c r="K22" s="6" t="n"/>
      <c r="L22" s="6" t="n"/>
      <c r="M22" s="5">
        <f>IF(D22="","",IF(OR(E22="",F22=""),"",IF(TRIM(IF(AND(E22="hecho",F22="INCORRECTA"),"INC ","")&amp;IF(AND(E22="abstencion",F22="INCORRECTA"),"ABS-E ","")&amp;IF(AND(E22="hecho",F22="FUERA_REF",H22="no_resp"),"NO-ABS ","")&amp;IF(AND(E22="hecho",I22="SIN-RESPALDO"),"SIN-R ","")&amp;IF(AND(E22="hecho",I22="CITA-X"),"CITA-X ","")&amp;IF(AND(E22="hecho",I22="SIN-CITA"),"SIN-C ",""))="","-",TRIM(IF(AND(E22="hecho",F22="INCORRECTA"),"INC ","")&amp;IF(AND(E22="abstencion",F22="INCORRECTA"),"ABS-E ","")&amp;IF(AND(E22="hecho",F22="FUERA_REF",H22="no_resp"),"NO-ABS ","")&amp;IF(AND(E22="hecho",I22="SIN-RESPALDO"),"SIN-R ","")&amp;IF(AND(E22="hecho",I22="CITA-X"),"CITA-X ","")&amp;IF(AND(E22="hecho",I22="SIN-CITA"),"SIN-C ","")))))</f>
        <v/>
      </c>
      <c r="N22" s="5">
        <f>IF(D22="","",IF(OR(A22="",B22="",E22="",F22=""),"falta qid, modo, tipo o vs_ref",IF(AND(B22="llm",I22&lt;&gt;""),"respaldo no aplica en modo LLM",IF(AND(E22="abstencion",I22&lt;&gt;""),"una abstención no se califica en citas",IF(AND(B22="rag",E22="hecho",I22=""),"falta respaldo","ok")))))</f>
        <v/>
      </c>
    </row>
    <row r="23">
      <c r="A23" s="6" t="n"/>
      <c r="B23" s="6" t="n"/>
      <c r="C23" s="5">
        <f>IF(A23="","",COUNTIFS($A$2:A23,A23,$B$2:B23,B23))</f>
        <v/>
      </c>
      <c r="D23" s="6" t="n"/>
      <c r="E23" s="6" t="n"/>
      <c r="F23" s="6" t="n"/>
      <c r="G23" s="6" t="n"/>
      <c r="H23" s="6" t="n"/>
      <c r="I23" s="6" t="n"/>
      <c r="J23" s="6" t="n"/>
      <c r="K23" s="6" t="n"/>
      <c r="L23" s="6" t="n"/>
      <c r="M23" s="5">
        <f>IF(D23="","",IF(OR(E23="",F23=""),"",IF(TRIM(IF(AND(E23="hecho",F23="INCORRECTA"),"INC ","")&amp;IF(AND(E23="abstencion",F23="INCORRECTA"),"ABS-E ","")&amp;IF(AND(E23="hecho",F23="FUERA_REF",H23="no_resp"),"NO-ABS ","")&amp;IF(AND(E23="hecho",I23="SIN-RESPALDO"),"SIN-R ","")&amp;IF(AND(E23="hecho",I23="CITA-X"),"CITA-X ","")&amp;IF(AND(E23="hecho",I23="SIN-CITA"),"SIN-C ",""))="","-",TRIM(IF(AND(E23="hecho",F23="INCORRECTA"),"INC ","")&amp;IF(AND(E23="abstencion",F23="INCORRECTA"),"ABS-E ","")&amp;IF(AND(E23="hecho",F23="FUERA_REF",H23="no_resp"),"NO-ABS ","")&amp;IF(AND(E23="hecho",I23="SIN-RESPALDO"),"SIN-R ","")&amp;IF(AND(E23="hecho",I23="CITA-X"),"CITA-X ","")&amp;IF(AND(E23="hecho",I23="SIN-CITA"),"SIN-C ","")))))</f>
        <v/>
      </c>
      <c r="N23" s="5">
        <f>IF(D23="","",IF(OR(A23="",B23="",E23="",F23=""),"falta qid, modo, tipo o vs_ref",IF(AND(B23="llm",I23&lt;&gt;""),"respaldo no aplica en modo LLM",IF(AND(E23="abstencion",I23&lt;&gt;""),"una abstención no se califica en citas",IF(AND(B23="rag",E23="hecho",I23=""),"falta respaldo","ok")))))</f>
        <v/>
      </c>
    </row>
    <row r="24">
      <c r="A24" s="6" t="n"/>
      <c r="B24" s="6" t="n"/>
      <c r="C24" s="5">
        <f>IF(A24="","",COUNTIFS($A$2:A24,A24,$B$2:B24,B24))</f>
        <v/>
      </c>
      <c r="D24" s="6" t="n"/>
      <c r="E24" s="6" t="n"/>
      <c r="F24" s="6" t="n"/>
      <c r="G24" s="6" t="n"/>
      <c r="H24" s="6" t="n"/>
      <c r="I24" s="6" t="n"/>
      <c r="J24" s="6" t="n"/>
      <c r="K24" s="6" t="n"/>
      <c r="L24" s="6" t="n"/>
      <c r="M24" s="5">
        <f>IF(D24="","",IF(OR(E24="",F24=""),"",IF(TRIM(IF(AND(E24="hecho",F24="INCORRECTA"),"INC ","")&amp;IF(AND(E24="abstencion",F24="INCORRECTA"),"ABS-E ","")&amp;IF(AND(E24="hecho",F24="FUERA_REF",H24="no_resp"),"NO-ABS ","")&amp;IF(AND(E24="hecho",I24="SIN-RESPALDO"),"SIN-R ","")&amp;IF(AND(E24="hecho",I24="CITA-X"),"CITA-X ","")&amp;IF(AND(E24="hecho",I24="SIN-CITA"),"SIN-C ",""))="","-",TRIM(IF(AND(E24="hecho",F24="INCORRECTA"),"INC ","")&amp;IF(AND(E24="abstencion",F24="INCORRECTA"),"ABS-E ","")&amp;IF(AND(E24="hecho",F24="FUERA_REF",H24="no_resp"),"NO-ABS ","")&amp;IF(AND(E24="hecho",I24="SIN-RESPALDO"),"SIN-R ","")&amp;IF(AND(E24="hecho",I24="CITA-X"),"CITA-X ","")&amp;IF(AND(E24="hecho",I24="SIN-CITA"),"SIN-C ","")))))</f>
        <v/>
      </c>
      <c r="N24" s="5">
        <f>IF(D24="","",IF(OR(A24="",B24="",E24="",F24=""),"falta qid, modo, tipo o vs_ref",IF(AND(B24="llm",I24&lt;&gt;""),"respaldo no aplica en modo LLM",IF(AND(E24="abstencion",I24&lt;&gt;""),"una abstención no se califica en citas",IF(AND(B24="rag",E24="hecho",I24=""),"falta respaldo","ok")))))</f>
        <v/>
      </c>
    </row>
    <row r="25">
      <c r="A25" s="6" t="n"/>
      <c r="B25" s="6" t="n"/>
      <c r="C25" s="5">
        <f>IF(A25="","",COUNTIFS($A$2:A25,A25,$B$2:B25,B25))</f>
        <v/>
      </c>
      <c r="D25" s="6" t="n"/>
      <c r="E25" s="6" t="n"/>
      <c r="F25" s="6" t="n"/>
      <c r="G25" s="6" t="n"/>
      <c r="H25" s="6" t="n"/>
      <c r="I25" s="6" t="n"/>
      <c r="J25" s="6" t="n"/>
      <c r="K25" s="6" t="n"/>
      <c r="L25" s="6" t="n"/>
      <c r="M25" s="5">
        <f>IF(D25="","",IF(OR(E25="",F25=""),"",IF(TRIM(IF(AND(E25="hecho",F25="INCORRECTA"),"INC ","")&amp;IF(AND(E25="abstencion",F25="INCORRECTA"),"ABS-E ","")&amp;IF(AND(E25="hecho",F25="FUERA_REF",H25="no_resp"),"NO-ABS ","")&amp;IF(AND(E25="hecho",I25="SIN-RESPALDO"),"SIN-R ","")&amp;IF(AND(E25="hecho",I25="CITA-X"),"CITA-X ","")&amp;IF(AND(E25="hecho",I25="SIN-CITA"),"SIN-C ",""))="","-",TRIM(IF(AND(E25="hecho",F25="INCORRECTA"),"INC ","")&amp;IF(AND(E25="abstencion",F25="INCORRECTA"),"ABS-E ","")&amp;IF(AND(E25="hecho",F25="FUERA_REF",H25="no_resp"),"NO-ABS ","")&amp;IF(AND(E25="hecho",I25="SIN-RESPALDO"),"SIN-R ","")&amp;IF(AND(E25="hecho",I25="CITA-X"),"CITA-X ","")&amp;IF(AND(E25="hecho",I25="SIN-CITA"),"SIN-C ","")))))</f>
        <v/>
      </c>
      <c r="N25" s="5">
        <f>IF(D25="","",IF(OR(A25="",B25="",E25="",F25=""),"falta qid, modo, tipo o vs_ref",IF(AND(B25="llm",I25&lt;&gt;""),"respaldo no aplica en modo LLM",IF(AND(E25="abstencion",I25&lt;&gt;""),"una abstención no se califica en citas",IF(AND(B25="rag",E25="hecho",I25=""),"falta respaldo","ok")))))</f>
        <v/>
      </c>
    </row>
    <row r="26">
      <c r="A26" s="6" t="n"/>
      <c r="B26" s="6" t="n"/>
      <c r="C26" s="5">
        <f>IF(A26="","",COUNTIFS($A$2:A26,A26,$B$2:B26,B26))</f>
        <v/>
      </c>
      <c r="D26" s="6" t="n"/>
      <c r="E26" s="6" t="n"/>
      <c r="F26" s="6" t="n"/>
      <c r="G26" s="6" t="n"/>
      <c r="H26" s="6" t="n"/>
      <c r="I26" s="6" t="n"/>
      <c r="J26" s="6" t="n"/>
      <c r="K26" s="6" t="n"/>
      <c r="L26" s="6" t="n"/>
      <c r="M26" s="5">
        <f>IF(D26="","",IF(OR(E26="",F26=""),"",IF(TRIM(IF(AND(E26="hecho",F26="INCORRECTA"),"INC ","")&amp;IF(AND(E26="abstencion",F26="INCORRECTA"),"ABS-E ","")&amp;IF(AND(E26="hecho",F26="FUERA_REF",H26="no_resp"),"NO-ABS ","")&amp;IF(AND(E26="hecho",I26="SIN-RESPALDO"),"SIN-R ","")&amp;IF(AND(E26="hecho",I26="CITA-X"),"CITA-X ","")&amp;IF(AND(E26="hecho",I26="SIN-CITA"),"SIN-C ",""))="","-",TRIM(IF(AND(E26="hecho",F26="INCORRECTA"),"INC ","")&amp;IF(AND(E26="abstencion",F26="INCORRECTA"),"ABS-E ","")&amp;IF(AND(E26="hecho",F26="FUERA_REF",H26="no_resp"),"NO-ABS ","")&amp;IF(AND(E26="hecho",I26="SIN-RESPALDO"),"SIN-R ","")&amp;IF(AND(E26="hecho",I26="CITA-X"),"CITA-X ","")&amp;IF(AND(E26="hecho",I26="SIN-CITA"),"SIN-C ","")))))</f>
        <v/>
      </c>
      <c r="N26" s="5">
        <f>IF(D26="","",IF(OR(A26="",B26="",E26="",F26=""),"falta qid, modo, tipo o vs_ref",IF(AND(B26="llm",I26&lt;&gt;""),"respaldo no aplica en modo LLM",IF(AND(E26="abstencion",I26&lt;&gt;""),"una abstención no se califica en citas",IF(AND(B26="rag",E26="hecho",I26=""),"falta respaldo","ok")))))</f>
        <v/>
      </c>
    </row>
    <row r="27">
      <c r="A27" s="6" t="n"/>
      <c r="B27" s="6" t="n"/>
      <c r="C27" s="5">
        <f>IF(A27="","",COUNTIFS($A$2:A27,A27,$B$2:B27,B27))</f>
        <v/>
      </c>
      <c r="D27" s="6" t="n"/>
      <c r="E27" s="6" t="n"/>
      <c r="F27" s="6" t="n"/>
      <c r="G27" s="6" t="n"/>
      <c r="H27" s="6" t="n"/>
      <c r="I27" s="6" t="n"/>
      <c r="J27" s="6" t="n"/>
      <c r="K27" s="6" t="n"/>
      <c r="L27" s="6" t="n"/>
      <c r="M27" s="5">
        <f>IF(D27="","",IF(OR(E27="",F27=""),"",IF(TRIM(IF(AND(E27="hecho",F27="INCORRECTA"),"INC ","")&amp;IF(AND(E27="abstencion",F27="INCORRECTA"),"ABS-E ","")&amp;IF(AND(E27="hecho",F27="FUERA_REF",H27="no_resp"),"NO-ABS ","")&amp;IF(AND(E27="hecho",I27="SIN-RESPALDO"),"SIN-R ","")&amp;IF(AND(E27="hecho",I27="CITA-X"),"CITA-X ","")&amp;IF(AND(E27="hecho",I27="SIN-CITA"),"SIN-C ",""))="","-",TRIM(IF(AND(E27="hecho",F27="INCORRECTA"),"INC ","")&amp;IF(AND(E27="abstencion",F27="INCORRECTA"),"ABS-E ","")&amp;IF(AND(E27="hecho",F27="FUERA_REF",H27="no_resp"),"NO-ABS ","")&amp;IF(AND(E27="hecho",I27="SIN-RESPALDO"),"SIN-R ","")&amp;IF(AND(E27="hecho",I27="CITA-X"),"CITA-X ","")&amp;IF(AND(E27="hecho",I27="SIN-CITA"),"SIN-C ","")))))</f>
        <v/>
      </c>
      <c r="N27" s="5">
        <f>IF(D27="","",IF(OR(A27="",B27="",E27="",F27=""),"falta qid, modo, tipo o vs_ref",IF(AND(B27="llm",I27&lt;&gt;""),"respaldo no aplica en modo LLM",IF(AND(E27="abstencion",I27&lt;&gt;""),"una abstención no se califica en citas",IF(AND(B27="rag",E27="hecho",I27=""),"falta respaldo","ok")))))</f>
        <v/>
      </c>
    </row>
    <row r="28">
      <c r="A28" s="6" t="n"/>
      <c r="B28" s="6" t="n"/>
      <c r="C28" s="5">
        <f>IF(A28="","",COUNTIFS($A$2:A28,A28,$B$2:B28,B28))</f>
        <v/>
      </c>
      <c r="D28" s="6" t="n"/>
      <c r="E28" s="6" t="n"/>
      <c r="F28" s="6" t="n"/>
      <c r="G28" s="6" t="n"/>
      <c r="H28" s="6" t="n"/>
      <c r="I28" s="6" t="n"/>
      <c r="J28" s="6" t="n"/>
      <c r="K28" s="6" t="n"/>
      <c r="L28" s="6" t="n"/>
      <c r="M28" s="5">
        <f>IF(D28="","",IF(OR(E28="",F28=""),"",IF(TRIM(IF(AND(E28="hecho",F28="INCORRECTA"),"INC ","")&amp;IF(AND(E28="abstencion",F28="INCORRECTA"),"ABS-E ","")&amp;IF(AND(E28="hecho",F28="FUERA_REF",H28="no_resp"),"NO-ABS ","")&amp;IF(AND(E28="hecho",I28="SIN-RESPALDO"),"SIN-R ","")&amp;IF(AND(E28="hecho",I28="CITA-X"),"CITA-X ","")&amp;IF(AND(E28="hecho",I28="SIN-CITA"),"SIN-C ",""))="","-",TRIM(IF(AND(E28="hecho",F28="INCORRECTA"),"INC ","")&amp;IF(AND(E28="abstencion",F28="INCORRECTA"),"ABS-E ","")&amp;IF(AND(E28="hecho",F28="FUERA_REF",H28="no_resp"),"NO-ABS ","")&amp;IF(AND(E28="hecho",I28="SIN-RESPALDO"),"SIN-R ","")&amp;IF(AND(E28="hecho",I28="CITA-X"),"CITA-X ","")&amp;IF(AND(E28="hecho",I28="SIN-CITA"),"SIN-C ","")))))</f>
        <v/>
      </c>
      <c r="N28" s="5">
        <f>IF(D28="","",IF(OR(A28="",B28="",E28="",F28=""),"falta qid, modo, tipo o vs_ref",IF(AND(B28="llm",I28&lt;&gt;""),"respaldo no aplica en modo LLM",IF(AND(E28="abstencion",I28&lt;&gt;""),"una abstención no se califica en citas",IF(AND(B28="rag",E28="hecho",I28=""),"falta respaldo","ok")))))</f>
        <v/>
      </c>
    </row>
    <row r="29">
      <c r="A29" s="6" t="n"/>
      <c r="B29" s="6" t="n"/>
      <c r="C29" s="5">
        <f>IF(A29="","",COUNTIFS($A$2:A29,A29,$B$2:B29,B29))</f>
        <v/>
      </c>
      <c r="D29" s="6" t="n"/>
      <c r="E29" s="6" t="n"/>
      <c r="F29" s="6" t="n"/>
      <c r="G29" s="6" t="n"/>
      <c r="H29" s="6" t="n"/>
      <c r="I29" s="6" t="n"/>
      <c r="J29" s="6" t="n"/>
      <c r="K29" s="6" t="n"/>
      <c r="L29" s="6" t="n"/>
      <c r="M29" s="5">
        <f>IF(D29="","",IF(OR(E29="",F29=""),"",IF(TRIM(IF(AND(E29="hecho",F29="INCORRECTA"),"INC ","")&amp;IF(AND(E29="abstencion",F29="INCORRECTA"),"ABS-E ","")&amp;IF(AND(E29="hecho",F29="FUERA_REF",H29="no_resp"),"NO-ABS ","")&amp;IF(AND(E29="hecho",I29="SIN-RESPALDO"),"SIN-R ","")&amp;IF(AND(E29="hecho",I29="CITA-X"),"CITA-X ","")&amp;IF(AND(E29="hecho",I29="SIN-CITA"),"SIN-C ",""))="","-",TRIM(IF(AND(E29="hecho",F29="INCORRECTA"),"INC ","")&amp;IF(AND(E29="abstencion",F29="INCORRECTA"),"ABS-E ","")&amp;IF(AND(E29="hecho",F29="FUERA_REF",H29="no_resp"),"NO-ABS ","")&amp;IF(AND(E29="hecho",I29="SIN-RESPALDO"),"SIN-R ","")&amp;IF(AND(E29="hecho",I29="CITA-X"),"CITA-X ","")&amp;IF(AND(E29="hecho",I29="SIN-CITA"),"SIN-C ","")))))</f>
        <v/>
      </c>
      <c r="N29" s="5">
        <f>IF(D29="","",IF(OR(A29="",B29="",E29="",F29=""),"falta qid, modo, tipo o vs_ref",IF(AND(B29="llm",I29&lt;&gt;""),"respaldo no aplica en modo LLM",IF(AND(E29="abstencion",I29&lt;&gt;""),"una abstención no se califica en citas",IF(AND(B29="rag",E29="hecho",I29=""),"falta respaldo","ok")))))</f>
        <v/>
      </c>
    </row>
    <row r="30">
      <c r="A30" s="6" t="n"/>
      <c r="B30" s="6" t="n"/>
      <c r="C30" s="5">
        <f>IF(A30="","",COUNTIFS($A$2:A30,A30,$B$2:B30,B30))</f>
        <v/>
      </c>
      <c r="D30" s="6" t="n"/>
      <c r="E30" s="6" t="n"/>
      <c r="F30" s="6" t="n"/>
      <c r="G30" s="6" t="n"/>
      <c r="H30" s="6" t="n"/>
      <c r="I30" s="6" t="n"/>
      <c r="J30" s="6" t="n"/>
      <c r="K30" s="6" t="n"/>
      <c r="L30" s="6" t="n"/>
      <c r="M30" s="5">
        <f>IF(D30="","",IF(OR(E30="",F30=""),"",IF(TRIM(IF(AND(E30="hecho",F30="INCORRECTA"),"INC ","")&amp;IF(AND(E30="abstencion",F30="INCORRECTA"),"ABS-E ","")&amp;IF(AND(E30="hecho",F30="FUERA_REF",H30="no_resp"),"NO-ABS ","")&amp;IF(AND(E30="hecho",I30="SIN-RESPALDO"),"SIN-R ","")&amp;IF(AND(E30="hecho",I30="CITA-X"),"CITA-X ","")&amp;IF(AND(E30="hecho",I30="SIN-CITA"),"SIN-C ",""))="","-",TRIM(IF(AND(E30="hecho",F30="INCORRECTA"),"INC ","")&amp;IF(AND(E30="abstencion",F30="INCORRECTA"),"ABS-E ","")&amp;IF(AND(E30="hecho",F30="FUERA_REF",H30="no_resp"),"NO-ABS ","")&amp;IF(AND(E30="hecho",I30="SIN-RESPALDO"),"SIN-R ","")&amp;IF(AND(E30="hecho",I30="CITA-X"),"CITA-X ","")&amp;IF(AND(E30="hecho",I30="SIN-CITA"),"SIN-C ","")))))</f>
        <v/>
      </c>
      <c r="N30" s="5">
        <f>IF(D30="","",IF(OR(A30="",B30="",E30="",F30=""),"falta qid, modo, tipo o vs_ref",IF(AND(B30="llm",I30&lt;&gt;""),"respaldo no aplica en modo LLM",IF(AND(E30="abstencion",I30&lt;&gt;""),"una abstención no se califica en citas",IF(AND(B30="rag",E30="hecho",I30=""),"falta respaldo","ok")))))</f>
        <v/>
      </c>
    </row>
    <row r="31">
      <c r="A31" s="6" t="n"/>
      <c r="B31" s="6" t="n"/>
      <c r="C31" s="5">
        <f>IF(A31="","",COUNTIFS($A$2:A31,A31,$B$2:B31,B31))</f>
        <v/>
      </c>
      <c r="D31" s="6" t="n"/>
      <c r="E31" s="6" t="n"/>
      <c r="F31" s="6" t="n"/>
      <c r="G31" s="6" t="n"/>
      <c r="H31" s="6" t="n"/>
      <c r="I31" s="6" t="n"/>
      <c r="J31" s="6" t="n"/>
      <c r="K31" s="6" t="n"/>
      <c r="L31" s="6" t="n"/>
      <c r="M31" s="5">
        <f>IF(D31="","",IF(OR(E31="",F31=""),"",IF(TRIM(IF(AND(E31="hecho",F31="INCORRECTA"),"INC ","")&amp;IF(AND(E31="abstencion",F31="INCORRECTA"),"ABS-E ","")&amp;IF(AND(E31="hecho",F31="FUERA_REF",H31="no_resp"),"NO-ABS ","")&amp;IF(AND(E31="hecho",I31="SIN-RESPALDO"),"SIN-R ","")&amp;IF(AND(E31="hecho",I31="CITA-X"),"CITA-X ","")&amp;IF(AND(E31="hecho",I31="SIN-CITA"),"SIN-C ",""))="","-",TRIM(IF(AND(E31="hecho",F31="INCORRECTA"),"INC ","")&amp;IF(AND(E31="abstencion",F31="INCORRECTA"),"ABS-E ","")&amp;IF(AND(E31="hecho",F31="FUERA_REF",H31="no_resp"),"NO-ABS ","")&amp;IF(AND(E31="hecho",I31="SIN-RESPALDO"),"SIN-R ","")&amp;IF(AND(E31="hecho",I31="CITA-X"),"CITA-X ","")&amp;IF(AND(E31="hecho",I31="SIN-CITA"),"SIN-C ","")))))</f>
        <v/>
      </c>
      <c r="N31" s="5">
        <f>IF(D31="","",IF(OR(A31="",B31="",E31="",F31=""),"falta qid, modo, tipo o vs_ref",IF(AND(B31="llm",I31&lt;&gt;""),"respaldo no aplica en modo LLM",IF(AND(E31="abstencion",I31&lt;&gt;""),"una abstención no se califica en citas",IF(AND(B31="rag",E31="hecho",I31=""),"falta respaldo","ok")))))</f>
        <v/>
      </c>
    </row>
    <row r="32">
      <c r="A32" s="6" t="n"/>
      <c r="B32" s="6" t="n"/>
      <c r="C32" s="5">
        <f>IF(A32="","",COUNTIFS($A$2:A32,A32,$B$2:B32,B32))</f>
        <v/>
      </c>
      <c r="D32" s="6" t="n"/>
      <c r="E32" s="6" t="n"/>
      <c r="F32" s="6" t="n"/>
      <c r="G32" s="6" t="n"/>
      <c r="H32" s="6" t="n"/>
      <c r="I32" s="6" t="n"/>
      <c r="J32" s="6" t="n"/>
      <c r="K32" s="6" t="n"/>
      <c r="L32" s="6" t="n"/>
      <c r="M32" s="5">
        <f>IF(D32="","",IF(OR(E32="",F32=""),"",IF(TRIM(IF(AND(E32="hecho",F32="INCORRECTA"),"INC ","")&amp;IF(AND(E32="abstencion",F32="INCORRECTA"),"ABS-E ","")&amp;IF(AND(E32="hecho",F32="FUERA_REF",H32="no_resp"),"NO-ABS ","")&amp;IF(AND(E32="hecho",I32="SIN-RESPALDO"),"SIN-R ","")&amp;IF(AND(E32="hecho",I32="CITA-X"),"CITA-X ","")&amp;IF(AND(E32="hecho",I32="SIN-CITA"),"SIN-C ",""))="","-",TRIM(IF(AND(E32="hecho",F32="INCORRECTA"),"INC ","")&amp;IF(AND(E32="abstencion",F32="INCORRECTA"),"ABS-E ","")&amp;IF(AND(E32="hecho",F32="FUERA_REF",H32="no_resp"),"NO-ABS ","")&amp;IF(AND(E32="hecho",I32="SIN-RESPALDO"),"SIN-R ","")&amp;IF(AND(E32="hecho",I32="CITA-X"),"CITA-X ","")&amp;IF(AND(E32="hecho",I32="SIN-CITA"),"SIN-C ","")))))</f>
        <v/>
      </c>
      <c r="N32" s="5">
        <f>IF(D32="","",IF(OR(A32="",B32="",E32="",F32=""),"falta qid, modo, tipo o vs_ref",IF(AND(B32="llm",I32&lt;&gt;""),"respaldo no aplica en modo LLM",IF(AND(E32="abstencion",I32&lt;&gt;""),"una abstención no se califica en citas",IF(AND(B32="rag",E32="hecho",I32=""),"falta respaldo","ok")))))</f>
        <v/>
      </c>
    </row>
    <row r="33">
      <c r="A33" s="6" t="n"/>
      <c r="B33" s="6" t="n"/>
      <c r="C33" s="5">
        <f>IF(A33="","",COUNTIFS($A$2:A33,A33,$B$2:B33,B33))</f>
        <v/>
      </c>
      <c r="D33" s="6" t="n"/>
      <c r="E33" s="6" t="n"/>
      <c r="F33" s="6" t="n"/>
      <c r="G33" s="6" t="n"/>
      <c r="H33" s="6" t="n"/>
      <c r="I33" s="6" t="n"/>
      <c r="J33" s="6" t="n"/>
      <c r="K33" s="6" t="n"/>
      <c r="L33" s="6" t="n"/>
      <c r="M33" s="5">
        <f>IF(D33="","",IF(OR(E33="",F33=""),"",IF(TRIM(IF(AND(E33="hecho",F33="INCORRECTA"),"INC ","")&amp;IF(AND(E33="abstencion",F33="INCORRECTA"),"ABS-E ","")&amp;IF(AND(E33="hecho",F33="FUERA_REF",H33="no_resp"),"NO-ABS ","")&amp;IF(AND(E33="hecho",I33="SIN-RESPALDO"),"SIN-R ","")&amp;IF(AND(E33="hecho",I33="CITA-X"),"CITA-X ","")&amp;IF(AND(E33="hecho",I33="SIN-CITA"),"SIN-C ",""))="","-",TRIM(IF(AND(E33="hecho",F33="INCORRECTA"),"INC ","")&amp;IF(AND(E33="abstencion",F33="INCORRECTA"),"ABS-E ","")&amp;IF(AND(E33="hecho",F33="FUERA_REF",H33="no_resp"),"NO-ABS ","")&amp;IF(AND(E33="hecho",I33="SIN-RESPALDO"),"SIN-R ","")&amp;IF(AND(E33="hecho",I33="CITA-X"),"CITA-X ","")&amp;IF(AND(E33="hecho",I33="SIN-CITA"),"SIN-C ","")))))</f>
        <v/>
      </c>
      <c r="N33" s="5">
        <f>IF(D33="","",IF(OR(A33="",B33="",E33="",F33=""),"falta qid, modo, tipo o vs_ref",IF(AND(B33="llm",I33&lt;&gt;""),"respaldo no aplica en modo LLM",IF(AND(E33="abstencion",I33&lt;&gt;""),"una abstención no se califica en citas",IF(AND(B33="rag",E33="hecho",I33=""),"falta respaldo","ok")))))</f>
        <v/>
      </c>
    </row>
    <row r="34">
      <c r="A34" s="6" t="n"/>
      <c r="B34" s="6" t="n"/>
      <c r="C34" s="5">
        <f>IF(A34="","",COUNTIFS($A$2:A34,A34,$B$2:B34,B34))</f>
        <v/>
      </c>
      <c r="D34" s="6" t="n"/>
      <c r="E34" s="6" t="n"/>
      <c r="F34" s="6" t="n"/>
      <c r="G34" s="6" t="n"/>
      <c r="H34" s="6" t="n"/>
      <c r="I34" s="6" t="n"/>
      <c r="J34" s="6" t="n"/>
      <c r="K34" s="6" t="n"/>
      <c r="L34" s="6" t="n"/>
      <c r="M34" s="5">
        <f>IF(D34="","",IF(OR(E34="",F34=""),"",IF(TRIM(IF(AND(E34="hecho",F34="INCORRECTA"),"INC ","")&amp;IF(AND(E34="abstencion",F34="INCORRECTA"),"ABS-E ","")&amp;IF(AND(E34="hecho",F34="FUERA_REF",H34="no_resp"),"NO-ABS ","")&amp;IF(AND(E34="hecho",I34="SIN-RESPALDO"),"SIN-R ","")&amp;IF(AND(E34="hecho",I34="CITA-X"),"CITA-X ","")&amp;IF(AND(E34="hecho",I34="SIN-CITA"),"SIN-C ",""))="","-",TRIM(IF(AND(E34="hecho",F34="INCORRECTA"),"INC ","")&amp;IF(AND(E34="abstencion",F34="INCORRECTA"),"ABS-E ","")&amp;IF(AND(E34="hecho",F34="FUERA_REF",H34="no_resp"),"NO-ABS ","")&amp;IF(AND(E34="hecho",I34="SIN-RESPALDO"),"SIN-R ","")&amp;IF(AND(E34="hecho",I34="CITA-X"),"CITA-X ","")&amp;IF(AND(E34="hecho",I34="SIN-CITA"),"SIN-C ","")))))</f>
        <v/>
      </c>
      <c r="N34" s="5">
        <f>IF(D34="","",IF(OR(A34="",B34="",E34="",F34=""),"falta qid, modo, tipo o vs_ref",IF(AND(B34="llm",I34&lt;&gt;""),"respaldo no aplica en modo LLM",IF(AND(E34="abstencion",I34&lt;&gt;""),"una abstención no se califica en citas",IF(AND(B34="rag",E34="hecho",I34=""),"falta respaldo","ok")))))</f>
        <v/>
      </c>
    </row>
    <row r="35">
      <c r="A35" s="6" t="n"/>
      <c r="B35" s="6" t="n"/>
      <c r="C35" s="5">
        <f>IF(A35="","",COUNTIFS($A$2:A35,A35,$B$2:B35,B35))</f>
        <v/>
      </c>
      <c r="D35" s="6" t="n"/>
      <c r="E35" s="6" t="n"/>
      <c r="F35" s="6" t="n"/>
      <c r="G35" s="6" t="n"/>
      <c r="H35" s="6" t="n"/>
      <c r="I35" s="6" t="n"/>
      <c r="J35" s="6" t="n"/>
      <c r="K35" s="6" t="n"/>
      <c r="L35" s="6" t="n"/>
      <c r="M35" s="5">
        <f>IF(D35="","",IF(OR(E35="",F35=""),"",IF(TRIM(IF(AND(E35="hecho",F35="INCORRECTA"),"INC ","")&amp;IF(AND(E35="abstencion",F35="INCORRECTA"),"ABS-E ","")&amp;IF(AND(E35="hecho",F35="FUERA_REF",H35="no_resp"),"NO-ABS ","")&amp;IF(AND(E35="hecho",I35="SIN-RESPALDO"),"SIN-R ","")&amp;IF(AND(E35="hecho",I35="CITA-X"),"CITA-X ","")&amp;IF(AND(E35="hecho",I35="SIN-CITA"),"SIN-C ",""))="","-",TRIM(IF(AND(E35="hecho",F35="INCORRECTA"),"INC ","")&amp;IF(AND(E35="abstencion",F35="INCORRECTA"),"ABS-E ","")&amp;IF(AND(E35="hecho",F35="FUERA_REF",H35="no_resp"),"NO-ABS ","")&amp;IF(AND(E35="hecho",I35="SIN-RESPALDO"),"SIN-R ","")&amp;IF(AND(E35="hecho",I35="CITA-X"),"CITA-X ","")&amp;IF(AND(E35="hecho",I35="SIN-CITA"),"SIN-C ","")))))</f>
        <v/>
      </c>
      <c r="N35" s="5">
        <f>IF(D35="","",IF(OR(A35="",B35="",E35="",F35=""),"falta qid, modo, tipo o vs_ref",IF(AND(B35="llm",I35&lt;&gt;""),"respaldo no aplica en modo LLM",IF(AND(E35="abstencion",I35&lt;&gt;""),"una abstención no se califica en citas",IF(AND(B35="rag",E35="hecho",I35=""),"falta respaldo","ok")))))</f>
        <v/>
      </c>
    </row>
    <row r="36">
      <c r="A36" s="6" t="n"/>
      <c r="B36" s="6" t="n"/>
      <c r="C36" s="5">
        <f>IF(A36="","",COUNTIFS($A$2:A36,A36,$B$2:B36,B36))</f>
        <v/>
      </c>
      <c r="D36" s="6" t="n"/>
      <c r="E36" s="6" t="n"/>
      <c r="F36" s="6" t="n"/>
      <c r="G36" s="6" t="n"/>
      <c r="H36" s="6" t="n"/>
      <c r="I36" s="6" t="n"/>
      <c r="J36" s="6" t="n"/>
      <c r="K36" s="6" t="n"/>
      <c r="L36" s="6" t="n"/>
      <c r="M36" s="5">
        <f>IF(D36="","",IF(OR(E36="",F36=""),"",IF(TRIM(IF(AND(E36="hecho",F36="INCORRECTA"),"INC ","")&amp;IF(AND(E36="abstencion",F36="INCORRECTA"),"ABS-E ","")&amp;IF(AND(E36="hecho",F36="FUERA_REF",H36="no_resp"),"NO-ABS ","")&amp;IF(AND(E36="hecho",I36="SIN-RESPALDO"),"SIN-R ","")&amp;IF(AND(E36="hecho",I36="CITA-X"),"CITA-X ","")&amp;IF(AND(E36="hecho",I36="SIN-CITA"),"SIN-C ",""))="","-",TRIM(IF(AND(E36="hecho",F36="INCORRECTA"),"INC ","")&amp;IF(AND(E36="abstencion",F36="INCORRECTA"),"ABS-E ","")&amp;IF(AND(E36="hecho",F36="FUERA_REF",H36="no_resp"),"NO-ABS ","")&amp;IF(AND(E36="hecho",I36="SIN-RESPALDO"),"SIN-R ","")&amp;IF(AND(E36="hecho",I36="CITA-X"),"CITA-X ","")&amp;IF(AND(E36="hecho",I36="SIN-CITA"),"SIN-C ","")))))</f>
        <v/>
      </c>
      <c r="N36" s="5">
        <f>IF(D36="","",IF(OR(A36="",B36="",E36="",F36=""),"falta qid, modo, tipo o vs_ref",IF(AND(B36="llm",I36&lt;&gt;""),"respaldo no aplica en modo LLM",IF(AND(E36="abstencion",I36&lt;&gt;""),"una abstención no se califica en citas",IF(AND(B36="rag",E36="hecho",I36=""),"falta respaldo","ok")))))</f>
        <v/>
      </c>
    </row>
    <row r="37">
      <c r="A37" s="6" t="n"/>
      <c r="B37" s="6" t="n"/>
      <c r="C37" s="5">
        <f>IF(A37="","",COUNTIFS($A$2:A37,A37,$B$2:B37,B37))</f>
        <v/>
      </c>
      <c r="D37" s="6" t="n"/>
      <c r="E37" s="6" t="n"/>
      <c r="F37" s="6" t="n"/>
      <c r="G37" s="6" t="n"/>
      <c r="H37" s="6" t="n"/>
      <c r="I37" s="6" t="n"/>
      <c r="J37" s="6" t="n"/>
      <c r="K37" s="6" t="n"/>
      <c r="L37" s="6" t="n"/>
      <c r="M37" s="5">
        <f>IF(D37="","",IF(OR(E37="",F37=""),"",IF(TRIM(IF(AND(E37="hecho",F37="INCORRECTA"),"INC ","")&amp;IF(AND(E37="abstencion",F37="INCORRECTA"),"ABS-E ","")&amp;IF(AND(E37="hecho",F37="FUERA_REF",H37="no_resp"),"NO-ABS ","")&amp;IF(AND(E37="hecho",I37="SIN-RESPALDO"),"SIN-R ","")&amp;IF(AND(E37="hecho",I37="CITA-X"),"CITA-X ","")&amp;IF(AND(E37="hecho",I37="SIN-CITA"),"SIN-C ",""))="","-",TRIM(IF(AND(E37="hecho",F37="INCORRECTA"),"INC ","")&amp;IF(AND(E37="abstencion",F37="INCORRECTA"),"ABS-E ","")&amp;IF(AND(E37="hecho",F37="FUERA_REF",H37="no_resp"),"NO-ABS ","")&amp;IF(AND(E37="hecho",I37="SIN-RESPALDO"),"SIN-R ","")&amp;IF(AND(E37="hecho",I37="CITA-X"),"CITA-X ","")&amp;IF(AND(E37="hecho",I37="SIN-CITA"),"SIN-C ","")))))</f>
        <v/>
      </c>
      <c r="N37" s="5">
        <f>IF(D37="","",IF(OR(A37="",B37="",E37="",F37=""),"falta qid, modo, tipo o vs_ref",IF(AND(B37="llm",I37&lt;&gt;""),"respaldo no aplica en modo LLM",IF(AND(E37="abstencion",I37&lt;&gt;""),"una abstención no se califica en citas",IF(AND(B37="rag",E37="hecho",I37=""),"falta respaldo","ok")))))</f>
        <v/>
      </c>
    </row>
    <row r="38">
      <c r="A38" s="6" t="n"/>
      <c r="B38" s="6" t="n"/>
      <c r="C38" s="5">
        <f>IF(A38="","",COUNTIFS($A$2:A38,A38,$B$2:B38,B38))</f>
        <v/>
      </c>
      <c r="D38" s="6" t="n"/>
      <c r="E38" s="6" t="n"/>
      <c r="F38" s="6" t="n"/>
      <c r="G38" s="6" t="n"/>
      <c r="H38" s="6" t="n"/>
      <c r="I38" s="6" t="n"/>
      <c r="J38" s="6" t="n"/>
      <c r="K38" s="6" t="n"/>
      <c r="L38" s="6" t="n"/>
      <c r="M38" s="5">
        <f>IF(D38="","",IF(OR(E38="",F38=""),"",IF(TRIM(IF(AND(E38="hecho",F38="INCORRECTA"),"INC ","")&amp;IF(AND(E38="abstencion",F38="INCORRECTA"),"ABS-E ","")&amp;IF(AND(E38="hecho",F38="FUERA_REF",H38="no_resp"),"NO-ABS ","")&amp;IF(AND(E38="hecho",I38="SIN-RESPALDO"),"SIN-R ","")&amp;IF(AND(E38="hecho",I38="CITA-X"),"CITA-X ","")&amp;IF(AND(E38="hecho",I38="SIN-CITA"),"SIN-C ",""))="","-",TRIM(IF(AND(E38="hecho",F38="INCORRECTA"),"INC ","")&amp;IF(AND(E38="abstencion",F38="INCORRECTA"),"ABS-E ","")&amp;IF(AND(E38="hecho",F38="FUERA_REF",H38="no_resp"),"NO-ABS ","")&amp;IF(AND(E38="hecho",I38="SIN-RESPALDO"),"SIN-R ","")&amp;IF(AND(E38="hecho",I38="CITA-X"),"CITA-X ","")&amp;IF(AND(E38="hecho",I38="SIN-CITA"),"SIN-C ","")))))</f>
        <v/>
      </c>
      <c r="N38" s="5">
        <f>IF(D38="","",IF(OR(A38="",B38="",E38="",F38=""),"falta qid, modo, tipo o vs_ref",IF(AND(B38="llm",I38&lt;&gt;""),"respaldo no aplica en modo LLM",IF(AND(E38="abstencion",I38&lt;&gt;""),"una abstención no se califica en citas",IF(AND(B38="rag",E38="hecho",I38=""),"falta respaldo","ok")))))</f>
        <v/>
      </c>
    </row>
    <row r="39">
      <c r="A39" s="6" t="n"/>
      <c r="B39" s="6" t="n"/>
      <c r="C39" s="5">
        <f>IF(A39="","",COUNTIFS($A$2:A39,A39,$B$2:B39,B39))</f>
        <v/>
      </c>
      <c r="D39" s="6" t="n"/>
      <c r="E39" s="6" t="n"/>
      <c r="F39" s="6" t="n"/>
      <c r="G39" s="6" t="n"/>
      <c r="H39" s="6" t="n"/>
      <c r="I39" s="6" t="n"/>
      <c r="J39" s="6" t="n"/>
      <c r="K39" s="6" t="n"/>
      <c r="L39" s="6" t="n"/>
      <c r="M39" s="5">
        <f>IF(D39="","",IF(OR(E39="",F39=""),"",IF(TRIM(IF(AND(E39="hecho",F39="INCORRECTA"),"INC ","")&amp;IF(AND(E39="abstencion",F39="INCORRECTA"),"ABS-E ","")&amp;IF(AND(E39="hecho",F39="FUERA_REF",H39="no_resp"),"NO-ABS ","")&amp;IF(AND(E39="hecho",I39="SIN-RESPALDO"),"SIN-R ","")&amp;IF(AND(E39="hecho",I39="CITA-X"),"CITA-X ","")&amp;IF(AND(E39="hecho",I39="SIN-CITA"),"SIN-C ",""))="","-",TRIM(IF(AND(E39="hecho",F39="INCORRECTA"),"INC ","")&amp;IF(AND(E39="abstencion",F39="INCORRECTA"),"ABS-E ","")&amp;IF(AND(E39="hecho",F39="FUERA_REF",H39="no_resp"),"NO-ABS ","")&amp;IF(AND(E39="hecho",I39="SIN-RESPALDO"),"SIN-R ","")&amp;IF(AND(E39="hecho",I39="CITA-X"),"CITA-X ","")&amp;IF(AND(E39="hecho",I39="SIN-CITA"),"SIN-C ","")))))</f>
        <v/>
      </c>
      <c r="N39" s="5">
        <f>IF(D39="","",IF(OR(A39="",B39="",E39="",F39=""),"falta qid, modo, tipo o vs_ref",IF(AND(B39="llm",I39&lt;&gt;""),"respaldo no aplica en modo LLM",IF(AND(E39="abstencion",I39&lt;&gt;""),"una abstención no se califica en citas",IF(AND(B39="rag",E39="hecho",I39=""),"falta respaldo","ok")))))</f>
        <v/>
      </c>
    </row>
    <row r="40">
      <c r="A40" s="6" t="n"/>
      <c r="B40" s="6" t="n"/>
      <c r="C40" s="5">
        <f>IF(A40="","",COUNTIFS($A$2:A40,A40,$B$2:B40,B40))</f>
        <v/>
      </c>
      <c r="D40" s="6" t="n"/>
      <c r="E40" s="6" t="n"/>
      <c r="F40" s="6" t="n"/>
      <c r="G40" s="6" t="n"/>
      <c r="H40" s="6" t="n"/>
      <c r="I40" s="6" t="n"/>
      <c r="J40" s="6" t="n"/>
      <c r="K40" s="6" t="n"/>
      <c r="L40" s="6" t="n"/>
      <c r="M40" s="5">
        <f>IF(D40="","",IF(OR(E40="",F40=""),"",IF(TRIM(IF(AND(E40="hecho",F40="INCORRECTA"),"INC ","")&amp;IF(AND(E40="abstencion",F40="INCORRECTA"),"ABS-E ","")&amp;IF(AND(E40="hecho",F40="FUERA_REF",H40="no_resp"),"NO-ABS ","")&amp;IF(AND(E40="hecho",I40="SIN-RESPALDO"),"SIN-R ","")&amp;IF(AND(E40="hecho",I40="CITA-X"),"CITA-X ","")&amp;IF(AND(E40="hecho",I40="SIN-CITA"),"SIN-C ",""))="","-",TRIM(IF(AND(E40="hecho",F40="INCORRECTA"),"INC ","")&amp;IF(AND(E40="abstencion",F40="INCORRECTA"),"ABS-E ","")&amp;IF(AND(E40="hecho",F40="FUERA_REF",H40="no_resp"),"NO-ABS ","")&amp;IF(AND(E40="hecho",I40="SIN-RESPALDO"),"SIN-R ","")&amp;IF(AND(E40="hecho",I40="CITA-X"),"CITA-X ","")&amp;IF(AND(E40="hecho",I40="SIN-CITA"),"SIN-C ","")))))</f>
        <v/>
      </c>
      <c r="N40" s="5">
        <f>IF(D40="","",IF(OR(A40="",B40="",E40="",F40=""),"falta qid, modo, tipo o vs_ref",IF(AND(B40="llm",I40&lt;&gt;""),"respaldo no aplica en modo LLM",IF(AND(E40="abstencion",I40&lt;&gt;""),"una abstención no se califica en citas",IF(AND(B40="rag",E40="hecho",I40=""),"falta respaldo","ok")))))</f>
        <v/>
      </c>
    </row>
    <row r="41">
      <c r="A41" s="6" t="n"/>
      <c r="B41" s="6" t="n"/>
      <c r="C41" s="5">
        <f>IF(A41="","",COUNTIFS($A$2:A41,A41,$B$2:B41,B41))</f>
        <v/>
      </c>
      <c r="D41" s="6" t="n"/>
      <c r="E41" s="6" t="n"/>
      <c r="F41" s="6" t="n"/>
      <c r="G41" s="6" t="n"/>
      <c r="H41" s="6" t="n"/>
      <c r="I41" s="6" t="n"/>
      <c r="J41" s="6" t="n"/>
      <c r="K41" s="6" t="n"/>
      <c r="L41" s="6" t="n"/>
      <c r="M41" s="5">
        <f>IF(D41="","",IF(OR(E41="",F41=""),"",IF(TRIM(IF(AND(E41="hecho",F41="INCORRECTA"),"INC ","")&amp;IF(AND(E41="abstencion",F41="INCORRECTA"),"ABS-E ","")&amp;IF(AND(E41="hecho",F41="FUERA_REF",H41="no_resp"),"NO-ABS ","")&amp;IF(AND(E41="hecho",I41="SIN-RESPALDO"),"SIN-R ","")&amp;IF(AND(E41="hecho",I41="CITA-X"),"CITA-X ","")&amp;IF(AND(E41="hecho",I41="SIN-CITA"),"SIN-C ",""))="","-",TRIM(IF(AND(E41="hecho",F41="INCORRECTA"),"INC ","")&amp;IF(AND(E41="abstencion",F41="INCORRECTA"),"ABS-E ","")&amp;IF(AND(E41="hecho",F41="FUERA_REF",H41="no_resp"),"NO-ABS ","")&amp;IF(AND(E41="hecho",I41="SIN-RESPALDO"),"SIN-R ","")&amp;IF(AND(E41="hecho",I41="CITA-X"),"CITA-X ","")&amp;IF(AND(E41="hecho",I41="SIN-CITA"),"SIN-C ","")))))</f>
        <v/>
      </c>
      <c r="N41" s="5">
        <f>IF(D41="","",IF(OR(A41="",B41="",E41="",F41=""),"falta qid, modo, tipo o vs_ref",IF(AND(B41="llm",I41&lt;&gt;""),"respaldo no aplica en modo LLM",IF(AND(E41="abstencion",I41&lt;&gt;""),"una abstención no se califica en citas",IF(AND(B41="rag",E41="hecho",I41=""),"falta respaldo","ok")))))</f>
        <v/>
      </c>
    </row>
    <row r="42">
      <c r="A42" s="6" t="n"/>
      <c r="B42" s="6" t="n"/>
      <c r="C42" s="5">
        <f>IF(A42="","",COUNTIFS($A$2:A42,A42,$B$2:B42,B42))</f>
        <v/>
      </c>
      <c r="D42" s="6" t="n"/>
      <c r="E42" s="6" t="n"/>
      <c r="F42" s="6" t="n"/>
      <c r="G42" s="6" t="n"/>
      <c r="H42" s="6" t="n"/>
      <c r="I42" s="6" t="n"/>
      <c r="J42" s="6" t="n"/>
      <c r="K42" s="6" t="n"/>
      <c r="L42" s="6" t="n"/>
      <c r="M42" s="5">
        <f>IF(D42="","",IF(OR(E42="",F42=""),"",IF(TRIM(IF(AND(E42="hecho",F42="INCORRECTA"),"INC ","")&amp;IF(AND(E42="abstencion",F42="INCORRECTA"),"ABS-E ","")&amp;IF(AND(E42="hecho",F42="FUERA_REF",H42="no_resp"),"NO-ABS ","")&amp;IF(AND(E42="hecho",I42="SIN-RESPALDO"),"SIN-R ","")&amp;IF(AND(E42="hecho",I42="CITA-X"),"CITA-X ","")&amp;IF(AND(E42="hecho",I42="SIN-CITA"),"SIN-C ",""))="","-",TRIM(IF(AND(E42="hecho",F42="INCORRECTA"),"INC ","")&amp;IF(AND(E42="abstencion",F42="INCORRECTA"),"ABS-E ","")&amp;IF(AND(E42="hecho",F42="FUERA_REF",H42="no_resp"),"NO-ABS ","")&amp;IF(AND(E42="hecho",I42="SIN-RESPALDO"),"SIN-R ","")&amp;IF(AND(E42="hecho",I42="CITA-X"),"CITA-X ","")&amp;IF(AND(E42="hecho",I42="SIN-CITA"),"SIN-C ","")))))</f>
        <v/>
      </c>
      <c r="N42" s="5">
        <f>IF(D42="","",IF(OR(A42="",B42="",E42="",F42=""),"falta qid, modo, tipo o vs_ref",IF(AND(B42="llm",I42&lt;&gt;""),"respaldo no aplica en modo LLM",IF(AND(E42="abstencion",I42&lt;&gt;""),"una abstención no se califica en citas",IF(AND(B42="rag",E42="hecho",I42=""),"falta respaldo","ok")))))</f>
        <v/>
      </c>
    </row>
    <row r="43">
      <c r="A43" s="6" t="n"/>
      <c r="B43" s="6" t="n"/>
      <c r="C43" s="5">
        <f>IF(A43="","",COUNTIFS($A$2:A43,A43,$B$2:B43,B43))</f>
        <v/>
      </c>
      <c r="D43" s="6" t="n"/>
      <c r="E43" s="6" t="n"/>
      <c r="F43" s="6" t="n"/>
      <c r="G43" s="6" t="n"/>
      <c r="H43" s="6" t="n"/>
      <c r="I43" s="6" t="n"/>
      <c r="J43" s="6" t="n"/>
      <c r="K43" s="6" t="n"/>
      <c r="L43" s="6" t="n"/>
      <c r="M43" s="5">
        <f>IF(D43="","",IF(OR(E43="",F43=""),"",IF(TRIM(IF(AND(E43="hecho",F43="INCORRECTA"),"INC ","")&amp;IF(AND(E43="abstencion",F43="INCORRECTA"),"ABS-E ","")&amp;IF(AND(E43="hecho",F43="FUERA_REF",H43="no_resp"),"NO-ABS ","")&amp;IF(AND(E43="hecho",I43="SIN-RESPALDO"),"SIN-R ","")&amp;IF(AND(E43="hecho",I43="CITA-X"),"CITA-X ","")&amp;IF(AND(E43="hecho",I43="SIN-CITA"),"SIN-C ",""))="","-",TRIM(IF(AND(E43="hecho",F43="INCORRECTA"),"INC ","")&amp;IF(AND(E43="abstencion",F43="INCORRECTA"),"ABS-E ","")&amp;IF(AND(E43="hecho",F43="FUERA_REF",H43="no_resp"),"NO-ABS ","")&amp;IF(AND(E43="hecho",I43="SIN-RESPALDO"),"SIN-R ","")&amp;IF(AND(E43="hecho",I43="CITA-X"),"CITA-X ","")&amp;IF(AND(E43="hecho",I43="SIN-CITA"),"SIN-C ","")))))</f>
        <v/>
      </c>
      <c r="N43" s="5">
        <f>IF(D43="","",IF(OR(A43="",B43="",E43="",F43=""),"falta qid, modo, tipo o vs_ref",IF(AND(B43="llm",I43&lt;&gt;""),"respaldo no aplica en modo LLM",IF(AND(E43="abstencion",I43&lt;&gt;""),"una abstención no se califica en citas",IF(AND(B43="rag",E43="hecho",I43=""),"falta respaldo","ok")))))</f>
        <v/>
      </c>
    </row>
    <row r="44">
      <c r="A44" s="6" t="n"/>
      <c r="B44" s="6" t="n"/>
      <c r="C44" s="5">
        <f>IF(A44="","",COUNTIFS($A$2:A44,A44,$B$2:B44,B44))</f>
        <v/>
      </c>
      <c r="D44" s="6" t="n"/>
      <c r="E44" s="6" t="n"/>
      <c r="F44" s="6" t="n"/>
      <c r="G44" s="6" t="n"/>
      <c r="H44" s="6" t="n"/>
      <c r="I44" s="6" t="n"/>
      <c r="J44" s="6" t="n"/>
      <c r="K44" s="6" t="n"/>
      <c r="L44" s="6" t="n"/>
      <c r="M44" s="5">
        <f>IF(D44="","",IF(OR(E44="",F44=""),"",IF(TRIM(IF(AND(E44="hecho",F44="INCORRECTA"),"INC ","")&amp;IF(AND(E44="abstencion",F44="INCORRECTA"),"ABS-E ","")&amp;IF(AND(E44="hecho",F44="FUERA_REF",H44="no_resp"),"NO-ABS ","")&amp;IF(AND(E44="hecho",I44="SIN-RESPALDO"),"SIN-R ","")&amp;IF(AND(E44="hecho",I44="CITA-X"),"CITA-X ","")&amp;IF(AND(E44="hecho",I44="SIN-CITA"),"SIN-C ",""))="","-",TRIM(IF(AND(E44="hecho",F44="INCORRECTA"),"INC ","")&amp;IF(AND(E44="abstencion",F44="INCORRECTA"),"ABS-E ","")&amp;IF(AND(E44="hecho",F44="FUERA_REF",H44="no_resp"),"NO-ABS ","")&amp;IF(AND(E44="hecho",I44="SIN-RESPALDO"),"SIN-R ","")&amp;IF(AND(E44="hecho",I44="CITA-X"),"CITA-X ","")&amp;IF(AND(E44="hecho",I44="SIN-CITA"),"SIN-C ","")))))</f>
        <v/>
      </c>
      <c r="N44" s="5">
        <f>IF(D44="","",IF(OR(A44="",B44="",E44="",F44=""),"falta qid, modo, tipo o vs_ref",IF(AND(B44="llm",I44&lt;&gt;""),"respaldo no aplica en modo LLM",IF(AND(E44="abstencion",I44&lt;&gt;""),"una abstención no se califica en citas",IF(AND(B44="rag",E44="hecho",I44=""),"falta respaldo","ok")))))</f>
        <v/>
      </c>
    </row>
    <row r="45">
      <c r="A45" s="6" t="n"/>
      <c r="B45" s="6" t="n"/>
      <c r="C45" s="5">
        <f>IF(A45="","",COUNTIFS($A$2:A45,A45,$B$2:B45,B45))</f>
        <v/>
      </c>
      <c r="D45" s="6" t="n"/>
      <c r="E45" s="6" t="n"/>
      <c r="F45" s="6" t="n"/>
      <c r="G45" s="6" t="n"/>
      <c r="H45" s="6" t="n"/>
      <c r="I45" s="6" t="n"/>
      <c r="J45" s="6" t="n"/>
      <c r="K45" s="6" t="n"/>
      <c r="L45" s="6" t="n"/>
      <c r="M45" s="5">
        <f>IF(D45="","",IF(OR(E45="",F45=""),"",IF(TRIM(IF(AND(E45="hecho",F45="INCORRECTA"),"INC ","")&amp;IF(AND(E45="abstencion",F45="INCORRECTA"),"ABS-E ","")&amp;IF(AND(E45="hecho",F45="FUERA_REF",H45="no_resp"),"NO-ABS ","")&amp;IF(AND(E45="hecho",I45="SIN-RESPALDO"),"SIN-R ","")&amp;IF(AND(E45="hecho",I45="CITA-X"),"CITA-X ","")&amp;IF(AND(E45="hecho",I45="SIN-CITA"),"SIN-C ",""))="","-",TRIM(IF(AND(E45="hecho",F45="INCORRECTA"),"INC ","")&amp;IF(AND(E45="abstencion",F45="INCORRECTA"),"ABS-E ","")&amp;IF(AND(E45="hecho",F45="FUERA_REF",H45="no_resp"),"NO-ABS ","")&amp;IF(AND(E45="hecho",I45="SIN-RESPALDO"),"SIN-R ","")&amp;IF(AND(E45="hecho",I45="CITA-X"),"CITA-X ","")&amp;IF(AND(E45="hecho",I45="SIN-CITA"),"SIN-C ","")))))</f>
        <v/>
      </c>
      <c r="N45" s="5">
        <f>IF(D45="","",IF(OR(A45="",B45="",E45="",F45=""),"falta qid, modo, tipo o vs_ref",IF(AND(B45="llm",I45&lt;&gt;""),"respaldo no aplica en modo LLM",IF(AND(E45="abstencion",I45&lt;&gt;""),"una abstención no se califica en citas",IF(AND(B45="rag",E45="hecho",I45=""),"falta respaldo","ok")))))</f>
        <v/>
      </c>
    </row>
    <row r="46">
      <c r="A46" s="6" t="n"/>
      <c r="B46" s="6" t="n"/>
      <c r="C46" s="5">
        <f>IF(A46="","",COUNTIFS($A$2:A46,A46,$B$2:B46,B46))</f>
        <v/>
      </c>
      <c r="D46" s="6" t="n"/>
      <c r="E46" s="6" t="n"/>
      <c r="F46" s="6" t="n"/>
      <c r="G46" s="6" t="n"/>
      <c r="H46" s="6" t="n"/>
      <c r="I46" s="6" t="n"/>
      <c r="J46" s="6" t="n"/>
      <c r="K46" s="6" t="n"/>
      <c r="L46" s="6" t="n"/>
      <c r="M46" s="5">
        <f>IF(D46="","",IF(OR(E46="",F46=""),"",IF(TRIM(IF(AND(E46="hecho",F46="INCORRECTA"),"INC ","")&amp;IF(AND(E46="abstencion",F46="INCORRECTA"),"ABS-E ","")&amp;IF(AND(E46="hecho",F46="FUERA_REF",H46="no_resp"),"NO-ABS ","")&amp;IF(AND(E46="hecho",I46="SIN-RESPALDO"),"SIN-R ","")&amp;IF(AND(E46="hecho",I46="CITA-X"),"CITA-X ","")&amp;IF(AND(E46="hecho",I46="SIN-CITA"),"SIN-C ",""))="","-",TRIM(IF(AND(E46="hecho",F46="INCORRECTA"),"INC ","")&amp;IF(AND(E46="abstencion",F46="INCORRECTA"),"ABS-E ","")&amp;IF(AND(E46="hecho",F46="FUERA_REF",H46="no_resp"),"NO-ABS ","")&amp;IF(AND(E46="hecho",I46="SIN-RESPALDO"),"SIN-R ","")&amp;IF(AND(E46="hecho",I46="CITA-X"),"CITA-X ","")&amp;IF(AND(E46="hecho",I46="SIN-CITA"),"SIN-C ","")))))</f>
        <v/>
      </c>
      <c r="N46" s="5">
        <f>IF(D46="","",IF(OR(A46="",B46="",E46="",F46=""),"falta qid, modo, tipo o vs_ref",IF(AND(B46="llm",I46&lt;&gt;""),"respaldo no aplica en modo LLM",IF(AND(E46="abstencion",I46&lt;&gt;""),"una abstención no se califica en citas",IF(AND(B46="rag",E46="hecho",I46=""),"falta respaldo","ok")))))</f>
        <v/>
      </c>
    </row>
    <row r="47">
      <c r="A47" s="6" t="n"/>
      <c r="B47" s="6" t="n"/>
      <c r="C47" s="5">
        <f>IF(A47="","",COUNTIFS($A$2:A47,A47,$B$2:B47,B47))</f>
        <v/>
      </c>
      <c r="D47" s="6" t="n"/>
      <c r="E47" s="6" t="n"/>
      <c r="F47" s="6" t="n"/>
      <c r="G47" s="6" t="n"/>
      <c r="H47" s="6" t="n"/>
      <c r="I47" s="6" t="n"/>
      <c r="J47" s="6" t="n"/>
      <c r="K47" s="6" t="n"/>
      <c r="L47" s="6" t="n"/>
      <c r="M47" s="5">
        <f>IF(D47="","",IF(OR(E47="",F47=""),"",IF(TRIM(IF(AND(E47="hecho",F47="INCORRECTA"),"INC ","")&amp;IF(AND(E47="abstencion",F47="INCORRECTA"),"ABS-E ","")&amp;IF(AND(E47="hecho",F47="FUERA_REF",H47="no_resp"),"NO-ABS ","")&amp;IF(AND(E47="hecho",I47="SIN-RESPALDO"),"SIN-R ","")&amp;IF(AND(E47="hecho",I47="CITA-X"),"CITA-X ","")&amp;IF(AND(E47="hecho",I47="SIN-CITA"),"SIN-C ",""))="","-",TRIM(IF(AND(E47="hecho",F47="INCORRECTA"),"INC ","")&amp;IF(AND(E47="abstencion",F47="INCORRECTA"),"ABS-E ","")&amp;IF(AND(E47="hecho",F47="FUERA_REF",H47="no_resp"),"NO-ABS ","")&amp;IF(AND(E47="hecho",I47="SIN-RESPALDO"),"SIN-R ","")&amp;IF(AND(E47="hecho",I47="CITA-X"),"CITA-X ","")&amp;IF(AND(E47="hecho",I47="SIN-CITA"),"SIN-C ","")))))</f>
        <v/>
      </c>
      <c r="N47" s="5">
        <f>IF(D47="","",IF(OR(A47="",B47="",E47="",F47=""),"falta qid, modo, tipo o vs_ref",IF(AND(B47="llm",I47&lt;&gt;""),"respaldo no aplica en modo LLM",IF(AND(E47="abstencion",I47&lt;&gt;""),"una abstención no se califica en citas",IF(AND(B47="rag",E47="hecho",I47=""),"falta respaldo","ok")))))</f>
        <v/>
      </c>
    </row>
    <row r="48">
      <c r="A48" s="6" t="n"/>
      <c r="B48" s="6" t="n"/>
      <c r="C48" s="5">
        <f>IF(A48="","",COUNTIFS($A$2:A48,A48,$B$2:B48,B48))</f>
        <v/>
      </c>
      <c r="D48" s="6" t="n"/>
      <c r="E48" s="6" t="n"/>
      <c r="F48" s="6" t="n"/>
      <c r="G48" s="6" t="n"/>
      <c r="H48" s="6" t="n"/>
      <c r="I48" s="6" t="n"/>
      <c r="J48" s="6" t="n"/>
      <c r="K48" s="6" t="n"/>
      <c r="L48" s="6" t="n"/>
      <c r="M48" s="5">
        <f>IF(D48="","",IF(OR(E48="",F48=""),"",IF(TRIM(IF(AND(E48="hecho",F48="INCORRECTA"),"INC ","")&amp;IF(AND(E48="abstencion",F48="INCORRECTA"),"ABS-E ","")&amp;IF(AND(E48="hecho",F48="FUERA_REF",H48="no_resp"),"NO-ABS ","")&amp;IF(AND(E48="hecho",I48="SIN-RESPALDO"),"SIN-R ","")&amp;IF(AND(E48="hecho",I48="CITA-X"),"CITA-X ","")&amp;IF(AND(E48="hecho",I48="SIN-CITA"),"SIN-C ",""))="","-",TRIM(IF(AND(E48="hecho",F48="INCORRECTA"),"INC ","")&amp;IF(AND(E48="abstencion",F48="INCORRECTA"),"ABS-E ","")&amp;IF(AND(E48="hecho",F48="FUERA_REF",H48="no_resp"),"NO-ABS ","")&amp;IF(AND(E48="hecho",I48="SIN-RESPALDO"),"SIN-R ","")&amp;IF(AND(E48="hecho",I48="CITA-X"),"CITA-X ","")&amp;IF(AND(E48="hecho",I48="SIN-CITA"),"SIN-C ","")))))</f>
        <v/>
      </c>
      <c r="N48" s="5">
        <f>IF(D48="","",IF(OR(A48="",B48="",E48="",F48=""),"falta qid, modo, tipo o vs_ref",IF(AND(B48="llm",I48&lt;&gt;""),"respaldo no aplica en modo LLM",IF(AND(E48="abstencion",I48&lt;&gt;""),"una abstención no se califica en citas",IF(AND(B48="rag",E48="hecho",I48=""),"falta respaldo","ok")))))</f>
        <v/>
      </c>
    </row>
    <row r="49">
      <c r="A49" s="6" t="n"/>
      <c r="B49" s="6" t="n"/>
      <c r="C49" s="5">
        <f>IF(A49="","",COUNTIFS($A$2:A49,A49,$B$2:B49,B49))</f>
        <v/>
      </c>
      <c r="D49" s="6" t="n"/>
      <c r="E49" s="6" t="n"/>
      <c r="F49" s="6" t="n"/>
      <c r="G49" s="6" t="n"/>
      <c r="H49" s="6" t="n"/>
      <c r="I49" s="6" t="n"/>
      <c r="J49" s="6" t="n"/>
      <c r="K49" s="6" t="n"/>
      <c r="L49" s="6" t="n"/>
      <c r="M49" s="5">
        <f>IF(D49="","",IF(OR(E49="",F49=""),"",IF(TRIM(IF(AND(E49="hecho",F49="INCORRECTA"),"INC ","")&amp;IF(AND(E49="abstencion",F49="INCORRECTA"),"ABS-E ","")&amp;IF(AND(E49="hecho",F49="FUERA_REF",H49="no_resp"),"NO-ABS ","")&amp;IF(AND(E49="hecho",I49="SIN-RESPALDO"),"SIN-R ","")&amp;IF(AND(E49="hecho",I49="CITA-X"),"CITA-X ","")&amp;IF(AND(E49="hecho",I49="SIN-CITA"),"SIN-C ",""))="","-",TRIM(IF(AND(E49="hecho",F49="INCORRECTA"),"INC ","")&amp;IF(AND(E49="abstencion",F49="INCORRECTA"),"ABS-E ","")&amp;IF(AND(E49="hecho",F49="FUERA_REF",H49="no_resp"),"NO-ABS ","")&amp;IF(AND(E49="hecho",I49="SIN-RESPALDO"),"SIN-R ","")&amp;IF(AND(E49="hecho",I49="CITA-X"),"CITA-X ","")&amp;IF(AND(E49="hecho",I49="SIN-CITA"),"SIN-C ","")))))</f>
        <v/>
      </c>
      <c r="N49" s="5">
        <f>IF(D49="","",IF(OR(A49="",B49="",E49="",F49=""),"falta qid, modo, tipo o vs_ref",IF(AND(B49="llm",I49&lt;&gt;""),"respaldo no aplica en modo LLM",IF(AND(E49="abstencion",I49&lt;&gt;""),"una abstención no se califica en citas",IF(AND(B49="rag",E49="hecho",I49=""),"falta respaldo","ok")))))</f>
        <v/>
      </c>
    </row>
    <row r="50">
      <c r="A50" s="6" t="n"/>
      <c r="B50" s="6" t="n"/>
      <c r="C50" s="5">
        <f>IF(A50="","",COUNTIFS($A$2:A50,A50,$B$2:B50,B50))</f>
        <v/>
      </c>
      <c r="D50" s="6" t="n"/>
      <c r="E50" s="6" t="n"/>
      <c r="F50" s="6" t="n"/>
      <c r="G50" s="6" t="n"/>
      <c r="H50" s="6" t="n"/>
      <c r="I50" s="6" t="n"/>
      <c r="J50" s="6" t="n"/>
      <c r="K50" s="6" t="n"/>
      <c r="L50" s="6" t="n"/>
      <c r="M50" s="5">
        <f>IF(D50="","",IF(OR(E50="",F50=""),"",IF(TRIM(IF(AND(E50="hecho",F50="INCORRECTA"),"INC ","")&amp;IF(AND(E50="abstencion",F50="INCORRECTA"),"ABS-E ","")&amp;IF(AND(E50="hecho",F50="FUERA_REF",H50="no_resp"),"NO-ABS ","")&amp;IF(AND(E50="hecho",I50="SIN-RESPALDO"),"SIN-R ","")&amp;IF(AND(E50="hecho",I50="CITA-X"),"CITA-X ","")&amp;IF(AND(E50="hecho",I50="SIN-CITA"),"SIN-C ",""))="","-",TRIM(IF(AND(E50="hecho",F50="INCORRECTA"),"INC ","")&amp;IF(AND(E50="abstencion",F50="INCORRECTA"),"ABS-E ","")&amp;IF(AND(E50="hecho",F50="FUERA_REF",H50="no_resp"),"NO-ABS ","")&amp;IF(AND(E50="hecho",I50="SIN-RESPALDO"),"SIN-R ","")&amp;IF(AND(E50="hecho",I50="CITA-X"),"CITA-X ","")&amp;IF(AND(E50="hecho",I50="SIN-CITA"),"SIN-C ","")))))</f>
        <v/>
      </c>
      <c r="N50" s="5">
        <f>IF(D50="","",IF(OR(A50="",B50="",E50="",F50=""),"falta qid, modo, tipo o vs_ref",IF(AND(B50="llm",I50&lt;&gt;""),"respaldo no aplica en modo LLM",IF(AND(E50="abstencion",I50&lt;&gt;""),"una abstención no se califica en citas",IF(AND(B50="rag",E50="hecho",I50=""),"falta respaldo","ok")))))</f>
        <v/>
      </c>
    </row>
    <row r="51">
      <c r="A51" s="6" t="n"/>
      <c r="B51" s="6" t="n"/>
      <c r="C51" s="5">
        <f>IF(A51="","",COUNTIFS($A$2:A51,A51,$B$2:B51,B51))</f>
        <v/>
      </c>
      <c r="D51" s="6" t="n"/>
      <c r="E51" s="6" t="n"/>
      <c r="F51" s="6" t="n"/>
      <c r="G51" s="6" t="n"/>
      <c r="H51" s="6" t="n"/>
      <c r="I51" s="6" t="n"/>
      <c r="J51" s="6" t="n"/>
      <c r="K51" s="6" t="n"/>
      <c r="L51" s="6" t="n"/>
      <c r="M51" s="5">
        <f>IF(D51="","",IF(OR(E51="",F51=""),"",IF(TRIM(IF(AND(E51="hecho",F51="INCORRECTA"),"INC ","")&amp;IF(AND(E51="abstencion",F51="INCORRECTA"),"ABS-E ","")&amp;IF(AND(E51="hecho",F51="FUERA_REF",H51="no_resp"),"NO-ABS ","")&amp;IF(AND(E51="hecho",I51="SIN-RESPALDO"),"SIN-R ","")&amp;IF(AND(E51="hecho",I51="CITA-X"),"CITA-X ","")&amp;IF(AND(E51="hecho",I51="SIN-CITA"),"SIN-C ",""))="","-",TRIM(IF(AND(E51="hecho",F51="INCORRECTA"),"INC ","")&amp;IF(AND(E51="abstencion",F51="INCORRECTA"),"ABS-E ","")&amp;IF(AND(E51="hecho",F51="FUERA_REF",H51="no_resp"),"NO-ABS ","")&amp;IF(AND(E51="hecho",I51="SIN-RESPALDO"),"SIN-R ","")&amp;IF(AND(E51="hecho",I51="CITA-X"),"CITA-X ","")&amp;IF(AND(E51="hecho",I51="SIN-CITA"),"SIN-C ","")))))</f>
        <v/>
      </c>
      <c r="N51" s="5">
        <f>IF(D51="","",IF(OR(A51="",B51="",E51="",F51=""),"falta qid, modo, tipo o vs_ref",IF(AND(B51="llm",I51&lt;&gt;""),"respaldo no aplica en modo LLM",IF(AND(E51="abstencion",I51&lt;&gt;""),"una abstención no se califica en citas",IF(AND(B51="rag",E51="hecho",I51=""),"falta respaldo","ok")))))</f>
        <v/>
      </c>
    </row>
    <row r="52">
      <c r="A52" s="6" t="n"/>
      <c r="B52" s="6" t="n"/>
      <c r="C52" s="5">
        <f>IF(A52="","",COUNTIFS($A$2:A52,A52,$B$2:B52,B52))</f>
        <v/>
      </c>
      <c r="D52" s="6" t="n"/>
      <c r="E52" s="6" t="n"/>
      <c r="F52" s="6" t="n"/>
      <c r="G52" s="6" t="n"/>
      <c r="H52" s="6" t="n"/>
      <c r="I52" s="6" t="n"/>
      <c r="J52" s="6" t="n"/>
      <c r="K52" s="6" t="n"/>
      <c r="L52" s="6" t="n"/>
      <c r="M52" s="5">
        <f>IF(D52="","",IF(OR(E52="",F52=""),"",IF(TRIM(IF(AND(E52="hecho",F52="INCORRECTA"),"INC ","")&amp;IF(AND(E52="abstencion",F52="INCORRECTA"),"ABS-E ","")&amp;IF(AND(E52="hecho",F52="FUERA_REF",H52="no_resp"),"NO-ABS ","")&amp;IF(AND(E52="hecho",I52="SIN-RESPALDO"),"SIN-R ","")&amp;IF(AND(E52="hecho",I52="CITA-X"),"CITA-X ","")&amp;IF(AND(E52="hecho",I52="SIN-CITA"),"SIN-C ",""))="","-",TRIM(IF(AND(E52="hecho",F52="INCORRECTA"),"INC ","")&amp;IF(AND(E52="abstencion",F52="INCORRECTA"),"ABS-E ","")&amp;IF(AND(E52="hecho",F52="FUERA_REF",H52="no_resp"),"NO-ABS ","")&amp;IF(AND(E52="hecho",I52="SIN-RESPALDO"),"SIN-R ","")&amp;IF(AND(E52="hecho",I52="CITA-X"),"CITA-X ","")&amp;IF(AND(E52="hecho",I52="SIN-CITA"),"SIN-C ","")))))</f>
        <v/>
      </c>
      <c r="N52" s="5">
        <f>IF(D52="","",IF(OR(A52="",B52="",E52="",F52=""),"falta qid, modo, tipo o vs_ref",IF(AND(B52="llm",I52&lt;&gt;""),"respaldo no aplica en modo LLM",IF(AND(E52="abstencion",I52&lt;&gt;""),"una abstención no se califica en citas",IF(AND(B52="rag",E52="hecho",I52=""),"falta respaldo","ok")))))</f>
        <v/>
      </c>
    </row>
    <row r="53">
      <c r="A53" s="6" t="n"/>
      <c r="B53" s="6" t="n"/>
      <c r="C53" s="5">
        <f>IF(A53="","",COUNTIFS($A$2:A53,A53,$B$2:B53,B53))</f>
        <v/>
      </c>
      <c r="D53" s="6" t="n"/>
      <c r="E53" s="6" t="n"/>
      <c r="F53" s="6" t="n"/>
      <c r="G53" s="6" t="n"/>
      <c r="H53" s="6" t="n"/>
      <c r="I53" s="6" t="n"/>
      <c r="J53" s="6" t="n"/>
      <c r="K53" s="6" t="n"/>
      <c r="L53" s="6" t="n"/>
      <c r="M53" s="5">
        <f>IF(D53="","",IF(OR(E53="",F53=""),"",IF(TRIM(IF(AND(E53="hecho",F53="INCORRECTA"),"INC ","")&amp;IF(AND(E53="abstencion",F53="INCORRECTA"),"ABS-E ","")&amp;IF(AND(E53="hecho",F53="FUERA_REF",H53="no_resp"),"NO-ABS ","")&amp;IF(AND(E53="hecho",I53="SIN-RESPALDO"),"SIN-R ","")&amp;IF(AND(E53="hecho",I53="CITA-X"),"CITA-X ","")&amp;IF(AND(E53="hecho",I53="SIN-CITA"),"SIN-C ",""))="","-",TRIM(IF(AND(E53="hecho",F53="INCORRECTA"),"INC ","")&amp;IF(AND(E53="abstencion",F53="INCORRECTA"),"ABS-E ","")&amp;IF(AND(E53="hecho",F53="FUERA_REF",H53="no_resp"),"NO-ABS ","")&amp;IF(AND(E53="hecho",I53="SIN-RESPALDO"),"SIN-R ","")&amp;IF(AND(E53="hecho",I53="CITA-X"),"CITA-X ","")&amp;IF(AND(E53="hecho",I53="SIN-CITA"),"SIN-C ","")))))</f>
        <v/>
      </c>
      <c r="N53" s="5">
        <f>IF(D53="","",IF(OR(A53="",B53="",E53="",F53=""),"falta qid, modo, tipo o vs_ref",IF(AND(B53="llm",I53&lt;&gt;""),"respaldo no aplica en modo LLM",IF(AND(E53="abstencion",I53&lt;&gt;""),"una abstención no se califica en citas",IF(AND(B53="rag",E53="hecho",I53=""),"falta respaldo","ok")))))</f>
        <v/>
      </c>
    </row>
    <row r="54">
      <c r="A54" s="6" t="n"/>
      <c r="B54" s="6" t="n"/>
      <c r="C54" s="5">
        <f>IF(A54="","",COUNTIFS($A$2:A54,A54,$B$2:B54,B54))</f>
        <v/>
      </c>
      <c r="D54" s="6" t="n"/>
      <c r="E54" s="6" t="n"/>
      <c r="F54" s="6" t="n"/>
      <c r="G54" s="6" t="n"/>
      <c r="H54" s="6" t="n"/>
      <c r="I54" s="6" t="n"/>
      <c r="J54" s="6" t="n"/>
      <c r="K54" s="6" t="n"/>
      <c r="L54" s="6" t="n"/>
      <c r="M54" s="5">
        <f>IF(D54="","",IF(OR(E54="",F54=""),"",IF(TRIM(IF(AND(E54="hecho",F54="INCORRECTA"),"INC ","")&amp;IF(AND(E54="abstencion",F54="INCORRECTA"),"ABS-E ","")&amp;IF(AND(E54="hecho",F54="FUERA_REF",H54="no_resp"),"NO-ABS ","")&amp;IF(AND(E54="hecho",I54="SIN-RESPALDO"),"SIN-R ","")&amp;IF(AND(E54="hecho",I54="CITA-X"),"CITA-X ","")&amp;IF(AND(E54="hecho",I54="SIN-CITA"),"SIN-C ",""))="","-",TRIM(IF(AND(E54="hecho",F54="INCORRECTA"),"INC ","")&amp;IF(AND(E54="abstencion",F54="INCORRECTA"),"ABS-E ","")&amp;IF(AND(E54="hecho",F54="FUERA_REF",H54="no_resp"),"NO-ABS ","")&amp;IF(AND(E54="hecho",I54="SIN-RESPALDO"),"SIN-R ","")&amp;IF(AND(E54="hecho",I54="CITA-X"),"CITA-X ","")&amp;IF(AND(E54="hecho",I54="SIN-CITA"),"SIN-C ","")))))</f>
        <v/>
      </c>
      <c r="N54" s="5">
        <f>IF(D54="","",IF(OR(A54="",B54="",E54="",F54=""),"falta qid, modo, tipo o vs_ref",IF(AND(B54="llm",I54&lt;&gt;""),"respaldo no aplica en modo LLM",IF(AND(E54="abstencion",I54&lt;&gt;""),"una abstención no se califica en citas",IF(AND(B54="rag",E54="hecho",I54=""),"falta respaldo","ok")))))</f>
        <v/>
      </c>
    </row>
    <row r="55">
      <c r="A55" s="6" t="n"/>
      <c r="B55" s="6" t="n"/>
      <c r="C55" s="5">
        <f>IF(A55="","",COUNTIFS($A$2:A55,A55,$B$2:B55,B55))</f>
        <v/>
      </c>
      <c r="D55" s="6" t="n"/>
      <c r="E55" s="6" t="n"/>
      <c r="F55" s="6" t="n"/>
      <c r="G55" s="6" t="n"/>
      <c r="H55" s="6" t="n"/>
      <c r="I55" s="6" t="n"/>
      <c r="J55" s="6" t="n"/>
      <c r="K55" s="6" t="n"/>
      <c r="L55" s="6" t="n"/>
      <c r="M55" s="5">
        <f>IF(D55="","",IF(OR(E55="",F55=""),"",IF(TRIM(IF(AND(E55="hecho",F55="INCORRECTA"),"INC ","")&amp;IF(AND(E55="abstencion",F55="INCORRECTA"),"ABS-E ","")&amp;IF(AND(E55="hecho",F55="FUERA_REF",H55="no_resp"),"NO-ABS ","")&amp;IF(AND(E55="hecho",I55="SIN-RESPALDO"),"SIN-R ","")&amp;IF(AND(E55="hecho",I55="CITA-X"),"CITA-X ","")&amp;IF(AND(E55="hecho",I55="SIN-CITA"),"SIN-C ",""))="","-",TRIM(IF(AND(E55="hecho",F55="INCORRECTA"),"INC ","")&amp;IF(AND(E55="abstencion",F55="INCORRECTA"),"ABS-E ","")&amp;IF(AND(E55="hecho",F55="FUERA_REF",H55="no_resp"),"NO-ABS ","")&amp;IF(AND(E55="hecho",I55="SIN-RESPALDO"),"SIN-R ","")&amp;IF(AND(E55="hecho",I55="CITA-X"),"CITA-X ","")&amp;IF(AND(E55="hecho",I55="SIN-CITA"),"SIN-C ","")))))</f>
        <v/>
      </c>
      <c r="N55" s="5">
        <f>IF(D55="","",IF(OR(A55="",B55="",E55="",F55=""),"falta qid, modo, tipo o vs_ref",IF(AND(B55="llm",I55&lt;&gt;""),"respaldo no aplica en modo LLM",IF(AND(E55="abstencion",I55&lt;&gt;""),"una abstención no se califica en citas",IF(AND(B55="rag",E55="hecho",I55=""),"falta respaldo","ok")))))</f>
        <v/>
      </c>
    </row>
    <row r="56">
      <c r="A56" s="6" t="n"/>
      <c r="B56" s="6" t="n"/>
      <c r="C56" s="5">
        <f>IF(A56="","",COUNTIFS($A$2:A56,A56,$B$2:B56,B56))</f>
        <v/>
      </c>
      <c r="D56" s="6" t="n"/>
      <c r="E56" s="6" t="n"/>
      <c r="F56" s="6" t="n"/>
      <c r="G56" s="6" t="n"/>
      <c r="H56" s="6" t="n"/>
      <c r="I56" s="6" t="n"/>
      <c r="J56" s="6" t="n"/>
      <c r="K56" s="6" t="n"/>
      <c r="L56" s="6" t="n"/>
      <c r="M56" s="5">
        <f>IF(D56="","",IF(OR(E56="",F56=""),"",IF(TRIM(IF(AND(E56="hecho",F56="INCORRECTA"),"INC ","")&amp;IF(AND(E56="abstencion",F56="INCORRECTA"),"ABS-E ","")&amp;IF(AND(E56="hecho",F56="FUERA_REF",H56="no_resp"),"NO-ABS ","")&amp;IF(AND(E56="hecho",I56="SIN-RESPALDO"),"SIN-R ","")&amp;IF(AND(E56="hecho",I56="CITA-X"),"CITA-X ","")&amp;IF(AND(E56="hecho",I56="SIN-CITA"),"SIN-C ",""))="","-",TRIM(IF(AND(E56="hecho",F56="INCORRECTA"),"INC ","")&amp;IF(AND(E56="abstencion",F56="INCORRECTA"),"ABS-E ","")&amp;IF(AND(E56="hecho",F56="FUERA_REF",H56="no_resp"),"NO-ABS ","")&amp;IF(AND(E56="hecho",I56="SIN-RESPALDO"),"SIN-R ","")&amp;IF(AND(E56="hecho",I56="CITA-X"),"CITA-X ","")&amp;IF(AND(E56="hecho",I56="SIN-CITA"),"SIN-C ","")))))</f>
        <v/>
      </c>
      <c r="N56" s="5">
        <f>IF(D56="","",IF(OR(A56="",B56="",E56="",F56=""),"falta qid, modo, tipo o vs_ref",IF(AND(B56="llm",I56&lt;&gt;""),"respaldo no aplica en modo LLM",IF(AND(E56="abstencion",I56&lt;&gt;""),"una abstención no se califica en citas",IF(AND(B56="rag",E56="hecho",I56=""),"falta respaldo","ok")))))</f>
        <v/>
      </c>
    </row>
    <row r="57">
      <c r="A57" s="6" t="n"/>
      <c r="B57" s="6" t="n"/>
      <c r="C57" s="5">
        <f>IF(A57="","",COUNTIFS($A$2:A57,A57,$B$2:B57,B57))</f>
        <v/>
      </c>
      <c r="D57" s="6" t="n"/>
      <c r="E57" s="6" t="n"/>
      <c r="F57" s="6" t="n"/>
      <c r="G57" s="6" t="n"/>
      <c r="H57" s="6" t="n"/>
      <c r="I57" s="6" t="n"/>
      <c r="J57" s="6" t="n"/>
      <c r="K57" s="6" t="n"/>
      <c r="L57" s="6" t="n"/>
      <c r="M57" s="5">
        <f>IF(D57="","",IF(OR(E57="",F57=""),"",IF(TRIM(IF(AND(E57="hecho",F57="INCORRECTA"),"INC ","")&amp;IF(AND(E57="abstencion",F57="INCORRECTA"),"ABS-E ","")&amp;IF(AND(E57="hecho",F57="FUERA_REF",H57="no_resp"),"NO-ABS ","")&amp;IF(AND(E57="hecho",I57="SIN-RESPALDO"),"SIN-R ","")&amp;IF(AND(E57="hecho",I57="CITA-X"),"CITA-X ","")&amp;IF(AND(E57="hecho",I57="SIN-CITA"),"SIN-C ",""))="","-",TRIM(IF(AND(E57="hecho",F57="INCORRECTA"),"INC ","")&amp;IF(AND(E57="abstencion",F57="INCORRECTA"),"ABS-E ","")&amp;IF(AND(E57="hecho",F57="FUERA_REF",H57="no_resp"),"NO-ABS ","")&amp;IF(AND(E57="hecho",I57="SIN-RESPALDO"),"SIN-R ","")&amp;IF(AND(E57="hecho",I57="CITA-X"),"CITA-X ","")&amp;IF(AND(E57="hecho",I57="SIN-CITA"),"SIN-C ","")))))</f>
        <v/>
      </c>
      <c r="N57" s="5">
        <f>IF(D57="","",IF(OR(A57="",B57="",E57="",F57=""),"falta qid, modo, tipo o vs_ref",IF(AND(B57="llm",I57&lt;&gt;""),"respaldo no aplica en modo LLM",IF(AND(E57="abstencion",I57&lt;&gt;""),"una abstención no se califica en citas",IF(AND(B57="rag",E57="hecho",I57=""),"falta respaldo","ok")))))</f>
        <v/>
      </c>
    </row>
    <row r="58">
      <c r="A58" s="6" t="n"/>
      <c r="B58" s="6" t="n"/>
      <c r="C58" s="5">
        <f>IF(A58="","",COUNTIFS($A$2:A58,A58,$B$2:B58,B58))</f>
        <v/>
      </c>
      <c r="D58" s="6" t="n"/>
      <c r="E58" s="6" t="n"/>
      <c r="F58" s="6" t="n"/>
      <c r="G58" s="6" t="n"/>
      <c r="H58" s="6" t="n"/>
      <c r="I58" s="6" t="n"/>
      <c r="J58" s="6" t="n"/>
      <c r="K58" s="6" t="n"/>
      <c r="L58" s="6" t="n"/>
      <c r="M58" s="5">
        <f>IF(D58="","",IF(OR(E58="",F58=""),"",IF(TRIM(IF(AND(E58="hecho",F58="INCORRECTA"),"INC ","")&amp;IF(AND(E58="abstencion",F58="INCORRECTA"),"ABS-E ","")&amp;IF(AND(E58="hecho",F58="FUERA_REF",H58="no_resp"),"NO-ABS ","")&amp;IF(AND(E58="hecho",I58="SIN-RESPALDO"),"SIN-R ","")&amp;IF(AND(E58="hecho",I58="CITA-X"),"CITA-X ","")&amp;IF(AND(E58="hecho",I58="SIN-CITA"),"SIN-C ",""))="","-",TRIM(IF(AND(E58="hecho",F58="INCORRECTA"),"INC ","")&amp;IF(AND(E58="abstencion",F58="INCORRECTA"),"ABS-E ","")&amp;IF(AND(E58="hecho",F58="FUERA_REF",H58="no_resp"),"NO-ABS ","")&amp;IF(AND(E58="hecho",I58="SIN-RESPALDO"),"SIN-R ","")&amp;IF(AND(E58="hecho",I58="CITA-X"),"CITA-X ","")&amp;IF(AND(E58="hecho",I58="SIN-CITA"),"SIN-C ","")))))</f>
        <v/>
      </c>
      <c r="N58" s="5">
        <f>IF(D58="","",IF(OR(A58="",B58="",E58="",F58=""),"falta qid, modo, tipo o vs_ref",IF(AND(B58="llm",I58&lt;&gt;""),"respaldo no aplica en modo LLM",IF(AND(E58="abstencion",I58&lt;&gt;""),"una abstención no se califica en citas",IF(AND(B58="rag",E58="hecho",I58=""),"falta respaldo","ok")))))</f>
        <v/>
      </c>
    </row>
    <row r="59">
      <c r="A59" s="6" t="n"/>
      <c r="B59" s="6" t="n"/>
      <c r="C59" s="5">
        <f>IF(A59="","",COUNTIFS($A$2:A59,A59,$B$2:B59,B59))</f>
        <v/>
      </c>
      <c r="D59" s="6" t="n"/>
      <c r="E59" s="6" t="n"/>
      <c r="F59" s="6" t="n"/>
      <c r="G59" s="6" t="n"/>
      <c r="H59" s="6" t="n"/>
      <c r="I59" s="6" t="n"/>
      <c r="J59" s="6" t="n"/>
      <c r="K59" s="6" t="n"/>
      <c r="L59" s="6" t="n"/>
      <c r="M59" s="5">
        <f>IF(D59="","",IF(OR(E59="",F59=""),"",IF(TRIM(IF(AND(E59="hecho",F59="INCORRECTA"),"INC ","")&amp;IF(AND(E59="abstencion",F59="INCORRECTA"),"ABS-E ","")&amp;IF(AND(E59="hecho",F59="FUERA_REF",H59="no_resp"),"NO-ABS ","")&amp;IF(AND(E59="hecho",I59="SIN-RESPALDO"),"SIN-R ","")&amp;IF(AND(E59="hecho",I59="CITA-X"),"CITA-X ","")&amp;IF(AND(E59="hecho",I59="SIN-CITA"),"SIN-C ",""))="","-",TRIM(IF(AND(E59="hecho",F59="INCORRECTA"),"INC ","")&amp;IF(AND(E59="abstencion",F59="INCORRECTA"),"ABS-E ","")&amp;IF(AND(E59="hecho",F59="FUERA_REF",H59="no_resp"),"NO-ABS ","")&amp;IF(AND(E59="hecho",I59="SIN-RESPALDO"),"SIN-R ","")&amp;IF(AND(E59="hecho",I59="CITA-X"),"CITA-X ","")&amp;IF(AND(E59="hecho",I59="SIN-CITA"),"SIN-C ","")))))</f>
        <v/>
      </c>
      <c r="N59" s="5">
        <f>IF(D59="","",IF(OR(A59="",B59="",E59="",F59=""),"falta qid, modo, tipo o vs_ref",IF(AND(B59="llm",I59&lt;&gt;""),"respaldo no aplica en modo LLM",IF(AND(E59="abstencion",I59&lt;&gt;""),"una abstención no se califica en citas",IF(AND(B59="rag",E59="hecho",I59=""),"falta respaldo","ok")))))</f>
        <v/>
      </c>
    </row>
    <row r="60">
      <c r="A60" s="6" t="n"/>
      <c r="B60" s="6" t="n"/>
      <c r="C60" s="5">
        <f>IF(A60="","",COUNTIFS($A$2:A60,A60,$B$2:B60,B60))</f>
        <v/>
      </c>
      <c r="D60" s="6" t="n"/>
      <c r="E60" s="6" t="n"/>
      <c r="F60" s="6" t="n"/>
      <c r="G60" s="6" t="n"/>
      <c r="H60" s="6" t="n"/>
      <c r="I60" s="6" t="n"/>
      <c r="J60" s="6" t="n"/>
      <c r="K60" s="6" t="n"/>
      <c r="L60" s="6" t="n"/>
      <c r="M60" s="5">
        <f>IF(D60="","",IF(OR(E60="",F60=""),"",IF(TRIM(IF(AND(E60="hecho",F60="INCORRECTA"),"INC ","")&amp;IF(AND(E60="abstencion",F60="INCORRECTA"),"ABS-E ","")&amp;IF(AND(E60="hecho",F60="FUERA_REF",H60="no_resp"),"NO-ABS ","")&amp;IF(AND(E60="hecho",I60="SIN-RESPALDO"),"SIN-R ","")&amp;IF(AND(E60="hecho",I60="CITA-X"),"CITA-X ","")&amp;IF(AND(E60="hecho",I60="SIN-CITA"),"SIN-C ",""))="","-",TRIM(IF(AND(E60="hecho",F60="INCORRECTA"),"INC ","")&amp;IF(AND(E60="abstencion",F60="INCORRECTA"),"ABS-E ","")&amp;IF(AND(E60="hecho",F60="FUERA_REF",H60="no_resp"),"NO-ABS ","")&amp;IF(AND(E60="hecho",I60="SIN-RESPALDO"),"SIN-R ","")&amp;IF(AND(E60="hecho",I60="CITA-X"),"CITA-X ","")&amp;IF(AND(E60="hecho",I60="SIN-CITA"),"SIN-C ","")))))</f>
        <v/>
      </c>
      <c r="N60" s="5">
        <f>IF(D60="","",IF(OR(A60="",B60="",E60="",F60=""),"falta qid, modo, tipo o vs_ref",IF(AND(B60="llm",I60&lt;&gt;""),"respaldo no aplica en modo LLM",IF(AND(E60="abstencion",I60&lt;&gt;""),"una abstención no se califica en citas",IF(AND(B60="rag",E60="hecho",I60=""),"falta respaldo","ok")))))</f>
        <v/>
      </c>
    </row>
    <row r="61">
      <c r="A61" s="6" t="n"/>
      <c r="B61" s="6" t="n"/>
      <c r="C61" s="5">
        <f>IF(A61="","",COUNTIFS($A$2:A61,A61,$B$2:B61,B61))</f>
        <v/>
      </c>
      <c r="D61" s="6" t="n"/>
      <c r="E61" s="6" t="n"/>
      <c r="F61" s="6" t="n"/>
      <c r="G61" s="6" t="n"/>
      <c r="H61" s="6" t="n"/>
      <c r="I61" s="6" t="n"/>
      <c r="J61" s="6" t="n"/>
      <c r="K61" s="6" t="n"/>
      <c r="L61" s="6" t="n"/>
      <c r="M61" s="5">
        <f>IF(D61="","",IF(OR(E61="",F61=""),"",IF(TRIM(IF(AND(E61="hecho",F61="INCORRECTA"),"INC ","")&amp;IF(AND(E61="abstencion",F61="INCORRECTA"),"ABS-E ","")&amp;IF(AND(E61="hecho",F61="FUERA_REF",H61="no_resp"),"NO-ABS ","")&amp;IF(AND(E61="hecho",I61="SIN-RESPALDO"),"SIN-R ","")&amp;IF(AND(E61="hecho",I61="CITA-X"),"CITA-X ","")&amp;IF(AND(E61="hecho",I61="SIN-CITA"),"SIN-C ",""))="","-",TRIM(IF(AND(E61="hecho",F61="INCORRECTA"),"INC ","")&amp;IF(AND(E61="abstencion",F61="INCORRECTA"),"ABS-E ","")&amp;IF(AND(E61="hecho",F61="FUERA_REF",H61="no_resp"),"NO-ABS ","")&amp;IF(AND(E61="hecho",I61="SIN-RESPALDO"),"SIN-R ","")&amp;IF(AND(E61="hecho",I61="CITA-X"),"CITA-X ","")&amp;IF(AND(E61="hecho",I61="SIN-CITA"),"SIN-C ","")))))</f>
        <v/>
      </c>
      <c r="N61" s="5">
        <f>IF(D61="","",IF(OR(A61="",B61="",E61="",F61=""),"falta qid, modo, tipo o vs_ref",IF(AND(B61="llm",I61&lt;&gt;""),"respaldo no aplica en modo LLM",IF(AND(E61="abstencion",I61&lt;&gt;""),"una abstención no se califica en citas",IF(AND(B61="rag",E61="hecho",I61=""),"falta respaldo","ok")))))</f>
        <v/>
      </c>
    </row>
    <row r="62">
      <c r="A62" s="6" t="n"/>
      <c r="B62" s="6" t="n"/>
      <c r="C62" s="5">
        <f>IF(A62="","",COUNTIFS($A$2:A62,A62,$B$2:B62,B62))</f>
        <v/>
      </c>
      <c r="D62" s="6" t="n"/>
      <c r="E62" s="6" t="n"/>
      <c r="F62" s="6" t="n"/>
      <c r="G62" s="6" t="n"/>
      <c r="H62" s="6" t="n"/>
      <c r="I62" s="6" t="n"/>
      <c r="J62" s="6" t="n"/>
      <c r="K62" s="6" t="n"/>
      <c r="L62" s="6" t="n"/>
      <c r="M62" s="5">
        <f>IF(D62="","",IF(OR(E62="",F62=""),"",IF(TRIM(IF(AND(E62="hecho",F62="INCORRECTA"),"INC ","")&amp;IF(AND(E62="abstencion",F62="INCORRECTA"),"ABS-E ","")&amp;IF(AND(E62="hecho",F62="FUERA_REF",H62="no_resp"),"NO-ABS ","")&amp;IF(AND(E62="hecho",I62="SIN-RESPALDO"),"SIN-R ","")&amp;IF(AND(E62="hecho",I62="CITA-X"),"CITA-X ","")&amp;IF(AND(E62="hecho",I62="SIN-CITA"),"SIN-C ",""))="","-",TRIM(IF(AND(E62="hecho",F62="INCORRECTA"),"INC ","")&amp;IF(AND(E62="abstencion",F62="INCORRECTA"),"ABS-E ","")&amp;IF(AND(E62="hecho",F62="FUERA_REF",H62="no_resp"),"NO-ABS ","")&amp;IF(AND(E62="hecho",I62="SIN-RESPALDO"),"SIN-R ","")&amp;IF(AND(E62="hecho",I62="CITA-X"),"CITA-X ","")&amp;IF(AND(E62="hecho",I62="SIN-CITA"),"SIN-C ","")))))</f>
        <v/>
      </c>
      <c r="N62" s="5">
        <f>IF(D62="","",IF(OR(A62="",B62="",E62="",F62=""),"falta qid, modo, tipo o vs_ref",IF(AND(B62="llm",I62&lt;&gt;""),"respaldo no aplica en modo LLM",IF(AND(E62="abstencion",I62&lt;&gt;""),"una abstención no se califica en citas",IF(AND(B62="rag",E62="hecho",I62=""),"falta respaldo","ok")))))</f>
        <v/>
      </c>
    </row>
    <row r="63">
      <c r="A63" s="6" t="n"/>
      <c r="B63" s="6" t="n"/>
      <c r="C63" s="5">
        <f>IF(A63="","",COUNTIFS($A$2:A63,A63,$B$2:B63,B63))</f>
        <v/>
      </c>
      <c r="D63" s="6" t="n"/>
      <c r="E63" s="6" t="n"/>
      <c r="F63" s="6" t="n"/>
      <c r="G63" s="6" t="n"/>
      <c r="H63" s="6" t="n"/>
      <c r="I63" s="6" t="n"/>
      <c r="J63" s="6" t="n"/>
      <c r="K63" s="6" t="n"/>
      <c r="L63" s="6" t="n"/>
      <c r="M63" s="5">
        <f>IF(D63="","",IF(OR(E63="",F63=""),"",IF(TRIM(IF(AND(E63="hecho",F63="INCORRECTA"),"INC ","")&amp;IF(AND(E63="abstencion",F63="INCORRECTA"),"ABS-E ","")&amp;IF(AND(E63="hecho",F63="FUERA_REF",H63="no_resp"),"NO-ABS ","")&amp;IF(AND(E63="hecho",I63="SIN-RESPALDO"),"SIN-R ","")&amp;IF(AND(E63="hecho",I63="CITA-X"),"CITA-X ","")&amp;IF(AND(E63="hecho",I63="SIN-CITA"),"SIN-C ",""))="","-",TRIM(IF(AND(E63="hecho",F63="INCORRECTA"),"INC ","")&amp;IF(AND(E63="abstencion",F63="INCORRECTA"),"ABS-E ","")&amp;IF(AND(E63="hecho",F63="FUERA_REF",H63="no_resp"),"NO-ABS ","")&amp;IF(AND(E63="hecho",I63="SIN-RESPALDO"),"SIN-R ","")&amp;IF(AND(E63="hecho",I63="CITA-X"),"CITA-X ","")&amp;IF(AND(E63="hecho",I63="SIN-CITA"),"SIN-C ","")))))</f>
        <v/>
      </c>
      <c r="N63" s="5">
        <f>IF(D63="","",IF(OR(A63="",B63="",E63="",F63=""),"falta qid, modo, tipo o vs_ref",IF(AND(B63="llm",I63&lt;&gt;""),"respaldo no aplica en modo LLM",IF(AND(E63="abstencion",I63&lt;&gt;""),"una abstención no se califica en citas",IF(AND(B63="rag",E63="hecho",I63=""),"falta respaldo","ok")))))</f>
        <v/>
      </c>
    </row>
    <row r="64">
      <c r="A64" s="6" t="n"/>
      <c r="B64" s="6" t="n"/>
      <c r="C64" s="5">
        <f>IF(A64="","",COUNTIFS($A$2:A64,A64,$B$2:B64,B64))</f>
        <v/>
      </c>
      <c r="D64" s="6" t="n"/>
      <c r="E64" s="6" t="n"/>
      <c r="F64" s="6" t="n"/>
      <c r="G64" s="6" t="n"/>
      <c r="H64" s="6" t="n"/>
      <c r="I64" s="6" t="n"/>
      <c r="J64" s="6" t="n"/>
      <c r="K64" s="6" t="n"/>
      <c r="L64" s="6" t="n"/>
      <c r="M64" s="5">
        <f>IF(D64="","",IF(OR(E64="",F64=""),"",IF(TRIM(IF(AND(E64="hecho",F64="INCORRECTA"),"INC ","")&amp;IF(AND(E64="abstencion",F64="INCORRECTA"),"ABS-E ","")&amp;IF(AND(E64="hecho",F64="FUERA_REF",H64="no_resp"),"NO-ABS ","")&amp;IF(AND(E64="hecho",I64="SIN-RESPALDO"),"SIN-R ","")&amp;IF(AND(E64="hecho",I64="CITA-X"),"CITA-X ","")&amp;IF(AND(E64="hecho",I64="SIN-CITA"),"SIN-C ",""))="","-",TRIM(IF(AND(E64="hecho",F64="INCORRECTA"),"INC ","")&amp;IF(AND(E64="abstencion",F64="INCORRECTA"),"ABS-E ","")&amp;IF(AND(E64="hecho",F64="FUERA_REF",H64="no_resp"),"NO-ABS ","")&amp;IF(AND(E64="hecho",I64="SIN-RESPALDO"),"SIN-R ","")&amp;IF(AND(E64="hecho",I64="CITA-X"),"CITA-X ","")&amp;IF(AND(E64="hecho",I64="SIN-CITA"),"SIN-C ","")))))</f>
        <v/>
      </c>
      <c r="N64" s="5">
        <f>IF(D64="","",IF(OR(A64="",B64="",E64="",F64=""),"falta qid, modo, tipo o vs_ref",IF(AND(B64="llm",I64&lt;&gt;""),"respaldo no aplica en modo LLM",IF(AND(E64="abstencion",I64&lt;&gt;""),"una abstención no se califica en citas",IF(AND(B64="rag",E64="hecho",I64=""),"falta respaldo","ok")))))</f>
        <v/>
      </c>
    </row>
    <row r="65">
      <c r="A65" s="6" t="n"/>
      <c r="B65" s="6" t="n"/>
      <c r="C65" s="5">
        <f>IF(A65="","",COUNTIFS($A$2:A65,A65,$B$2:B65,B65))</f>
        <v/>
      </c>
      <c r="D65" s="6" t="n"/>
      <c r="E65" s="6" t="n"/>
      <c r="F65" s="6" t="n"/>
      <c r="G65" s="6" t="n"/>
      <c r="H65" s="6" t="n"/>
      <c r="I65" s="6" t="n"/>
      <c r="J65" s="6" t="n"/>
      <c r="K65" s="6" t="n"/>
      <c r="L65" s="6" t="n"/>
      <c r="M65" s="5">
        <f>IF(D65="","",IF(OR(E65="",F65=""),"",IF(TRIM(IF(AND(E65="hecho",F65="INCORRECTA"),"INC ","")&amp;IF(AND(E65="abstencion",F65="INCORRECTA"),"ABS-E ","")&amp;IF(AND(E65="hecho",F65="FUERA_REF",H65="no_resp"),"NO-ABS ","")&amp;IF(AND(E65="hecho",I65="SIN-RESPALDO"),"SIN-R ","")&amp;IF(AND(E65="hecho",I65="CITA-X"),"CITA-X ","")&amp;IF(AND(E65="hecho",I65="SIN-CITA"),"SIN-C ",""))="","-",TRIM(IF(AND(E65="hecho",F65="INCORRECTA"),"INC ","")&amp;IF(AND(E65="abstencion",F65="INCORRECTA"),"ABS-E ","")&amp;IF(AND(E65="hecho",F65="FUERA_REF",H65="no_resp"),"NO-ABS ","")&amp;IF(AND(E65="hecho",I65="SIN-RESPALDO"),"SIN-R ","")&amp;IF(AND(E65="hecho",I65="CITA-X"),"CITA-X ","")&amp;IF(AND(E65="hecho",I65="SIN-CITA"),"SIN-C ","")))))</f>
        <v/>
      </c>
      <c r="N65" s="5">
        <f>IF(D65="","",IF(OR(A65="",B65="",E65="",F65=""),"falta qid, modo, tipo o vs_ref",IF(AND(B65="llm",I65&lt;&gt;""),"respaldo no aplica en modo LLM",IF(AND(E65="abstencion",I65&lt;&gt;""),"una abstención no se califica en citas",IF(AND(B65="rag",E65="hecho",I65=""),"falta respaldo","ok")))))</f>
        <v/>
      </c>
    </row>
    <row r="66">
      <c r="A66" s="6" t="n"/>
      <c r="B66" s="6" t="n"/>
      <c r="C66" s="5">
        <f>IF(A66="","",COUNTIFS($A$2:A66,A66,$B$2:B66,B66))</f>
        <v/>
      </c>
      <c r="D66" s="6" t="n"/>
      <c r="E66" s="6" t="n"/>
      <c r="F66" s="6" t="n"/>
      <c r="G66" s="6" t="n"/>
      <c r="H66" s="6" t="n"/>
      <c r="I66" s="6" t="n"/>
      <c r="J66" s="6" t="n"/>
      <c r="K66" s="6" t="n"/>
      <c r="L66" s="6" t="n"/>
      <c r="M66" s="5">
        <f>IF(D66="","",IF(OR(E66="",F66=""),"",IF(TRIM(IF(AND(E66="hecho",F66="INCORRECTA"),"INC ","")&amp;IF(AND(E66="abstencion",F66="INCORRECTA"),"ABS-E ","")&amp;IF(AND(E66="hecho",F66="FUERA_REF",H66="no_resp"),"NO-ABS ","")&amp;IF(AND(E66="hecho",I66="SIN-RESPALDO"),"SIN-R ","")&amp;IF(AND(E66="hecho",I66="CITA-X"),"CITA-X ","")&amp;IF(AND(E66="hecho",I66="SIN-CITA"),"SIN-C ",""))="","-",TRIM(IF(AND(E66="hecho",F66="INCORRECTA"),"INC ","")&amp;IF(AND(E66="abstencion",F66="INCORRECTA"),"ABS-E ","")&amp;IF(AND(E66="hecho",F66="FUERA_REF",H66="no_resp"),"NO-ABS ","")&amp;IF(AND(E66="hecho",I66="SIN-RESPALDO"),"SIN-R ","")&amp;IF(AND(E66="hecho",I66="CITA-X"),"CITA-X ","")&amp;IF(AND(E66="hecho",I66="SIN-CITA"),"SIN-C ","")))))</f>
        <v/>
      </c>
      <c r="N66" s="5">
        <f>IF(D66="","",IF(OR(A66="",B66="",E66="",F66=""),"falta qid, modo, tipo o vs_ref",IF(AND(B66="llm",I66&lt;&gt;""),"respaldo no aplica en modo LLM",IF(AND(E66="abstencion",I66&lt;&gt;""),"una abstención no se califica en citas",IF(AND(B66="rag",E66="hecho",I66=""),"falta respaldo","ok")))))</f>
        <v/>
      </c>
    </row>
    <row r="67">
      <c r="A67" s="6" t="n"/>
      <c r="B67" s="6" t="n"/>
      <c r="C67" s="5">
        <f>IF(A67="","",COUNTIFS($A$2:A67,A67,$B$2:B67,B67))</f>
        <v/>
      </c>
      <c r="D67" s="6" t="n"/>
      <c r="E67" s="6" t="n"/>
      <c r="F67" s="6" t="n"/>
      <c r="G67" s="6" t="n"/>
      <c r="H67" s="6" t="n"/>
      <c r="I67" s="6" t="n"/>
      <c r="J67" s="6" t="n"/>
      <c r="K67" s="6" t="n"/>
      <c r="L67" s="6" t="n"/>
      <c r="M67" s="5">
        <f>IF(D67="","",IF(OR(E67="",F67=""),"",IF(TRIM(IF(AND(E67="hecho",F67="INCORRECTA"),"INC ","")&amp;IF(AND(E67="abstencion",F67="INCORRECTA"),"ABS-E ","")&amp;IF(AND(E67="hecho",F67="FUERA_REF",H67="no_resp"),"NO-ABS ","")&amp;IF(AND(E67="hecho",I67="SIN-RESPALDO"),"SIN-R ","")&amp;IF(AND(E67="hecho",I67="CITA-X"),"CITA-X ","")&amp;IF(AND(E67="hecho",I67="SIN-CITA"),"SIN-C ",""))="","-",TRIM(IF(AND(E67="hecho",F67="INCORRECTA"),"INC ","")&amp;IF(AND(E67="abstencion",F67="INCORRECTA"),"ABS-E ","")&amp;IF(AND(E67="hecho",F67="FUERA_REF",H67="no_resp"),"NO-ABS ","")&amp;IF(AND(E67="hecho",I67="SIN-RESPALDO"),"SIN-R ","")&amp;IF(AND(E67="hecho",I67="CITA-X"),"CITA-X ","")&amp;IF(AND(E67="hecho",I67="SIN-CITA"),"SIN-C ","")))))</f>
        <v/>
      </c>
      <c r="N67" s="5">
        <f>IF(D67="","",IF(OR(A67="",B67="",E67="",F67=""),"falta qid, modo, tipo o vs_ref",IF(AND(B67="llm",I67&lt;&gt;""),"respaldo no aplica en modo LLM",IF(AND(E67="abstencion",I67&lt;&gt;""),"una abstención no se califica en citas",IF(AND(B67="rag",E67="hecho",I67=""),"falta respaldo","ok")))))</f>
        <v/>
      </c>
    </row>
    <row r="68">
      <c r="A68" s="6" t="n"/>
      <c r="B68" s="6" t="n"/>
      <c r="C68" s="5">
        <f>IF(A68="","",COUNTIFS($A$2:A68,A68,$B$2:B68,B68))</f>
        <v/>
      </c>
      <c r="D68" s="6" t="n"/>
      <c r="E68" s="6" t="n"/>
      <c r="F68" s="6" t="n"/>
      <c r="G68" s="6" t="n"/>
      <c r="H68" s="6" t="n"/>
      <c r="I68" s="6" t="n"/>
      <c r="J68" s="6" t="n"/>
      <c r="K68" s="6" t="n"/>
      <c r="L68" s="6" t="n"/>
      <c r="M68" s="5">
        <f>IF(D68="","",IF(OR(E68="",F68=""),"",IF(TRIM(IF(AND(E68="hecho",F68="INCORRECTA"),"INC ","")&amp;IF(AND(E68="abstencion",F68="INCORRECTA"),"ABS-E ","")&amp;IF(AND(E68="hecho",F68="FUERA_REF",H68="no_resp"),"NO-ABS ","")&amp;IF(AND(E68="hecho",I68="SIN-RESPALDO"),"SIN-R ","")&amp;IF(AND(E68="hecho",I68="CITA-X"),"CITA-X ","")&amp;IF(AND(E68="hecho",I68="SIN-CITA"),"SIN-C ",""))="","-",TRIM(IF(AND(E68="hecho",F68="INCORRECTA"),"INC ","")&amp;IF(AND(E68="abstencion",F68="INCORRECTA"),"ABS-E ","")&amp;IF(AND(E68="hecho",F68="FUERA_REF",H68="no_resp"),"NO-ABS ","")&amp;IF(AND(E68="hecho",I68="SIN-RESPALDO"),"SIN-R ","")&amp;IF(AND(E68="hecho",I68="CITA-X"),"CITA-X ","")&amp;IF(AND(E68="hecho",I68="SIN-CITA"),"SIN-C ","")))))</f>
        <v/>
      </c>
      <c r="N68" s="5">
        <f>IF(D68="","",IF(OR(A68="",B68="",E68="",F68=""),"falta qid, modo, tipo o vs_ref",IF(AND(B68="llm",I68&lt;&gt;""),"respaldo no aplica en modo LLM",IF(AND(E68="abstencion",I68&lt;&gt;""),"una abstención no se califica en citas",IF(AND(B68="rag",E68="hecho",I68=""),"falta respaldo","ok")))))</f>
        <v/>
      </c>
    </row>
    <row r="69">
      <c r="A69" s="6" t="n"/>
      <c r="B69" s="6" t="n"/>
      <c r="C69" s="5">
        <f>IF(A69="","",COUNTIFS($A$2:A69,A69,$B$2:B69,B69))</f>
        <v/>
      </c>
      <c r="D69" s="6" t="n"/>
      <c r="E69" s="6" t="n"/>
      <c r="F69" s="6" t="n"/>
      <c r="G69" s="6" t="n"/>
      <c r="H69" s="6" t="n"/>
      <c r="I69" s="6" t="n"/>
      <c r="J69" s="6" t="n"/>
      <c r="K69" s="6" t="n"/>
      <c r="L69" s="6" t="n"/>
      <c r="M69" s="5">
        <f>IF(D69="","",IF(OR(E69="",F69=""),"",IF(TRIM(IF(AND(E69="hecho",F69="INCORRECTA"),"INC ","")&amp;IF(AND(E69="abstencion",F69="INCORRECTA"),"ABS-E ","")&amp;IF(AND(E69="hecho",F69="FUERA_REF",H69="no_resp"),"NO-ABS ","")&amp;IF(AND(E69="hecho",I69="SIN-RESPALDO"),"SIN-R ","")&amp;IF(AND(E69="hecho",I69="CITA-X"),"CITA-X ","")&amp;IF(AND(E69="hecho",I69="SIN-CITA"),"SIN-C ",""))="","-",TRIM(IF(AND(E69="hecho",F69="INCORRECTA"),"INC ","")&amp;IF(AND(E69="abstencion",F69="INCORRECTA"),"ABS-E ","")&amp;IF(AND(E69="hecho",F69="FUERA_REF",H69="no_resp"),"NO-ABS ","")&amp;IF(AND(E69="hecho",I69="SIN-RESPALDO"),"SIN-R ","")&amp;IF(AND(E69="hecho",I69="CITA-X"),"CITA-X ","")&amp;IF(AND(E69="hecho",I69="SIN-CITA"),"SIN-C ","")))))</f>
        <v/>
      </c>
      <c r="N69" s="5">
        <f>IF(D69="","",IF(OR(A69="",B69="",E69="",F69=""),"falta qid, modo, tipo o vs_ref",IF(AND(B69="llm",I69&lt;&gt;""),"respaldo no aplica en modo LLM",IF(AND(E69="abstencion",I69&lt;&gt;""),"una abstención no se califica en citas",IF(AND(B69="rag",E69="hecho",I69=""),"falta respaldo","ok")))))</f>
        <v/>
      </c>
    </row>
    <row r="70">
      <c r="A70" s="6" t="n"/>
      <c r="B70" s="6" t="n"/>
      <c r="C70" s="5">
        <f>IF(A70="","",COUNTIFS($A$2:A70,A70,$B$2:B70,B70))</f>
        <v/>
      </c>
      <c r="D70" s="6" t="n"/>
      <c r="E70" s="6" t="n"/>
      <c r="F70" s="6" t="n"/>
      <c r="G70" s="6" t="n"/>
      <c r="H70" s="6" t="n"/>
      <c r="I70" s="6" t="n"/>
      <c r="J70" s="6" t="n"/>
      <c r="K70" s="6" t="n"/>
      <c r="L70" s="6" t="n"/>
      <c r="M70" s="5">
        <f>IF(D70="","",IF(OR(E70="",F70=""),"",IF(TRIM(IF(AND(E70="hecho",F70="INCORRECTA"),"INC ","")&amp;IF(AND(E70="abstencion",F70="INCORRECTA"),"ABS-E ","")&amp;IF(AND(E70="hecho",F70="FUERA_REF",H70="no_resp"),"NO-ABS ","")&amp;IF(AND(E70="hecho",I70="SIN-RESPALDO"),"SIN-R ","")&amp;IF(AND(E70="hecho",I70="CITA-X"),"CITA-X ","")&amp;IF(AND(E70="hecho",I70="SIN-CITA"),"SIN-C ",""))="","-",TRIM(IF(AND(E70="hecho",F70="INCORRECTA"),"INC ","")&amp;IF(AND(E70="abstencion",F70="INCORRECTA"),"ABS-E ","")&amp;IF(AND(E70="hecho",F70="FUERA_REF",H70="no_resp"),"NO-ABS ","")&amp;IF(AND(E70="hecho",I70="SIN-RESPALDO"),"SIN-R ","")&amp;IF(AND(E70="hecho",I70="CITA-X"),"CITA-X ","")&amp;IF(AND(E70="hecho",I70="SIN-CITA"),"SIN-C ","")))))</f>
        <v/>
      </c>
      <c r="N70" s="5">
        <f>IF(D70="","",IF(OR(A70="",B70="",E70="",F70=""),"falta qid, modo, tipo o vs_ref",IF(AND(B70="llm",I70&lt;&gt;""),"respaldo no aplica en modo LLM",IF(AND(E70="abstencion",I70&lt;&gt;""),"una abstención no se califica en citas",IF(AND(B70="rag",E70="hecho",I70=""),"falta respaldo","ok")))))</f>
        <v/>
      </c>
    </row>
    <row r="71">
      <c r="A71" s="6" t="n"/>
      <c r="B71" s="6" t="n"/>
      <c r="C71" s="5">
        <f>IF(A71="","",COUNTIFS($A$2:A71,A71,$B$2:B71,B71))</f>
        <v/>
      </c>
      <c r="D71" s="6" t="n"/>
      <c r="E71" s="6" t="n"/>
      <c r="F71" s="6" t="n"/>
      <c r="G71" s="6" t="n"/>
      <c r="H71" s="6" t="n"/>
      <c r="I71" s="6" t="n"/>
      <c r="J71" s="6" t="n"/>
      <c r="K71" s="6" t="n"/>
      <c r="L71" s="6" t="n"/>
      <c r="M71" s="5">
        <f>IF(D71="","",IF(OR(E71="",F71=""),"",IF(TRIM(IF(AND(E71="hecho",F71="INCORRECTA"),"INC ","")&amp;IF(AND(E71="abstencion",F71="INCORRECTA"),"ABS-E ","")&amp;IF(AND(E71="hecho",F71="FUERA_REF",H71="no_resp"),"NO-ABS ","")&amp;IF(AND(E71="hecho",I71="SIN-RESPALDO"),"SIN-R ","")&amp;IF(AND(E71="hecho",I71="CITA-X"),"CITA-X ","")&amp;IF(AND(E71="hecho",I71="SIN-CITA"),"SIN-C ",""))="","-",TRIM(IF(AND(E71="hecho",F71="INCORRECTA"),"INC ","")&amp;IF(AND(E71="abstencion",F71="INCORRECTA"),"ABS-E ","")&amp;IF(AND(E71="hecho",F71="FUERA_REF",H71="no_resp"),"NO-ABS ","")&amp;IF(AND(E71="hecho",I71="SIN-RESPALDO"),"SIN-R ","")&amp;IF(AND(E71="hecho",I71="CITA-X"),"CITA-X ","")&amp;IF(AND(E71="hecho",I71="SIN-CITA"),"SIN-C ","")))))</f>
        <v/>
      </c>
      <c r="N71" s="5">
        <f>IF(D71="","",IF(OR(A71="",B71="",E71="",F71=""),"falta qid, modo, tipo o vs_ref",IF(AND(B71="llm",I71&lt;&gt;""),"respaldo no aplica en modo LLM",IF(AND(E71="abstencion",I71&lt;&gt;""),"una abstención no se califica en citas",IF(AND(B71="rag",E71="hecho",I71=""),"falta respaldo","ok")))))</f>
        <v/>
      </c>
    </row>
    <row r="72">
      <c r="A72" s="6" t="n"/>
      <c r="B72" s="6" t="n"/>
      <c r="C72" s="5">
        <f>IF(A72="","",COUNTIFS($A$2:A72,A72,$B$2:B72,B72))</f>
        <v/>
      </c>
      <c r="D72" s="6" t="n"/>
      <c r="E72" s="6" t="n"/>
      <c r="F72" s="6" t="n"/>
      <c r="G72" s="6" t="n"/>
      <c r="H72" s="6" t="n"/>
      <c r="I72" s="6" t="n"/>
      <c r="J72" s="6" t="n"/>
      <c r="K72" s="6" t="n"/>
      <c r="L72" s="6" t="n"/>
      <c r="M72" s="5">
        <f>IF(D72="","",IF(OR(E72="",F72=""),"",IF(TRIM(IF(AND(E72="hecho",F72="INCORRECTA"),"INC ","")&amp;IF(AND(E72="abstencion",F72="INCORRECTA"),"ABS-E ","")&amp;IF(AND(E72="hecho",F72="FUERA_REF",H72="no_resp"),"NO-ABS ","")&amp;IF(AND(E72="hecho",I72="SIN-RESPALDO"),"SIN-R ","")&amp;IF(AND(E72="hecho",I72="CITA-X"),"CITA-X ","")&amp;IF(AND(E72="hecho",I72="SIN-CITA"),"SIN-C ",""))="","-",TRIM(IF(AND(E72="hecho",F72="INCORRECTA"),"INC ","")&amp;IF(AND(E72="abstencion",F72="INCORRECTA"),"ABS-E ","")&amp;IF(AND(E72="hecho",F72="FUERA_REF",H72="no_resp"),"NO-ABS ","")&amp;IF(AND(E72="hecho",I72="SIN-RESPALDO"),"SIN-R ","")&amp;IF(AND(E72="hecho",I72="CITA-X"),"CITA-X ","")&amp;IF(AND(E72="hecho",I72="SIN-CITA"),"SIN-C ","")))))</f>
        <v/>
      </c>
      <c r="N72" s="5">
        <f>IF(D72="","",IF(OR(A72="",B72="",E72="",F72=""),"falta qid, modo, tipo o vs_ref",IF(AND(B72="llm",I72&lt;&gt;""),"respaldo no aplica en modo LLM",IF(AND(E72="abstencion",I72&lt;&gt;""),"una abstención no se califica en citas",IF(AND(B72="rag",E72="hecho",I72=""),"falta respaldo","ok")))))</f>
        <v/>
      </c>
    </row>
    <row r="73">
      <c r="A73" s="6" t="n"/>
      <c r="B73" s="6" t="n"/>
      <c r="C73" s="5">
        <f>IF(A73="","",COUNTIFS($A$2:A73,A73,$B$2:B73,B73))</f>
        <v/>
      </c>
      <c r="D73" s="6" t="n"/>
      <c r="E73" s="6" t="n"/>
      <c r="F73" s="6" t="n"/>
      <c r="G73" s="6" t="n"/>
      <c r="H73" s="6" t="n"/>
      <c r="I73" s="6" t="n"/>
      <c r="J73" s="6" t="n"/>
      <c r="K73" s="6" t="n"/>
      <c r="L73" s="6" t="n"/>
      <c r="M73" s="5">
        <f>IF(D73="","",IF(OR(E73="",F73=""),"",IF(TRIM(IF(AND(E73="hecho",F73="INCORRECTA"),"INC ","")&amp;IF(AND(E73="abstencion",F73="INCORRECTA"),"ABS-E ","")&amp;IF(AND(E73="hecho",F73="FUERA_REF",H73="no_resp"),"NO-ABS ","")&amp;IF(AND(E73="hecho",I73="SIN-RESPALDO"),"SIN-R ","")&amp;IF(AND(E73="hecho",I73="CITA-X"),"CITA-X ","")&amp;IF(AND(E73="hecho",I73="SIN-CITA"),"SIN-C ",""))="","-",TRIM(IF(AND(E73="hecho",F73="INCORRECTA"),"INC ","")&amp;IF(AND(E73="abstencion",F73="INCORRECTA"),"ABS-E ","")&amp;IF(AND(E73="hecho",F73="FUERA_REF",H73="no_resp"),"NO-ABS ","")&amp;IF(AND(E73="hecho",I73="SIN-RESPALDO"),"SIN-R ","")&amp;IF(AND(E73="hecho",I73="CITA-X"),"CITA-X ","")&amp;IF(AND(E73="hecho",I73="SIN-CITA"),"SIN-C ","")))))</f>
        <v/>
      </c>
      <c r="N73" s="5">
        <f>IF(D73="","",IF(OR(A73="",B73="",E73="",F73=""),"falta qid, modo, tipo o vs_ref",IF(AND(B73="llm",I73&lt;&gt;""),"respaldo no aplica en modo LLM",IF(AND(E73="abstencion",I73&lt;&gt;""),"una abstención no se califica en citas",IF(AND(B73="rag",E73="hecho",I73=""),"falta respaldo","ok")))))</f>
        <v/>
      </c>
    </row>
    <row r="74">
      <c r="A74" s="6" t="n"/>
      <c r="B74" s="6" t="n"/>
      <c r="C74" s="5">
        <f>IF(A74="","",COUNTIFS($A$2:A74,A74,$B$2:B74,B74))</f>
        <v/>
      </c>
      <c r="D74" s="6" t="n"/>
      <c r="E74" s="6" t="n"/>
      <c r="F74" s="6" t="n"/>
      <c r="G74" s="6" t="n"/>
      <c r="H74" s="6" t="n"/>
      <c r="I74" s="6" t="n"/>
      <c r="J74" s="6" t="n"/>
      <c r="K74" s="6" t="n"/>
      <c r="L74" s="6" t="n"/>
      <c r="M74" s="5">
        <f>IF(D74="","",IF(OR(E74="",F74=""),"",IF(TRIM(IF(AND(E74="hecho",F74="INCORRECTA"),"INC ","")&amp;IF(AND(E74="abstencion",F74="INCORRECTA"),"ABS-E ","")&amp;IF(AND(E74="hecho",F74="FUERA_REF",H74="no_resp"),"NO-ABS ","")&amp;IF(AND(E74="hecho",I74="SIN-RESPALDO"),"SIN-R ","")&amp;IF(AND(E74="hecho",I74="CITA-X"),"CITA-X ","")&amp;IF(AND(E74="hecho",I74="SIN-CITA"),"SIN-C ",""))="","-",TRIM(IF(AND(E74="hecho",F74="INCORRECTA"),"INC ","")&amp;IF(AND(E74="abstencion",F74="INCORRECTA"),"ABS-E ","")&amp;IF(AND(E74="hecho",F74="FUERA_REF",H74="no_resp"),"NO-ABS ","")&amp;IF(AND(E74="hecho",I74="SIN-RESPALDO"),"SIN-R ","")&amp;IF(AND(E74="hecho",I74="CITA-X"),"CITA-X ","")&amp;IF(AND(E74="hecho",I74="SIN-CITA"),"SIN-C ","")))))</f>
        <v/>
      </c>
      <c r="N74" s="5">
        <f>IF(D74="","",IF(OR(A74="",B74="",E74="",F74=""),"falta qid, modo, tipo o vs_ref",IF(AND(B74="llm",I74&lt;&gt;""),"respaldo no aplica en modo LLM",IF(AND(E74="abstencion",I74&lt;&gt;""),"una abstención no se califica en citas",IF(AND(B74="rag",E74="hecho",I74=""),"falta respaldo","ok")))))</f>
        <v/>
      </c>
    </row>
    <row r="75">
      <c r="A75" s="6" t="n"/>
      <c r="B75" s="6" t="n"/>
      <c r="C75" s="5">
        <f>IF(A75="","",COUNTIFS($A$2:A75,A75,$B$2:B75,B75))</f>
        <v/>
      </c>
      <c r="D75" s="6" t="n"/>
      <c r="E75" s="6" t="n"/>
      <c r="F75" s="6" t="n"/>
      <c r="G75" s="6" t="n"/>
      <c r="H75" s="6" t="n"/>
      <c r="I75" s="6" t="n"/>
      <c r="J75" s="6" t="n"/>
      <c r="K75" s="6" t="n"/>
      <c r="L75" s="6" t="n"/>
      <c r="M75" s="5">
        <f>IF(D75="","",IF(OR(E75="",F75=""),"",IF(TRIM(IF(AND(E75="hecho",F75="INCORRECTA"),"INC ","")&amp;IF(AND(E75="abstencion",F75="INCORRECTA"),"ABS-E ","")&amp;IF(AND(E75="hecho",F75="FUERA_REF",H75="no_resp"),"NO-ABS ","")&amp;IF(AND(E75="hecho",I75="SIN-RESPALDO"),"SIN-R ","")&amp;IF(AND(E75="hecho",I75="CITA-X"),"CITA-X ","")&amp;IF(AND(E75="hecho",I75="SIN-CITA"),"SIN-C ",""))="","-",TRIM(IF(AND(E75="hecho",F75="INCORRECTA"),"INC ","")&amp;IF(AND(E75="abstencion",F75="INCORRECTA"),"ABS-E ","")&amp;IF(AND(E75="hecho",F75="FUERA_REF",H75="no_resp"),"NO-ABS ","")&amp;IF(AND(E75="hecho",I75="SIN-RESPALDO"),"SIN-R ","")&amp;IF(AND(E75="hecho",I75="CITA-X"),"CITA-X ","")&amp;IF(AND(E75="hecho",I75="SIN-CITA"),"SIN-C ","")))))</f>
        <v/>
      </c>
      <c r="N75" s="5">
        <f>IF(D75="","",IF(OR(A75="",B75="",E75="",F75=""),"falta qid, modo, tipo o vs_ref",IF(AND(B75="llm",I75&lt;&gt;""),"respaldo no aplica en modo LLM",IF(AND(E75="abstencion",I75&lt;&gt;""),"una abstención no se califica en citas",IF(AND(B75="rag",E75="hecho",I75=""),"falta respaldo","ok")))))</f>
        <v/>
      </c>
    </row>
    <row r="76">
      <c r="A76" s="6" t="n"/>
      <c r="B76" s="6" t="n"/>
      <c r="C76" s="5">
        <f>IF(A76="","",COUNTIFS($A$2:A76,A76,$B$2:B76,B76))</f>
        <v/>
      </c>
      <c r="D76" s="6" t="n"/>
      <c r="E76" s="6" t="n"/>
      <c r="F76" s="6" t="n"/>
      <c r="G76" s="6" t="n"/>
      <c r="H76" s="6" t="n"/>
      <c r="I76" s="6" t="n"/>
      <c r="J76" s="6" t="n"/>
      <c r="K76" s="6" t="n"/>
      <c r="L76" s="6" t="n"/>
      <c r="M76" s="5">
        <f>IF(D76="","",IF(OR(E76="",F76=""),"",IF(TRIM(IF(AND(E76="hecho",F76="INCORRECTA"),"INC ","")&amp;IF(AND(E76="abstencion",F76="INCORRECTA"),"ABS-E ","")&amp;IF(AND(E76="hecho",F76="FUERA_REF",H76="no_resp"),"NO-ABS ","")&amp;IF(AND(E76="hecho",I76="SIN-RESPALDO"),"SIN-R ","")&amp;IF(AND(E76="hecho",I76="CITA-X"),"CITA-X ","")&amp;IF(AND(E76="hecho",I76="SIN-CITA"),"SIN-C ",""))="","-",TRIM(IF(AND(E76="hecho",F76="INCORRECTA"),"INC ","")&amp;IF(AND(E76="abstencion",F76="INCORRECTA"),"ABS-E ","")&amp;IF(AND(E76="hecho",F76="FUERA_REF",H76="no_resp"),"NO-ABS ","")&amp;IF(AND(E76="hecho",I76="SIN-RESPALDO"),"SIN-R ","")&amp;IF(AND(E76="hecho",I76="CITA-X"),"CITA-X ","")&amp;IF(AND(E76="hecho",I76="SIN-CITA"),"SIN-C ","")))))</f>
        <v/>
      </c>
      <c r="N76" s="5">
        <f>IF(D76="","",IF(OR(A76="",B76="",E76="",F76=""),"falta qid, modo, tipo o vs_ref",IF(AND(B76="llm",I76&lt;&gt;""),"respaldo no aplica en modo LLM",IF(AND(E76="abstencion",I76&lt;&gt;""),"una abstención no se califica en citas",IF(AND(B76="rag",E76="hecho",I76=""),"falta respaldo","ok")))))</f>
        <v/>
      </c>
    </row>
    <row r="77">
      <c r="A77" s="6" t="n"/>
      <c r="B77" s="6" t="n"/>
      <c r="C77" s="5">
        <f>IF(A77="","",COUNTIFS($A$2:A77,A77,$B$2:B77,B77))</f>
        <v/>
      </c>
      <c r="D77" s="6" t="n"/>
      <c r="E77" s="6" t="n"/>
      <c r="F77" s="6" t="n"/>
      <c r="G77" s="6" t="n"/>
      <c r="H77" s="6" t="n"/>
      <c r="I77" s="6" t="n"/>
      <c r="J77" s="6" t="n"/>
      <c r="K77" s="6" t="n"/>
      <c r="L77" s="6" t="n"/>
      <c r="M77" s="5">
        <f>IF(D77="","",IF(OR(E77="",F77=""),"",IF(TRIM(IF(AND(E77="hecho",F77="INCORRECTA"),"INC ","")&amp;IF(AND(E77="abstencion",F77="INCORRECTA"),"ABS-E ","")&amp;IF(AND(E77="hecho",F77="FUERA_REF",H77="no_resp"),"NO-ABS ","")&amp;IF(AND(E77="hecho",I77="SIN-RESPALDO"),"SIN-R ","")&amp;IF(AND(E77="hecho",I77="CITA-X"),"CITA-X ","")&amp;IF(AND(E77="hecho",I77="SIN-CITA"),"SIN-C ",""))="","-",TRIM(IF(AND(E77="hecho",F77="INCORRECTA"),"INC ","")&amp;IF(AND(E77="abstencion",F77="INCORRECTA"),"ABS-E ","")&amp;IF(AND(E77="hecho",F77="FUERA_REF",H77="no_resp"),"NO-ABS ","")&amp;IF(AND(E77="hecho",I77="SIN-RESPALDO"),"SIN-R ","")&amp;IF(AND(E77="hecho",I77="CITA-X"),"CITA-X ","")&amp;IF(AND(E77="hecho",I77="SIN-CITA"),"SIN-C ","")))))</f>
        <v/>
      </c>
      <c r="N77" s="5">
        <f>IF(D77="","",IF(OR(A77="",B77="",E77="",F77=""),"falta qid, modo, tipo o vs_ref",IF(AND(B77="llm",I77&lt;&gt;""),"respaldo no aplica en modo LLM",IF(AND(E77="abstencion",I77&lt;&gt;""),"una abstención no se califica en citas",IF(AND(B77="rag",E77="hecho",I77=""),"falta respaldo","ok")))))</f>
        <v/>
      </c>
    </row>
    <row r="78">
      <c r="A78" s="6" t="n"/>
      <c r="B78" s="6" t="n"/>
      <c r="C78" s="5">
        <f>IF(A78="","",COUNTIFS($A$2:A78,A78,$B$2:B78,B78))</f>
        <v/>
      </c>
      <c r="D78" s="6" t="n"/>
      <c r="E78" s="6" t="n"/>
      <c r="F78" s="6" t="n"/>
      <c r="G78" s="6" t="n"/>
      <c r="H78" s="6" t="n"/>
      <c r="I78" s="6" t="n"/>
      <c r="J78" s="6" t="n"/>
      <c r="K78" s="6" t="n"/>
      <c r="L78" s="6" t="n"/>
      <c r="M78" s="5">
        <f>IF(D78="","",IF(OR(E78="",F78=""),"",IF(TRIM(IF(AND(E78="hecho",F78="INCORRECTA"),"INC ","")&amp;IF(AND(E78="abstencion",F78="INCORRECTA"),"ABS-E ","")&amp;IF(AND(E78="hecho",F78="FUERA_REF",H78="no_resp"),"NO-ABS ","")&amp;IF(AND(E78="hecho",I78="SIN-RESPALDO"),"SIN-R ","")&amp;IF(AND(E78="hecho",I78="CITA-X"),"CITA-X ","")&amp;IF(AND(E78="hecho",I78="SIN-CITA"),"SIN-C ",""))="","-",TRIM(IF(AND(E78="hecho",F78="INCORRECTA"),"INC ","")&amp;IF(AND(E78="abstencion",F78="INCORRECTA"),"ABS-E ","")&amp;IF(AND(E78="hecho",F78="FUERA_REF",H78="no_resp"),"NO-ABS ","")&amp;IF(AND(E78="hecho",I78="SIN-RESPALDO"),"SIN-R ","")&amp;IF(AND(E78="hecho",I78="CITA-X"),"CITA-X ","")&amp;IF(AND(E78="hecho",I78="SIN-CITA"),"SIN-C ","")))))</f>
        <v/>
      </c>
      <c r="N78" s="5">
        <f>IF(D78="","",IF(OR(A78="",B78="",E78="",F78=""),"falta qid, modo, tipo o vs_ref",IF(AND(B78="llm",I78&lt;&gt;""),"respaldo no aplica en modo LLM",IF(AND(E78="abstencion",I78&lt;&gt;""),"una abstención no se califica en citas",IF(AND(B78="rag",E78="hecho",I78=""),"falta respaldo","ok")))))</f>
        <v/>
      </c>
    </row>
    <row r="79">
      <c r="A79" s="6" t="n"/>
      <c r="B79" s="6" t="n"/>
      <c r="C79" s="5">
        <f>IF(A79="","",COUNTIFS($A$2:A79,A79,$B$2:B79,B79))</f>
        <v/>
      </c>
      <c r="D79" s="6" t="n"/>
      <c r="E79" s="6" t="n"/>
      <c r="F79" s="6" t="n"/>
      <c r="G79" s="6" t="n"/>
      <c r="H79" s="6" t="n"/>
      <c r="I79" s="6" t="n"/>
      <c r="J79" s="6" t="n"/>
      <c r="K79" s="6" t="n"/>
      <c r="L79" s="6" t="n"/>
      <c r="M79" s="5">
        <f>IF(D79="","",IF(OR(E79="",F79=""),"",IF(TRIM(IF(AND(E79="hecho",F79="INCORRECTA"),"INC ","")&amp;IF(AND(E79="abstencion",F79="INCORRECTA"),"ABS-E ","")&amp;IF(AND(E79="hecho",F79="FUERA_REF",H79="no_resp"),"NO-ABS ","")&amp;IF(AND(E79="hecho",I79="SIN-RESPALDO"),"SIN-R ","")&amp;IF(AND(E79="hecho",I79="CITA-X"),"CITA-X ","")&amp;IF(AND(E79="hecho",I79="SIN-CITA"),"SIN-C ",""))="","-",TRIM(IF(AND(E79="hecho",F79="INCORRECTA"),"INC ","")&amp;IF(AND(E79="abstencion",F79="INCORRECTA"),"ABS-E ","")&amp;IF(AND(E79="hecho",F79="FUERA_REF",H79="no_resp"),"NO-ABS ","")&amp;IF(AND(E79="hecho",I79="SIN-RESPALDO"),"SIN-R ","")&amp;IF(AND(E79="hecho",I79="CITA-X"),"CITA-X ","")&amp;IF(AND(E79="hecho",I79="SIN-CITA"),"SIN-C ","")))))</f>
        <v/>
      </c>
      <c r="N79" s="5">
        <f>IF(D79="","",IF(OR(A79="",B79="",E79="",F79=""),"falta qid, modo, tipo o vs_ref",IF(AND(B79="llm",I79&lt;&gt;""),"respaldo no aplica en modo LLM",IF(AND(E79="abstencion",I79&lt;&gt;""),"una abstención no se califica en citas",IF(AND(B79="rag",E79="hecho",I79=""),"falta respaldo","ok")))))</f>
        <v/>
      </c>
    </row>
    <row r="80">
      <c r="A80" s="6" t="n"/>
      <c r="B80" s="6" t="n"/>
      <c r="C80" s="5">
        <f>IF(A80="","",COUNTIFS($A$2:A80,A80,$B$2:B80,B80))</f>
        <v/>
      </c>
      <c r="D80" s="6" t="n"/>
      <c r="E80" s="6" t="n"/>
      <c r="F80" s="6" t="n"/>
      <c r="G80" s="6" t="n"/>
      <c r="H80" s="6" t="n"/>
      <c r="I80" s="6" t="n"/>
      <c r="J80" s="6" t="n"/>
      <c r="K80" s="6" t="n"/>
      <c r="L80" s="6" t="n"/>
      <c r="M80" s="5">
        <f>IF(D80="","",IF(OR(E80="",F80=""),"",IF(TRIM(IF(AND(E80="hecho",F80="INCORRECTA"),"INC ","")&amp;IF(AND(E80="abstencion",F80="INCORRECTA"),"ABS-E ","")&amp;IF(AND(E80="hecho",F80="FUERA_REF",H80="no_resp"),"NO-ABS ","")&amp;IF(AND(E80="hecho",I80="SIN-RESPALDO"),"SIN-R ","")&amp;IF(AND(E80="hecho",I80="CITA-X"),"CITA-X ","")&amp;IF(AND(E80="hecho",I80="SIN-CITA"),"SIN-C ",""))="","-",TRIM(IF(AND(E80="hecho",F80="INCORRECTA"),"INC ","")&amp;IF(AND(E80="abstencion",F80="INCORRECTA"),"ABS-E ","")&amp;IF(AND(E80="hecho",F80="FUERA_REF",H80="no_resp"),"NO-ABS ","")&amp;IF(AND(E80="hecho",I80="SIN-RESPALDO"),"SIN-R ","")&amp;IF(AND(E80="hecho",I80="CITA-X"),"CITA-X ","")&amp;IF(AND(E80="hecho",I80="SIN-CITA"),"SIN-C ","")))))</f>
        <v/>
      </c>
      <c r="N80" s="5">
        <f>IF(D80="","",IF(OR(A80="",B80="",E80="",F80=""),"falta qid, modo, tipo o vs_ref",IF(AND(B80="llm",I80&lt;&gt;""),"respaldo no aplica en modo LLM",IF(AND(E80="abstencion",I80&lt;&gt;""),"una abstención no se califica en citas",IF(AND(B80="rag",E80="hecho",I80=""),"falta respaldo","ok")))))</f>
        <v/>
      </c>
    </row>
    <row r="81">
      <c r="A81" s="6" t="n"/>
      <c r="B81" s="6" t="n"/>
      <c r="C81" s="5">
        <f>IF(A81="","",COUNTIFS($A$2:A81,A81,$B$2:B81,B81))</f>
        <v/>
      </c>
      <c r="D81" s="6" t="n"/>
      <c r="E81" s="6" t="n"/>
      <c r="F81" s="6" t="n"/>
      <c r="G81" s="6" t="n"/>
      <c r="H81" s="6" t="n"/>
      <c r="I81" s="6" t="n"/>
      <c r="J81" s="6" t="n"/>
      <c r="K81" s="6" t="n"/>
      <c r="L81" s="6" t="n"/>
      <c r="M81" s="5">
        <f>IF(D81="","",IF(OR(E81="",F81=""),"",IF(TRIM(IF(AND(E81="hecho",F81="INCORRECTA"),"INC ","")&amp;IF(AND(E81="abstencion",F81="INCORRECTA"),"ABS-E ","")&amp;IF(AND(E81="hecho",F81="FUERA_REF",H81="no_resp"),"NO-ABS ","")&amp;IF(AND(E81="hecho",I81="SIN-RESPALDO"),"SIN-R ","")&amp;IF(AND(E81="hecho",I81="CITA-X"),"CITA-X ","")&amp;IF(AND(E81="hecho",I81="SIN-CITA"),"SIN-C ",""))="","-",TRIM(IF(AND(E81="hecho",F81="INCORRECTA"),"INC ","")&amp;IF(AND(E81="abstencion",F81="INCORRECTA"),"ABS-E ","")&amp;IF(AND(E81="hecho",F81="FUERA_REF",H81="no_resp"),"NO-ABS ","")&amp;IF(AND(E81="hecho",I81="SIN-RESPALDO"),"SIN-R ","")&amp;IF(AND(E81="hecho",I81="CITA-X"),"CITA-X ","")&amp;IF(AND(E81="hecho",I81="SIN-CITA"),"SIN-C ","")))))</f>
        <v/>
      </c>
      <c r="N81" s="5">
        <f>IF(D81="","",IF(OR(A81="",B81="",E81="",F81=""),"falta qid, modo, tipo o vs_ref",IF(AND(B81="llm",I81&lt;&gt;""),"respaldo no aplica en modo LLM",IF(AND(E81="abstencion",I81&lt;&gt;""),"una abstención no se califica en citas",IF(AND(B81="rag",E81="hecho",I81=""),"falta respaldo","ok")))))</f>
        <v/>
      </c>
    </row>
    <row r="82">
      <c r="A82" s="6" t="n"/>
      <c r="B82" s="6" t="n"/>
      <c r="C82" s="5">
        <f>IF(A82="","",COUNTIFS($A$2:A82,A82,$B$2:B82,B82))</f>
        <v/>
      </c>
      <c r="D82" s="6" t="n"/>
      <c r="E82" s="6" t="n"/>
      <c r="F82" s="6" t="n"/>
      <c r="G82" s="6" t="n"/>
      <c r="H82" s="6" t="n"/>
      <c r="I82" s="6" t="n"/>
      <c r="J82" s="6" t="n"/>
      <c r="K82" s="6" t="n"/>
      <c r="L82" s="6" t="n"/>
      <c r="M82" s="5">
        <f>IF(D82="","",IF(OR(E82="",F82=""),"",IF(TRIM(IF(AND(E82="hecho",F82="INCORRECTA"),"INC ","")&amp;IF(AND(E82="abstencion",F82="INCORRECTA"),"ABS-E ","")&amp;IF(AND(E82="hecho",F82="FUERA_REF",H82="no_resp"),"NO-ABS ","")&amp;IF(AND(E82="hecho",I82="SIN-RESPALDO"),"SIN-R ","")&amp;IF(AND(E82="hecho",I82="CITA-X"),"CITA-X ","")&amp;IF(AND(E82="hecho",I82="SIN-CITA"),"SIN-C ",""))="","-",TRIM(IF(AND(E82="hecho",F82="INCORRECTA"),"INC ","")&amp;IF(AND(E82="abstencion",F82="INCORRECTA"),"ABS-E ","")&amp;IF(AND(E82="hecho",F82="FUERA_REF",H82="no_resp"),"NO-ABS ","")&amp;IF(AND(E82="hecho",I82="SIN-RESPALDO"),"SIN-R ","")&amp;IF(AND(E82="hecho",I82="CITA-X"),"CITA-X ","")&amp;IF(AND(E82="hecho",I82="SIN-CITA"),"SIN-C ","")))))</f>
        <v/>
      </c>
      <c r="N82" s="5">
        <f>IF(D82="","",IF(OR(A82="",B82="",E82="",F82=""),"falta qid, modo, tipo o vs_ref",IF(AND(B82="llm",I82&lt;&gt;""),"respaldo no aplica en modo LLM",IF(AND(E82="abstencion",I82&lt;&gt;""),"una abstención no se califica en citas",IF(AND(B82="rag",E82="hecho",I82=""),"falta respaldo","ok")))))</f>
        <v/>
      </c>
    </row>
    <row r="83">
      <c r="A83" s="6" t="n"/>
      <c r="B83" s="6" t="n"/>
      <c r="C83" s="5">
        <f>IF(A83="","",COUNTIFS($A$2:A83,A83,$B$2:B83,B83))</f>
        <v/>
      </c>
      <c r="D83" s="6" t="n"/>
      <c r="E83" s="6" t="n"/>
      <c r="F83" s="6" t="n"/>
      <c r="G83" s="6" t="n"/>
      <c r="H83" s="6" t="n"/>
      <c r="I83" s="6" t="n"/>
      <c r="J83" s="6" t="n"/>
      <c r="K83" s="6" t="n"/>
      <c r="L83" s="6" t="n"/>
      <c r="M83" s="5">
        <f>IF(D83="","",IF(OR(E83="",F83=""),"",IF(TRIM(IF(AND(E83="hecho",F83="INCORRECTA"),"INC ","")&amp;IF(AND(E83="abstencion",F83="INCORRECTA"),"ABS-E ","")&amp;IF(AND(E83="hecho",F83="FUERA_REF",H83="no_resp"),"NO-ABS ","")&amp;IF(AND(E83="hecho",I83="SIN-RESPALDO"),"SIN-R ","")&amp;IF(AND(E83="hecho",I83="CITA-X"),"CITA-X ","")&amp;IF(AND(E83="hecho",I83="SIN-CITA"),"SIN-C ",""))="","-",TRIM(IF(AND(E83="hecho",F83="INCORRECTA"),"INC ","")&amp;IF(AND(E83="abstencion",F83="INCORRECTA"),"ABS-E ","")&amp;IF(AND(E83="hecho",F83="FUERA_REF",H83="no_resp"),"NO-ABS ","")&amp;IF(AND(E83="hecho",I83="SIN-RESPALDO"),"SIN-R ","")&amp;IF(AND(E83="hecho",I83="CITA-X"),"CITA-X ","")&amp;IF(AND(E83="hecho",I83="SIN-CITA"),"SIN-C ","")))))</f>
        <v/>
      </c>
      <c r="N83" s="5">
        <f>IF(D83="","",IF(OR(A83="",B83="",E83="",F83=""),"falta qid, modo, tipo o vs_ref",IF(AND(B83="llm",I83&lt;&gt;""),"respaldo no aplica en modo LLM",IF(AND(E83="abstencion",I83&lt;&gt;""),"una abstención no se califica en citas",IF(AND(B83="rag",E83="hecho",I83=""),"falta respaldo","ok")))))</f>
        <v/>
      </c>
    </row>
    <row r="84">
      <c r="A84" s="6" t="n"/>
      <c r="B84" s="6" t="n"/>
      <c r="C84" s="5">
        <f>IF(A84="","",COUNTIFS($A$2:A84,A84,$B$2:B84,B84))</f>
        <v/>
      </c>
      <c r="D84" s="6" t="n"/>
      <c r="E84" s="6" t="n"/>
      <c r="F84" s="6" t="n"/>
      <c r="G84" s="6" t="n"/>
      <c r="H84" s="6" t="n"/>
      <c r="I84" s="6" t="n"/>
      <c r="J84" s="6" t="n"/>
      <c r="K84" s="6" t="n"/>
      <c r="L84" s="6" t="n"/>
      <c r="M84" s="5">
        <f>IF(D84="","",IF(OR(E84="",F84=""),"",IF(TRIM(IF(AND(E84="hecho",F84="INCORRECTA"),"INC ","")&amp;IF(AND(E84="abstencion",F84="INCORRECTA"),"ABS-E ","")&amp;IF(AND(E84="hecho",F84="FUERA_REF",H84="no_resp"),"NO-ABS ","")&amp;IF(AND(E84="hecho",I84="SIN-RESPALDO"),"SIN-R ","")&amp;IF(AND(E84="hecho",I84="CITA-X"),"CITA-X ","")&amp;IF(AND(E84="hecho",I84="SIN-CITA"),"SIN-C ",""))="","-",TRIM(IF(AND(E84="hecho",F84="INCORRECTA"),"INC ","")&amp;IF(AND(E84="abstencion",F84="INCORRECTA"),"ABS-E ","")&amp;IF(AND(E84="hecho",F84="FUERA_REF",H84="no_resp"),"NO-ABS ","")&amp;IF(AND(E84="hecho",I84="SIN-RESPALDO"),"SIN-R ","")&amp;IF(AND(E84="hecho",I84="CITA-X"),"CITA-X ","")&amp;IF(AND(E84="hecho",I84="SIN-CITA"),"SIN-C ","")))))</f>
        <v/>
      </c>
      <c r="N84" s="5">
        <f>IF(D84="","",IF(OR(A84="",B84="",E84="",F84=""),"falta qid, modo, tipo o vs_ref",IF(AND(B84="llm",I84&lt;&gt;""),"respaldo no aplica en modo LLM",IF(AND(E84="abstencion",I84&lt;&gt;""),"una abstención no se califica en citas",IF(AND(B84="rag",E84="hecho",I84=""),"falta respaldo","ok")))))</f>
        <v/>
      </c>
    </row>
    <row r="85">
      <c r="A85" s="6" t="n"/>
      <c r="B85" s="6" t="n"/>
      <c r="C85" s="5">
        <f>IF(A85="","",COUNTIFS($A$2:A85,A85,$B$2:B85,B85))</f>
        <v/>
      </c>
      <c r="D85" s="6" t="n"/>
      <c r="E85" s="6" t="n"/>
      <c r="F85" s="6" t="n"/>
      <c r="G85" s="6" t="n"/>
      <c r="H85" s="6" t="n"/>
      <c r="I85" s="6" t="n"/>
      <c r="J85" s="6" t="n"/>
      <c r="K85" s="6" t="n"/>
      <c r="L85" s="6" t="n"/>
      <c r="M85" s="5">
        <f>IF(D85="","",IF(OR(E85="",F85=""),"",IF(TRIM(IF(AND(E85="hecho",F85="INCORRECTA"),"INC ","")&amp;IF(AND(E85="abstencion",F85="INCORRECTA"),"ABS-E ","")&amp;IF(AND(E85="hecho",F85="FUERA_REF",H85="no_resp"),"NO-ABS ","")&amp;IF(AND(E85="hecho",I85="SIN-RESPALDO"),"SIN-R ","")&amp;IF(AND(E85="hecho",I85="CITA-X"),"CITA-X ","")&amp;IF(AND(E85="hecho",I85="SIN-CITA"),"SIN-C ",""))="","-",TRIM(IF(AND(E85="hecho",F85="INCORRECTA"),"INC ","")&amp;IF(AND(E85="abstencion",F85="INCORRECTA"),"ABS-E ","")&amp;IF(AND(E85="hecho",F85="FUERA_REF",H85="no_resp"),"NO-ABS ","")&amp;IF(AND(E85="hecho",I85="SIN-RESPALDO"),"SIN-R ","")&amp;IF(AND(E85="hecho",I85="CITA-X"),"CITA-X ","")&amp;IF(AND(E85="hecho",I85="SIN-CITA"),"SIN-C ","")))))</f>
        <v/>
      </c>
      <c r="N85" s="5">
        <f>IF(D85="","",IF(OR(A85="",B85="",E85="",F85=""),"falta qid, modo, tipo o vs_ref",IF(AND(B85="llm",I85&lt;&gt;""),"respaldo no aplica en modo LLM",IF(AND(E85="abstencion",I85&lt;&gt;""),"una abstención no se califica en citas",IF(AND(B85="rag",E85="hecho",I85=""),"falta respaldo","ok")))))</f>
        <v/>
      </c>
    </row>
    <row r="86">
      <c r="A86" s="6" t="n"/>
      <c r="B86" s="6" t="n"/>
      <c r="C86" s="5">
        <f>IF(A86="","",COUNTIFS($A$2:A86,A86,$B$2:B86,B86))</f>
        <v/>
      </c>
      <c r="D86" s="6" t="n"/>
      <c r="E86" s="6" t="n"/>
      <c r="F86" s="6" t="n"/>
      <c r="G86" s="6" t="n"/>
      <c r="H86" s="6" t="n"/>
      <c r="I86" s="6" t="n"/>
      <c r="J86" s="6" t="n"/>
      <c r="K86" s="6" t="n"/>
      <c r="L86" s="6" t="n"/>
      <c r="M86" s="5">
        <f>IF(D86="","",IF(OR(E86="",F86=""),"",IF(TRIM(IF(AND(E86="hecho",F86="INCORRECTA"),"INC ","")&amp;IF(AND(E86="abstencion",F86="INCORRECTA"),"ABS-E ","")&amp;IF(AND(E86="hecho",F86="FUERA_REF",H86="no_resp"),"NO-ABS ","")&amp;IF(AND(E86="hecho",I86="SIN-RESPALDO"),"SIN-R ","")&amp;IF(AND(E86="hecho",I86="CITA-X"),"CITA-X ","")&amp;IF(AND(E86="hecho",I86="SIN-CITA"),"SIN-C ",""))="","-",TRIM(IF(AND(E86="hecho",F86="INCORRECTA"),"INC ","")&amp;IF(AND(E86="abstencion",F86="INCORRECTA"),"ABS-E ","")&amp;IF(AND(E86="hecho",F86="FUERA_REF",H86="no_resp"),"NO-ABS ","")&amp;IF(AND(E86="hecho",I86="SIN-RESPALDO"),"SIN-R ","")&amp;IF(AND(E86="hecho",I86="CITA-X"),"CITA-X ","")&amp;IF(AND(E86="hecho",I86="SIN-CITA"),"SIN-C ","")))))</f>
        <v/>
      </c>
      <c r="N86" s="5">
        <f>IF(D86="","",IF(OR(A86="",B86="",E86="",F86=""),"falta qid, modo, tipo o vs_ref",IF(AND(B86="llm",I86&lt;&gt;""),"respaldo no aplica en modo LLM",IF(AND(E86="abstencion",I86&lt;&gt;""),"una abstención no se califica en citas",IF(AND(B86="rag",E86="hecho",I86=""),"falta respaldo","ok")))))</f>
        <v/>
      </c>
    </row>
    <row r="87">
      <c r="A87" s="6" t="n"/>
      <c r="B87" s="6" t="n"/>
      <c r="C87" s="5">
        <f>IF(A87="","",COUNTIFS($A$2:A87,A87,$B$2:B87,B87))</f>
        <v/>
      </c>
      <c r="D87" s="6" t="n"/>
      <c r="E87" s="6" t="n"/>
      <c r="F87" s="6" t="n"/>
      <c r="G87" s="6" t="n"/>
      <c r="H87" s="6" t="n"/>
      <c r="I87" s="6" t="n"/>
      <c r="J87" s="6" t="n"/>
      <c r="K87" s="6" t="n"/>
      <c r="L87" s="6" t="n"/>
      <c r="M87" s="5">
        <f>IF(D87="","",IF(OR(E87="",F87=""),"",IF(TRIM(IF(AND(E87="hecho",F87="INCORRECTA"),"INC ","")&amp;IF(AND(E87="abstencion",F87="INCORRECTA"),"ABS-E ","")&amp;IF(AND(E87="hecho",F87="FUERA_REF",H87="no_resp"),"NO-ABS ","")&amp;IF(AND(E87="hecho",I87="SIN-RESPALDO"),"SIN-R ","")&amp;IF(AND(E87="hecho",I87="CITA-X"),"CITA-X ","")&amp;IF(AND(E87="hecho",I87="SIN-CITA"),"SIN-C ",""))="","-",TRIM(IF(AND(E87="hecho",F87="INCORRECTA"),"INC ","")&amp;IF(AND(E87="abstencion",F87="INCORRECTA"),"ABS-E ","")&amp;IF(AND(E87="hecho",F87="FUERA_REF",H87="no_resp"),"NO-ABS ","")&amp;IF(AND(E87="hecho",I87="SIN-RESPALDO"),"SIN-R ","")&amp;IF(AND(E87="hecho",I87="CITA-X"),"CITA-X ","")&amp;IF(AND(E87="hecho",I87="SIN-CITA"),"SIN-C ","")))))</f>
        <v/>
      </c>
      <c r="N87" s="5">
        <f>IF(D87="","",IF(OR(A87="",B87="",E87="",F87=""),"falta qid, modo, tipo o vs_ref",IF(AND(B87="llm",I87&lt;&gt;""),"respaldo no aplica en modo LLM",IF(AND(E87="abstencion",I87&lt;&gt;""),"una abstención no se califica en citas",IF(AND(B87="rag",E87="hecho",I87=""),"falta respaldo","ok")))))</f>
        <v/>
      </c>
    </row>
    <row r="88">
      <c r="A88" s="6" t="n"/>
      <c r="B88" s="6" t="n"/>
      <c r="C88" s="5">
        <f>IF(A88="","",COUNTIFS($A$2:A88,A88,$B$2:B88,B88))</f>
        <v/>
      </c>
      <c r="D88" s="6" t="n"/>
      <c r="E88" s="6" t="n"/>
      <c r="F88" s="6" t="n"/>
      <c r="G88" s="6" t="n"/>
      <c r="H88" s="6" t="n"/>
      <c r="I88" s="6" t="n"/>
      <c r="J88" s="6" t="n"/>
      <c r="K88" s="6" t="n"/>
      <c r="L88" s="6" t="n"/>
      <c r="M88" s="5">
        <f>IF(D88="","",IF(OR(E88="",F88=""),"",IF(TRIM(IF(AND(E88="hecho",F88="INCORRECTA"),"INC ","")&amp;IF(AND(E88="abstencion",F88="INCORRECTA"),"ABS-E ","")&amp;IF(AND(E88="hecho",F88="FUERA_REF",H88="no_resp"),"NO-ABS ","")&amp;IF(AND(E88="hecho",I88="SIN-RESPALDO"),"SIN-R ","")&amp;IF(AND(E88="hecho",I88="CITA-X"),"CITA-X ","")&amp;IF(AND(E88="hecho",I88="SIN-CITA"),"SIN-C ",""))="","-",TRIM(IF(AND(E88="hecho",F88="INCORRECTA"),"INC ","")&amp;IF(AND(E88="abstencion",F88="INCORRECTA"),"ABS-E ","")&amp;IF(AND(E88="hecho",F88="FUERA_REF",H88="no_resp"),"NO-ABS ","")&amp;IF(AND(E88="hecho",I88="SIN-RESPALDO"),"SIN-R ","")&amp;IF(AND(E88="hecho",I88="CITA-X"),"CITA-X ","")&amp;IF(AND(E88="hecho",I88="SIN-CITA"),"SIN-C ","")))))</f>
        <v/>
      </c>
      <c r="N88" s="5">
        <f>IF(D88="","",IF(OR(A88="",B88="",E88="",F88=""),"falta qid, modo, tipo o vs_ref",IF(AND(B88="llm",I88&lt;&gt;""),"respaldo no aplica en modo LLM",IF(AND(E88="abstencion",I88&lt;&gt;""),"una abstención no se califica en citas",IF(AND(B88="rag",E88="hecho",I88=""),"falta respaldo","ok")))))</f>
        <v/>
      </c>
    </row>
    <row r="89">
      <c r="A89" s="6" t="n"/>
      <c r="B89" s="6" t="n"/>
      <c r="C89" s="5">
        <f>IF(A89="","",COUNTIFS($A$2:A89,A89,$B$2:B89,B89))</f>
        <v/>
      </c>
      <c r="D89" s="6" t="n"/>
      <c r="E89" s="6" t="n"/>
      <c r="F89" s="6" t="n"/>
      <c r="G89" s="6" t="n"/>
      <c r="H89" s="6" t="n"/>
      <c r="I89" s="6" t="n"/>
      <c r="J89" s="6" t="n"/>
      <c r="K89" s="6" t="n"/>
      <c r="L89" s="6" t="n"/>
      <c r="M89" s="5">
        <f>IF(D89="","",IF(OR(E89="",F89=""),"",IF(TRIM(IF(AND(E89="hecho",F89="INCORRECTA"),"INC ","")&amp;IF(AND(E89="abstencion",F89="INCORRECTA"),"ABS-E ","")&amp;IF(AND(E89="hecho",F89="FUERA_REF",H89="no_resp"),"NO-ABS ","")&amp;IF(AND(E89="hecho",I89="SIN-RESPALDO"),"SIN-R ","")&amp;IF(AND(E89="hecho",I89="CITA-X"),"CITA-X ","")&amp;IF(AND(E89="hecho",I89="SIN-CITA"),"SIN-C ",""))="","-",TRIM(IF(AND(E89="hecho",F89="INCORRECTA"),"INC ","")&amp;IF(AND(E89="abstencion",F89="INCORRECTA"),"ABS-E ","")&amp;IF(AND(E89="hecho",F89="FUERA_REF",H89="no_resp"),"NO-ABS ","")&amp;IF(AND(E89="hecho",I89="SIN-RESPALDO"),"SIN-R ","")&amp;IF(AND(E89="hecho",I89="CITA-X"),"CITA-X ","")&amp;IF(AND(E89="hecho",I89="SIN-CITA"),"SIN-C ","")))))</f>
        <v/>
      </c>
      <c r="N89" s="5">
        <f>IF(D89="","",IF(OR(A89="",B89="",E89="",F89=""),"falta qid, modo, tipo o vs_ref",IF(AND(B89="llm",I89&lt;&gt;""),"respaldo no aplica en modo LLM",IF(AND(E89="abstencion",I89&lt;&gt;""),"una abstención no se califica en citas",IF(AND(B89="rag",E89="hecho",I89=""),"falta respaldo","ok")))))</f>
        <v/>
      </c>
    </row>
    <row r="90">
      <c r="A90" s="6" t="n"/>
      <c r="B90" s="6" t="n"/>
      <c r="C90" s="5">
        <f>IF(A90="","",COUNTIFS($A$2:A90,A90,$B$2:B90,B90))</f>
        <v/>
      </c>
      <c r="D90" s="6" t="n"/>
      <c r="E90" s="6" t="n"/>
      <c r="F90" s="6" t="n"/>
      <c r="G90" s="6" t="n"/>
      <c r="H90" s="6" t="n"/>
      <c r="I90" s="6" t="n"/>
      <c r="J90" s="6" t="n"/>
      <c r="K90" s="6" t="n"/>
      <c r="L90" s="6" t="n"/>
      <c r="M90" s="5">
        <f>IF(D90="","",IF(OR(E90="",F90=""),"",IF(TRIM(IF(AND(E90="hecho",F90="INCORRECTA"),"INC ","")&amp;IF(AND(E90="abstencion",F90="INCORRECTA"),"ABS-E ","")&amp;IF(AND(E90="hecho",F90="FUERA_REF",H90="no_resp"),"NO-ABS ","")&amp;IF(AND(E90="hecho",I90="SIN-RESPALDO"),"SIN-R ","")&amp;IF(AND(E90="hecho",I90="CITA-X"),"CITA-X ","")&amp;IF(AND(E90="hecho",I90="SIN-CITA"),"SIN-C ",""))="","-",TRIM(IF(AND(E90="hecho",F90="INCORRECTA"),"INC ","")&amp;IF(AND(E90="abstencion",F90="INCORRECTA"),"ABS-E ","")&amp;IF(AND(E90="hecho",F90="FUERA_REF",H90="no_resp"),"NO-ABS ","")&amp;IF(AND(E90="hecho",I90="SIN-RESPALDO"),"SIN-R ","")&amp;IF(AND(E90="hecho",I90="CITA-X"),"CITA-X ","")&amp;IF(AND(E90="hecho",I90="SIN-CITA"),"SIN-C ","")))))</f>
        <v/>
      </c>
      <c r="N90" s="5">
        <f>IF(D90="","",IF(OR(A90="",B90="",E90="",F90=""),"falta qid, modo, tipo o vs_ref",IF(AND(B90="llm",I90&lt;&gt;""),"respaldo no aplica en modo LLM",IF(AND(E90="abstencion",I90&lt;&gt;""),"una abstención no se califica en citas",IF(AND(B90="rag",E90="hecho",I90=""),"falta respaldo","ok")))))</f>
        <v/>
      </c>
    </row>
    <row r="91">
      <c r="A91" s="6" t="n"/>
      <c r="B91" s="6" t="n"/>
      <c r="C91" s="5">
        <f>IF(A91="","",COUNTIFS($A$2:A91,A91,$B$2:B91,B91))</f>
        <v/>
      </c>
      <c r="D91" s="6" t="n"/>
      <c r="E91" s="6" t="n"/>
      <c r="F91" s="6" t="n"/>
      <c r="G91" s="6" t="n"/>
      <c r="H91" s="6" t="n"/>
      <c r="I91" s="6" t="n"/>
      <c r="J91" s="6" t="n"/>
      <c r="K91" s="6" t="n"/>
      <c r="L91" s="6" t="n"/>
      <c r="M91" s="5">
        <f>IF(D91="","",IF(OR(E91="",F91=""),"",IF(TRIM(IF(AND(E91="hecho",F91="INCORRECTA"),"INC ","")&amp;IF(AND(E91="abstencion",F91="INCORRECTA"),"ABS-E ","")&amp;IF(AND(E91="hecho",F91="FUERA_REF",H91="no_resp"),"NO-ABS ","")&amp;IF(AND(E91="hecho",I91="SIN-RESPALDO"),"SIN-R ","")&amp;IF(AND(E91="hecho",I91="CITA-X"),"CITA-X ","")&amp;IF(AND(E91="hecho",I91="SIN-CITA"),"SIN-C ",""))="","-",TRIM(IF(AND(E91="hecho",F91="INCORRECTA"),"INC ","")&amp;IF(AND(E91="abstencion",F91="INCORRECTA"),"ABS-E ","")&amp;IF(AND(E91="hecho",F91="FUERA_REF",H91="no_resp"),"NO-ABS ","")&amp;IF(AND(E91="hecho",I91="SIN-RESPALDO"),"SIN-R ","")&amp;IF(AND(E91="hecho",I91="CITA-X"),"CITA-X ","")&amp;IF(AND(E91="hecho",I91="SIN-CITA"),"SIN-C ","")))))</f>
        <v/>
      </c>
      <c r="N91" s="5">
        <f>IF(D91="","",IF(OR(A91="",B91="",E91="",F91=""),"falta qid, modo, tipo o vs_ref",IF(AND(B91="llm",I91&lt;&gt;""),"respaldo no aplica en modo LLM",IF(AND(E91="abstencion",I91&lt;&gt;""),"una abstención no se califica en citas",IF(AND(B91="rag",E91="hecho",I91=""),"falta respaldo","ok")))))</f>
        <v/>
      </c>
    </row>
    <row r="92">
      <c r="A92" s="6" t="n"/>
      <c r="B92" s="6" t="n"/>
      <c r="C92" s="5">
        <f>IF(A92="","",COUNTIFS($A$2:A92,A92,$B$2:B92,B92))</f>
        <v/>
      </c>
      <c r="D92" s="6" t="n"/>
      <c r="E92" s="6" t="n"/>
      <c r="F92" s="6" t="n"/>
      <c r="G92" s="6" t="n"/>
      <c r="H92" s="6" t="n"/>
      <c r="I92" s="6" t="n"/>
      <c r="J92" s="6" t="n"/>
      <c r="K92" s="6" t="n"/>
      <c r="L92" s="6" t="n"/>
      <c r="M92" s="5">
        <f>IF(D92="","",IF(OR(E92="",F92=""),"",IF(TRIM(IF(AND(E92="hecho",F92="INCORRECTA"),"INC ","")&amp;IF(AND(E92="abstencion",F92="INCORRECTA"),"ABS-E ","")&amp;IF(AND(E92="hecho",F92="FUERA_REF",H92="no_resp"),"NO-ABS ","")&amp;IF(AND(E92="hecho",I92="SIN-RESPALDO"),"SIN-R ","")&amp;IF(AND(E92="hecho",I92="CITA-X"),"CITA-X ","")&amp;IF(AND(E92="hecho",I92="SIN-CITA"),"SIN-C ",""))="","-",TRIM(IF(AND(E92="hecho",F92="INCORRECTA"),"INC ","")&amp;IF(AND(E92="abstencion",F92="INCORRECTA"),"ABS-E ","")&amp;IF(AND(E92="hecho",F92="FUERA_REF",H92="no_resp"),"NO-ABS ","")&amp;IF(AND(E92="hecho",I92="SIN-RESPALDO"),"SIN-R ","")&amp;IF(AND(E92="hecho",I92="CITA-X"),"CITA-X ","")&amp;IF(AND(E92="hecho",I92="SIN-CITA"),"SIN-C ","")))))</f>
        <v/>
      </c>
      <c r="N92" s="5">
        <f>IF(D92="","",IF(OR(A92="",B92="",E92="",F92=""),"falta qid, modo, tipo o vs_ref",IF(AND(B92="llm",I92&lt;&gt;""),"respaldo no aplica en modo LLM",IF(AND(E92="abstencion",I92&lt;&gt;""),"una abstención no se califica en citas",IF(AND(B92="rag",E92="hecho",I92=""),"falta respaldo","ok")))))</f>
        <v/>
      </c>
    </row>
    <row r="93">
      <c r="A93" s="6" t="n"/>
      <c r="B93" s="6" t="n"/>
      <c r="C93" s="5">
        <f>IF(A93="","",COUNTIFS($A$2:A93,A93,$B$2:B93,B93))</f>
        <v/>
      </c>
      <c r="D93" s="6" t="n"/>
      <c r="E93" s="6" t="n"/>
      <c r="F93" s="6" t="n"/>
      <c r="G93" s="6" t="n"/>
      <c r="H93" s="6" t="n"/>
      <c r="I93" s="6" t="n"/>
      <c r="J93" s="6" t="n"/>
      <c r="K93" s="6" t="n"/>
      <c r="L93" s="6" t="n"/>
      <c r="M93" s="5">
        <f>IF(D93="","",IF(OR(E93="",F93=""),"",IF(TRIM(IF(AND(E93="hecho",F93="INCORRECTA"),"INC ","")&amp;IF(AND(E93="abstencion",F93="INCORRECTA"),"ABS-E ","")&amp;IF(AND(E93="hecho",F93="FUERA_REF",H93="no_resp"),"NO-ABS ","")&amp;IF(AND(E93="hecho",I93="SIN-RESPALDO"),"SIN-R ","")&amp;IF(AND(E93="hecho",I93="CITA-X"),"CITA-X ","")&amp;IF(AND(E93="hecho",I93="SIN-CITA"),"SIN-C ",""))="","-",TRIM(IF(AND(E93="hecho",F93="INCORRECTA"),"INC ","")&amp;IF(AND(E93="abstencion",F93="INCORRECTA"),"ABS-E ","")&amp;IF(AND(E93="hecho",F93="FUERA_REF",H93="no_resp"),"NO-ABS ","")&amp;IF(AND(E93="hecho",I93="SIN-RESPALDO"),"SIN-R ","")&amp;IF(AND(E93="hecho",I93="CITA-X"),"CITA-X ","")&amp;IF(AND(E93="hecho",I93="SIN-CITA"),"SIN-C ","")))))</f>
        <v/>
      </c>
      <c r="N93" s="5">
        <f>IF(D93="","",IF(OR(A93="",B93="",E93="",F93=""),"falta qid, modo, tipo o vs_ref",IF(AND(B93="llm",I93&lt;&gt;""),"respaldo no aplica en modo LLM",IF(AND(E93="abstencion",I93&lt;&gt;""),"una abstención no se califica en citas",IF(AND(B93="rag",E93="hecho",I93=""),"falta respaldo","ok")))))</f>
        <v/>
      </c>
    </row>
    <row r="94">
      <c r="A94" s="6" t="n"/>
      <c r="B94" s="6" t="n"/>
      <c r="C94" s="5">
        <f>IF(A94="","",COUNTIFS($A$2:A94,A94,$B$2:B94,B94))</f>
        <v/>
      </c>
      <c r="D94" s="6" t="n"/>
      <c r="E94" s="6" t="n"/>
      <c r="F94" s="6" t="n"/>
      <c r="G94" s="6" t="n"/>
      <c r="H94" s="6" t="n"/>
      <c r="I94" s="6" t="n"/>
      <c r="J94" s="6" t="n"/>
      <c r="K94" s="6" t="n"/>
      <c r="L94" s="6" t="n"/>
      <c r="M94" s="5">
        <f>IF(D94="","",IF(OR(E94="",F94=""),"",IF(TRIM(IF(AND(E94="hecho",F94="INCORRECTA"),"INC ","")&amp;IF(AND(E94="abstencion",F94="INCORRECTA"),"ABS-E ","")&amp;IF(AND(E94="hecho",F94="FUERA_REF",H94="no_resp"),"NO-ABS ","")&amp;IF(AND(E94="hecho",I94="SIN-RESPALDO"),"SIN-R ","")&amp;IF(AND(E94="hecho",I94="CITA-X"),"CITA-X ","")&amp;IF(AND(E94="hecho",I94="SIN-CITA"),"SIN-C ",""))="","-",TRIM(IF(AND(E94="hecho",F94="INCORRECTA"),"INC ","")&amp;IF(AND(E94="abstencion",F94="INCORRECTA"),"ABS-E ","")&amp;IF(AND(E94="hecho",F94="FUERA_REF",H94="no_resp"),"NO-ABS ","")&amp;IF(AND(E94="hecho",I94="SIN-RESPALDO"),"SIN-R ","")&amp;IF(AND(E94="hecho",I94="CITA-X"),"CITA-X ","")&amp;IF(AND(E94="hecho",I94="SIN-CITA"),"SIN-C ","")))))</f>
        <v/>
      </c>
      <c r="N94" s="5">
        <f>IF(D94="","",IF(OR(A94="",B94="",E94="",F94=""),"falta qid, modo, tipo o vs_ref",IF(AND(B94="llm",I94&lt;&gt;""),"respaldo no aplica en modo LLM",IF(AND(E94="abstencion",I94&lt;&gt;""),"una abstención no se califica en citas",IF(AND(B94="rag",E94="hecho",I94=""),"falta respaldo","ok")))))</f>
        <v/>
      </c>
    </row>
    <row r="95">
      <c r="A95" s="6" t="n"/>
      <c r="B95" s="6" t="n"/>
      <c r="C95" s="5">
        <f>IF(A95="","",COUNTIFS($A$2:A95,A95,$B$2:B95,B95))</f>
        <v/>
      </c>
      <c r="D95" s="6" t="n"/>
      <c r="E95" s="6" t="n"/>
      <c r="F95" s="6" t="n"/>
      <c r="G95" s="6" t="n"/>
      <c r="H95" s="6" t="n"/>
      <c r="I95" s="6" t="n"/>
      <c r="J95" s="6" t="n"/>
      <c r="K95" s="6" t="n"/>
      <c r="L95" s="6" t="n"/>
      <c r="M95" s="5">
        <f>IF(D95="","",IF(OR(E95="",F95=""),"",IF(TRIM(IF(AND(E95="hecho",F95="INCORRECTA"),"INC ","")&amp;IF(AND(E95="abstencion",F95="INCORRECTA"),"ABS-E ","")&amp;IF(AND(E95="hecho",F95="FUERA_REF",H95="no_resp"),"NO-ABS ","")&amp;IF(AND(E95="hecho",I95="SIN-RESPALDO"),"SIN-R ","")&amp;IF(AND(E95="hecho",I95="CITA-X"),"CITA-X ","")&amp;IF(AND(E95="hecho",I95="SIN-CITA"),"SIN-C ",""))="","-",TRIM(IF(AND(E95="hecho",F95="INCORRECTA"),"INC ","")&amp;IF(AND(E95="abstencion",F95="INCORRECTA"),"ABS-E ","")&amp;IF(AND(E95="hecho",F95="FUERA_REF",H95="no_resp"),"NO-ABS ","")&amp;IF(AND(E95="hecho",I95="SIN-RESPALDO"),"SIN-R ","")&amp;IF(AND(E95="hecho",I95="CITA-X"),"CITA-X ","")&amp;IF(AND(E95="hecho",I95="SIN-CITA"),"SIN-C ","")))))</f>
        <v/>
      </c>
      <c r="N95" s="5">
        <f>IF(D95="","",IF(OR(A95="",B95="",E95="",F95=""),"falta qid, modo, tipo o vs_ref",IF(AND(B95="llm",I95&lt;&gt;""),"respaldo no aplica en modo LLM",IF(AND(E95="abstencion",I95&lt;&gt;""),"una abstención no se califica en citas",IF(AND(B95="rag",E95="hecho",I95=""),"falta respaldo","ok")))))</f>
        <v/>
      </c>
    </row>
    <row r="96">
      <c r="A96" s="6" t="n"/>
      <c r="B96" s="6" t="n"/>
      <c r="C96" s="5">
        <f>IF(A96="","",COUNTIFS($A$2:A96,A96,$B$2:B96,B96))</f>
        <v/>
      </c>
      <c r="D96" s="6" t="n"/>
      <c r="E96" s="6" t="n"/>
      <c r="F96" s="6" t="n"/>
      <c r="G96" s="6" t="n"/>
      <c r="H96" s="6" t="n"/>
      <c r="I96" s="6" t="n"/>
      <c r="J96" s="6" t="n"/>
      <c r="K96" s="6" t="n"/>
      <c r="L96" s="6" t="n"/>
      <c r="M96" s="5">
        <f>IF(D96="","",IF(OR(E96="",F96=""),"",IF(TRIM(IF(AND(E96="hecho",F96="INCORRECTA"),"INC ","")&amp;IF(AND(E96="abstencion",F96="INCORRECTA"),"ABS-E ","")&amp;IF(AND(E96="hecho",F96="FUERA_REF",H96="no_resp"),"NO-ABS ","")&amp;IF(AND(E96="hecho",I96="SIN-RESPALDO"),"SIN-R ","")&amp;IF(AND(E96="hecho",I96="CITA-X"),"CITA-X ","")&amp;IF(AND(E96="hecho",I96="SIN-CITA"),"SIN-C ",""))="","-",TRIM(IF(AND(E96="hecho",F96="INCORRECTA"),"INC ","")&amp;IF(AND(E96="abstencion",F96="INCORRECTA"),"ABS-E ","")&amp;IF(AND(E96="hecho",F96="FUERA_REF",H96="no_resp"),"NO-ABS ","")&amp;IF(AND(E96="hecho",I96="SIN-RESPALDO"),"SIN-R ","")&amp;IF(AND(E96="hecho",I96="CITA-X"),"CITA-X ","")&amp;IF(AND(E96="hecho",I96="SIN-CITA"),"SIN-C ","")))))</f>
        <v/>
      </c>
      <c r="N96" s="5">
        <f>IF(D96="","",IF(OR(A96="",B96="",E96="",F96=""),"falta qid, modo, tipo o vs_ref",IF(AND(B96="llm",I96&lt;&gt;""),"respaldo no aplica en modo LLM",IF(AND(E96="abstencion",I96&lt;&gt;""),"una abstención no se califica en citas",IF(AND(B96="rag",E96="hecho",I96=""),"falta respaldo","ok")))))</f>
        <v/>
      </c>
    </row>
    <row r="97">
      <c r="A97" s="6" t="n"/>
      <c r="B97" s="6" t="n"/>
      <c r="C97" s="5">
        <f>IF(A97="","",COUNTIFS($A$2:A97,A97,$B$2:B97,B97))</f>
        <v/>
      </c>
      <c r="D97" s="6" t="n"/>
      <c r="E97" s="6" t="n"/>
      <c r="F97" s="6" t="n"/>
      <c r="G97" s="6" t="n"/>
      <c r="H97" s="6" t="n"/>
      <c r="I97" s="6" t="n"/>
      <c r="J97" s="6" t="n"/>
      <c r="K97" s="6" t="n"/>
      <c r="L97" s="6" t="n"/>
      <c r="M97" s="5">
        <f>IF(D97="","",IF(OR(E97="",F97=""),"",IF(TRIM(IF(AND(E97="hecho",F97="INCORRECTA"),"INC ","")&amp;IF(AND(E97="abstencion",F97="INCORRECTA"),"ABS-E ","")&amp;IF(AND(E97="hecho",F97="FUERA_REF",H97="no_resp"),"NO-ABS ","")&amp;IF(AND(E97="hecho",I97="SIN-RESPALDO"),"SIN-R ","")&amp;IF(AND(E97="hecho",I97="CITA-X"),"CITA-X ","")&amp;IF(AND(E97="hecho",I97="SIN-CITA"),"SIN-C ",""))="","-",TRIM(IF(AND(E97="hecho",F97="INCORRECTA"),"INC ","")&amp;IF(AND(E97="abstencion",F97="INCORRECTA"),"ABS-E ","")&amp;IF(AND(E97="hecho",F97="FUERA_REF",H97="no_resp"),"NO-ABS ","")&amp;IF(AND(E97="hecho",I97="SIN-RESPALDO"),"SIN-R ","")&amp;IF(AND(E97="hecho",I97="CITA-X"),"CITA-X ","")&amp;IF(AND(E97="hecho",I97="SIN-CITA"),"SIN-C ","")))))</f>
        <v/>
      </c>
      <c r="N97" s="5">
        <f>IF(D97="","",IF(OR(A97="",B97="",E97="",F97=""),"falta qid, modo, tipo o vs_ref",IF(AND(B97="llm",I97&lt;&gt;""),"respaldo no aplica en modo LLM",IF(AND(E97="abstencion",I97&lt;&gt;""),"una abstención no se califica en citas",IF(AND(B97="rag",E97="hecho",I97=""),"falta respaldo","ok")))))</f>
        <v/>
      </c>
    </row>
    <row r="98">
      <c r="A98" s="6" t="n"/>
      <c r="B98" s="6" t="n"/>
      <c r="C98" s="5">
        <f>IF(A98="","",COUNTIFS($A$2:A98,A98,$B$2:B98,B98))</f>
        <v/>
      </c>
      <c r="D98" s="6" t="n"/>
      <c r="E98" s="6" t="n"/>
      <c r="F98" s="6" t="n"/>
      <c r="G98" s="6" t="n"/>
      <c r="H98" s="6" t="n"/>
      <c r="I98" s="6" t="n"/>
      <c r="J98" s="6" t="n"/>
      <c r="K98" s="6" t="n"/>
      <c r="L98" s="6" t="n"/>
      <c r="M98" s="5">
        <f>IF(D98="","",IF(OR(E98="",F98=""),"",IF(TRIM(IF(AND(E98="hecho",F98="INCORRECTA"),"INC ","")&amp;IF(AND(E98="abstencion",F98="INCORRECTA"),"ABS-E ","")&amp;IF(AND(E98="hecho",F98="FUERA_REF",H98="no_resp"),"NO-ABS ","")&amp;IF(AND(E98="hecho",I98="SIN-RESPALDO"),"SIN-R ","")&amp;IF(AND(E98="hecho",I98="CITA-X"),"CITA-X ","")&amp;IF(AND(E98="hecho",I98="SIN-CITA"),"SIN-C ",""))="","-",TRIM(IF(AND(E98="hecho",F98="INCORRECTA"),"INC ","")&amp;IF(AND(E98="abstencion",F98="INCORRECTA"),"ABS-E ","")&amp;IF(AND(E98="hecho",F98="FUERA_REF",H98="no_resp"),"NO-ABS ","")&amp;IF(AND(E98="hecho",I98="SIN-RESPALDO"),"SIN-R ","")&amp;IF(AND(E98="hecho",I98="CITA-X"),"CITA-X ","")&amp;IF(AND(E98="hecho",I98="SIN-CITA"),"SIN-C ","")))))</f>
        <v/>
      </c>
      <c r="N98" s="5">
        <f>IF(D98="","",IF(OR(A98="",B98="",E98="",F98=""),"falta qid, modo, tipo o vs_ref",IF(AND(B98="llm",I98&lt;&gt;""),"respaldo no aplica en modo LLM",IF(AND(E98="abstencion",I98&lt;&gt;""),"una abstención no se califica en citas",IF(AND(B98="rag",E98="hecho",I98=""),"falta respaldo","ok")))))</f>
        <v/>
      </c>
    </row>
    <row r="99">
      <c r="A99" s="6" t="n"/>
      <c r="B99" s="6" t="n"/>
      <c r="C99" s="5">
        <f>IF(A99="","",COUNTIFS($A$2:A99,A99,$B$2:B99,B99))</f>
        <v/>
      </c>
      <c r="D99" s="6" t="n"/>
      <c r="E99" s="6" t="n"/>
      <c r="F99" s="6" t="n"/>
      <c r="G99" s="6" t="n"/>
      <c r="H99" s="6" t="n"/>
      <c r="I99" s="6" t="n"/>
      <c r="J99" s="6" t="n"/>
      <c r="K99" s="6" t="n"/>
      <c r="L99" s="6" t="n"/>
      <c r="M99" s="5">
        <f>IF(D99="","",IF(OR(E99="",F99=""),"",IF(TRIM(IF(AND(E99="hecho",F99="INCORRECTA"),"INC ","")&amp;IF(AND(E99="abstencion",F99="INCORRECTA"),"ABS-E ","")&amp;IF(AND(E99="hecho",F99="FUERA_REF",H99="no_resp"),"NO-ABS ","")&amp;IF(AND(E99="hecho",I99="SIN-RESPALDO"),"SIN-R ","")&amp;IF(AND(E99="hecho",I99="CITA-X"),"CITA-X ","")&amp;IF(AND(E99="hecho",I99="SIN-CITA"),"SIN-C ",""))="","-",TRIM(IF(AND(E99="hecho",F99="INCORRECTA"),"INC ","")&amp;IF(AND(E99="abstencion",F99="INCORRECTA"),"ABS-E ","")&amp;IF(AND(E99="hecho",F99="FUERA_REF",H99="no_resp"),"NO-ABS ","")&amp;IF(AND(E99="hecho",I99="SIN-RESPALDO"),"SIN-R ","")&amp;IF(AND(E99="hecho",I99="CITA-X"),"CITA-X ","")&amp;IF(AND(E99="hecho",I99="SIN-CITA"),"SIN-C ","")))))</f>
        <v/>
      </c>
      <c r="N99" s="5">
        <f>IF(D99="","",IF(OR(A99="",B99="",E99="",F99=""),"falta qid, modo, tipo o vs_ref",IF(AND(B99="llm",I99&lt;&gt;""),"respaldo no aplica en modo LLM",IF(AND(E99="abstencion",I99&lt;&gt;""),"una abstención no se califica en citas",IF(AND(B99="rag",E99="hecho",I99=""),"falta respaldo","ok")))))</f>
        <v/>
      </c>
    </row>
    <row r="100">
      <c r="A100" s="6" t="n"/>
      <c r="B100" s="6" t="n"/>
      <c r="C100" s="5">
        <f>IF(A100="","",COUNTIFS($A$2:A100,A100,$B$2:B100,B100))</f>
        <v/>
      </c>
      <c r="D100" s="6" t="n"/>
      <c r="E100" s="6" t="n"/>
      <c r="F100" s="6" t="n"/>
      <c r="G100" s="6" t="n"/>
      <c r="H100" s="6" t="n"/>
      <c r="I100" s="6" t="n"/>
      <c r="J100" s="6" t="n"/>
      <c r="K100" s="6" t="n"/>
      <c r="L100" s="6" t="n"/>
      <c r="M100" s="5">
        <f>IF(D100="","",IF(OR(E100="",F100=""),"",IF(TRIM(IF(AND(E100="hecho",F100="INCORRECTA"),"INC ","")&amp;IF(AND(E100="abstencion",F100="INCORRECTA"),"ABS-E ","")&amp;IF(AND(E100="hecho",F100="FUERA_REF",H100="no_resp"),"NO-ABS ","")&amp;IF(AND(E100="hecho",I100="SIN-RESPALDO"),"SIN-R ","")&amp;IF(AND(E100="hecho",I100="CITA-X"),"CITA-X ","")&amp;IF(AND(E100="hecho",I100="SIN-CITA"),"SIN-C ",""))="","-",TRIM(IF(AND(E100="hecho",F100="INCORRECTA"),"INC ","")&amp;IF(AND(E100="abstencion",F100="INCORRECTA"),"ABS-E ","")&amp;IF(AND(E100="hecho",F100="FUERA_REF",H100="no_resp"),"NO-ABS ","")&amp;IF(AND(E100="hecho",I100="SIN-RESPALDO"),"SIN-R ","")&amp;IF(AND(E100="hecho",I100="CITA-X"),"CITA-X ","")&amp;IF(AND(E100="hecho",I100="SIN-CITA"),"SIN-C ","")))))</f>
        <v/>
      </c>
      <c r="N100" s="5">
        <f>IF(D100="","",IF(OR(A100="",B100="",E100="",F100=""),"falta qid, modo, tipo o vs_ref",IF(AND(B100="llm",I100&lt;&gt;""),"respaldo no aplica en modo LLM",IF(AND(E100="abstencion",I100&lt;&gt;""),"una abstención no se califica en citas",IF(AND(B100="rag",E100="hecho",I100=""),"falta respaldo","ok")))))</f>
        <v/>
      </c>
    </row>
    <row r="101">
      <c r="A101" s="6" t="n"/>
      <c r="B101" s="6" t="n"/>
      <c r="C101" s="5">
        <f>IF(A101="","",COUNTIFS($A$2:A101,A101,$B$2:B101,B101))</f>
        <v/>
      </c>
      <c r="D101" s="6" t="n"/>
      <c r="E101" s="6" t="n"/>
      <c r="F101" s="6" t="n"/>
      <c r="G101" s="6" t="n"/>
      <c r="H101" s="6" t="n"/>
      <c r="I101" s="6" t="n"/>
      <c r="J101" s="6" t="n"/>
      <c r="K101" s="6" t="n"/>
      <c r="L101" s="6" t="n"/>
      <c r="M101" s="5">
        <f>IF(D101="","",IF(OR(E101="",F101=""),"",IF(TRIM(IF(AND(E101="hecho",F101="INCORRECTA"),"INC ","")&amp;IF(AND(E101="abstencion",F101="INCORRECTA"),"ABS-E ","")&amp;IF(AND(E101="hecho",F101="FUERA_REF",H101="no_resp"),"NO-ABS ","")&amp;IF(AND(E101="hecho",I101="SIN-RESPALDO"),"SIN-R ","")&amp;IF(AND(E101="hecho",I101="CITA-X"),"CITA-X ","")&amp;IF(AND(E101="hecho",I101="SIN-CITA"),"SIN-C ",""))="","-",TRIM(IF(AND(E101="hecho",F101="INCORRECTA"),"INC ","")&amp;IF(AND(E101="abstencion",F101="INCORRECTA"),"ABS-E ","")&amp;IF(AND(E101="hecho",F101="FUERA_REF",H101="no_resp"),"NO-ABS ","")&amp;IF(AND(E101="hecho",I101="SIN-RESPALDO"),"SIN-R ","")&amp;IF(AND(E101="hecho",I101="CITA-X"),"CITA-X ","")&amp;IF(AND(E101="hecho",I101="SIN-CITA"),"SIN-C ","")))))</f>
        <v/>
      </c>
      <c r="N101" s="5">
        <f>IF(D101="","",IF(OR(A101="",B101="",E101="",F101=""),"falta qid, modo, tipo o vs_ref",IF(AND(B101="llm",I101&lt;&gt;""),"respaldo no aplica en modo LLM",IF(AND(E101="abstencion",I101&lt;&gt;""),"una abstención no se califica en citas",IF(AND(B101="rag",E101="hecho",I101=""),"falta respaldo","ok")))))</f>
        <v/>
      </c>
    </row>
    <row r="102">
      <c r="A102" s="6" t="n"/>
      <c r="B102" s="6" t="n"/>
      <c r="C102" s="5">
        <f>IF(A102="","",COUNTIFS($A$2:A102,A102,$B$2:B102,B102))</f>
        <v/>
      </c>
      <c r="D102" s="6" t="n"/>
      <c r="E102" s="6" t="n"/>
      <c r="F102" s="6" t="n"/>
      <c r="G102" s="6" t="n"/>
      <c r="H102" s="6" t="n"/>
      <c r="I102" s="6" t="n"/>
      <c r="J102" s="6" t="n"/>
      <c r="K102" s="6" t="n"/>
      <c r="L102" s="6" t="n"/>
      <c r="M102" s="5">
        <f>IF(D102="","",IF(OR(E102="",F102=""),"",IF(TRIM(IF(AND(E102="hecho",F102="INCORRECTA"),"INC ","")&amp;IF(AND(E102="abstencion",F102="INCORRECTA"),"ABS-E ","")&amp;IF(AND(E102="hecho",F102="FUERA_REF",H102="no_resp"),"NO-ABS ","")&amp;IF(AND(E102="hecho",I102="SIN-RESPALDO"),"SIN-R ","")&amp;IF(AND(E102="hecho",I102="CITA-X"),"CITA-X ","")&amp;IF(AND(E102="hecho",I102="SIN-CITA"),"SIN-C ",""))="","-",TRIM(IF(AND(E102="hecho",F102="INCORRECTA"),"INC ","")&amp;IF(AND(E102="abstencion",F102="INCORRECTA"),"ABS-E ","")&amp;IF(AND(E102="hecho",F102="FUERA_REF",H102="no_resp"),"NO-ABS ","")&amp;IF(AND(E102="hecho",I102="SIN-RESPALDO"),"SIN-R ","")&amp;IF(AND(E102="hecho",I102="CITA-X"),"CITA-X ","")&amp;IF(AND(E102="hecho",I102="SIN-CITA"),"SIN-C ","")))))</f>
        <v/>
      </c>
      <c r="N102" s="5">
        <f>IF(D102="","",IF(OR(A102="",B102="",E102="",F102=""),"falta qid, modo, tipo o vs_ref",IF(AND(B102="llm",I102&lt;&gt;""),"respaldo no aplica en modo LLM",IF(AND(E102="abstencion",I102&lt;&gt;""),"una abstención no se califica en citas",IF(AND(B102="rag",E102="hecho",I102=""),"falta respaldo","ok")))))</f>
        <v/>
      </c>
    </row>
    <row r="103">
      <c r="A103" s="6" t="n"/>
      <c r="B103" s="6" t="n"/>
      <c r="C103" s="5">
        <f>IF(A103="","",COUNTIFS($A$2:A103,A103,$B$2:B103,B103))</f>
        <v/>
      </c>
      <c r="D103" s="6" t="n"/>
      <c r="E103" s="6" t="n"/>
      <c r="F103" s="6" t="n"/>
      <c r="G103" s="6" t="n"/>
      <c r="H103" s="6" t="n"/>
      <c r="I103" s="6" t="n"/>
      <c r="J103" s="6" t="n"/>
      <c r="K103" s="6" t="n"/>
      <c r="L103" s="6" t="n"/>
      <c r="M103" s="5">
        <f>IF(D103="","",IF(OR(E103="",F103=""),"",IF(TRIM(IF(AND(E103="hecho",F103="INCORRECTA"),"INC ","")&amp;IF(AND(E103="abstencion",F103="INCORRECTA"),"ABS-E ","")&amp;IF(AND(E103="hecho",F103="FUERA_REF",H103="no_resp"),"NO-ABS ","")&amp;IF(AND(E103="hecho",I103="SIN-RESPALDO"),"SIN-R ","")&amp;IF(AND(E103="hecho",I103="CITA-X"),"CITA-X ","")&amp;IF(AND(E103="hecho",I103="SIN-CITA"),"SIN-C ",""))="","-",TRIM(IF(AND(E103="hecho",F103="INCORRECTA"),"INC ","")&amp;IF(AND(E103="abstencion",F103="INCORRECTA"),"ABS-E ","")&amp;IF(AND(E103="hecho",F103="FUERA_REF",H103="no_resp"),"NO-ABS ","")&amp;IF(AND(E103="hecho",I103="SIN-RESPALDO"),"SIN-R ","")&amp;IF(AND(E103="hecho",I103="CITA-X"),"CITA-X ","")&amp;IF(AND(E103="hecho",I103="SIN-CITA"),"SIN-C ","")))))</f>
        <v/>
      </c>
      <c r="N103" s="5">
        <f>IF(D103="","",IF(OR(A103="",B103="",E103="",F103=""),"falta qid, modo, tipo o vs_ref",IF(AND(B103="llm",I103&lt;&gt;""),"respaldo no aplica en modo LLM",IF(AND(E103="abstencion",I103&lt;&gt;""),"una abstención no se califica en citas",IF(AND(B103="rag",E103="hecho",I103=""),"falta respaldo","ok")))))</f>
        <v/>
      </c>
    </row>
    <row r="104">
      <c r="A104" s="6" t="n"/>
      <c r="B104" s="6" t="n"/>
      <c r="C104" s="5">
        <f>IF(A104="","",COUNTIFS($A$2:A104,A104,$B$2:B104,B104))</f>
        <v/>
      </c>
      <c r="D104" s="6" t="n"/>
      <c r="E104" s="6" t="n"/>
      <c r="F104" s="6" t="n"/>
      <c r="G104" s="6" t="n"/>
      <c r="H104" s="6" t="n"/>
      <c r="I104" s="6" t="n"/>
      <c r="J104" s="6" t="n"/>
      <c r="K104" s="6" t="n"/>
      <c r="L104" s="6" t="n"/>
      <c r="M104" s="5">
        <f>IF(D104="","",IF(OR(E104="",F104=""),"",IF(TRIM(IF(AND(E104="hecho",F104="INCORRECTA"),"INC ","")&amp;IF(AND(E104="abstencion",F104="INCORRECTA"),"ABS-E ","")&amp;IF(AND(E104="hecho",F104="FUERA_REF",H104="no_resp"),"NO-ABS ","")&amp;IF(AND(E104="hecho",I104="SIN-RESPALDO"),"SIN-R ","")&amp;IF(AND(E104="hecho",I104="CITA-X"),"CITA-X ","")&amp;IF(AND(E104="hecho",I104="SIN-CITA"),"SIN-C ",""))="","-",TRIM(IF(AND(E104="hecho",F104="INCORRECTA"),"INC ","")&amp;IF(AND(E104="abstencion",F104="INCORRECTA"),"ABS-E ","")&amp;IF(AND(E104="hecho",F104="FUERA_REF",H104="no_resp"),"NO-ABS ","")&amp;IF(AND(E104="hecho",I104="SIN-RESPALDO"),"SIN-R ","")&amp;IF(AND(E104="hecho",I104="CITA-X"),"CITA-X ","")&amp;IF(AND(E104="hecho",I104="SIN-CITA"),"SIN-C ","")))))</f>
        <v/>
      </c>
      <c r="N104" s="5">
        <f>IF(D104="","",IF(OR(A104="",B104="",E104="",F104=""),"falta qid, modo, tipo o vs_ref",IF(AND(B104="llm",I104&lt;&gt;""),"respaldo no aplica en modo LLM",IF(AND(E104="abstencion",I104&lt;&gt;""),"una abstención no se califica en citas",IF(AND(B104="rag",E104="hecho",I104=""),"falta respaldo","ok")))))</f>
        <v/>
      </c>
    </row>
    <row r="105">
      <c r="A105" s="6" t="n"/>
      <c r="B105" s="6" t="n"/>
      <c r="C105" s="5">
        <f>IF(A105="","",COUNTIFS($A$2:A105,A105,$B$2:B105,B105))</f>
        <v/>
      </c>
      <c r="D105" s="6" t="n"/>
      <c r="E105" s="6" t="n"/>
      <c r="F105" s="6" t="n"/>
      <c r="G105" s="6" t="n"/>
      <c r="H105" s="6" t="n"/>
      <c r="I105" s="6" t="n"/>
      <c r="J105" s="6" t="n"/>
      <c r="K105" s="6" t="n"/>
      <c r="L105" s="6" t="n"/>
      <c r="M105" s="5">
        <f>IF(D105="","",IF(OR(E105="",F105=""),"",IF(TRIM(IF(AND(E105="hecho",F105="INCORRECTA"),"INC ","")&amp;IF(AND(E105="abstencion",F105="INCORRECTA"),"ABS-E ","")&amp;IF(AND(E105="hecho",F105="FUERA_REF",H105="no_resp"),"NO-ABS ","")&amp;IF(AND(E105="hecho",I105="SIN-RESPALDO"),"SIN-R ","")&amp;IF(AND(E105="hecho",I105="CITA-X"),"CITA-X ","")&amp;IF(AND(E105="hecho",I105="SIN-CITA"),"SIN-C ",""))="","-",TRIM(IF(AND(E105="hecho",F105="INCORRECTA"),"INC ","")&amp;IF(AND(E105="abstencion",F105="INCORRECTA"),"ABS-E ","")&amp;IF(AND(E105="hecho",F105="FUERA_REF",H105="no_resp"),"NO-ABS ","")&amp;IF(AND(E105="hecho",I105="SIN-RESPALDO"),"SIN-R ","")&amp;IF(AND(E105="hecho",I105="CITA-X"),"CITA-X ","")&amp;IF(AND(E105="hecho",I105="SIN-CITA"),"SIN-C ","")))))</f>
        <v/>
      </c>
      <c r="N105" s="5">
        <f>IF(D105="","",IF(OR(A105="",B105="",E105="",F105=""),"falta qid, modo, tipo o vs_ref",IF(AND(B105="llm",I105&lt;&gt;""),"respaldo no aplica en modo LLM",IF(AND(E105="abstencion",I105&lt;&gt;""),"una abstención no se califica en citas",IF(AND(B105="rag",E105="hecho",I105=""),"falta respaldo","ok")))))</f>
        <v/>
      </c>
    </row>
    <row r="106">
      <c r="A106" s="6" t="n"/>
      <c r="B106" s="6" t="n"/>
      <c r="C106" s="5">
        <f>IF(A106="","",COUNTIFS($A$2:A106,A106,$B$2:B106,B106))</f>
        <v/>
      </c>
      <c r="D106" s="6" t="n"/>
      <c r="E106" s="6" t="n"/>
      <c r="F106" s="6" t="n"/>
      <c r="G106" s="6" t="n"/>
      <c r="H106" s="6" t="n"/>
      <c r="I106" s="6" t="n"/>
      <c r="J106" s="6" t="n"/>
      <c r="K106" s="6" t="n"/>
      <c r="L106" s="6" t="n"/>
      <c r="M106" s="5">
        <f>IF(D106="","",IF(OR(E106="",F106=""),"",IF(TRIM(IF(AND(E106="hecho",F106="INCORRECTA"),"INC ","")&amp;IF(AND(E106="abstencion",F106="INCORRECTA"),"ABS-E ","")&amp;IF(AND(E106="hecho",F106="FUERA_REF",H106="no_resp"),"NO-ABS ","")&amp;IF(AND(E106="hecho",I106="SIN-RESPALDO"),"SIN-R ","")&amp;IF(AND(E106="hecho",I106="CITA-X"),"CITA-X ","")&amp;IF(AND(E106="hecho",I106="SIN-CITA"),"SIN-C ",""))="","-",TRIM(IF(AND(E106="hecho",F106="INCORRECTA"),"INC ","")&amp;IF(AND(E106="abstencion",F106="INCORRECTA"),"ABS-E ","")&amp;IF(AND(E106="hecho",F106="FUERA_REF",H106="no_resp"),"NO-ABS ","")&amp;IF(AND(E106="hecho",I106="SIN-RESPALDO"),"SIN-R ","")&amp;IF(AND(E106="hecho",I106="CITA-X"),"CITA-X ","")&amp;IF(AND(E106="hecho",I106="SIN-CITA"),"SIN-C ","")))))</f>
        <v/>
      </c>
      <c r="N106" s="5">
        <f>IF(D106="","",IF(OR(A106="",B106="",E106="",F106=""),"falta qid, modo, tipo o vs_ref",IF(AND(B106="llm",I106&lt;&gt;""),"respaldo no aplica en modo LLM",IF(AND(E106="abstencion",I106&lt;&gt;""),"una abstención no se califica en citas",IF(AND(B106="rag",E106="hecho",I106=""),"falta respaldo","ok")))))</f>
        <v/>
      </c>
    </row>
    <row r="107">
      <c r="A107" s="6" t="n"/>
      <c r="B107" s="6" t="n"/>
      <c r="C107" s="5">
        <f>IF(A107="","",COUNTIFS($A$2:A107,A107,$B$2:B107,B107))</f>
        <v/>
      </c>
      <c r="D107" s="6" t="n"/>
      <c r="E107" s="6" t="n"/>
      <c r="F107" s="6" t="n"/>
      <c r="G107" s="6" t="n"/>
      <c r="H107" s="6" t="n"/>
      <c r="I107" s="6" t="n"/>
      <c r="J107" s="6" t="n"/>
      <c r="K107" s="6" t="n"/>
      <c r="L107" s="6" t="n"/>
      <c r="M107" s="5">
        <f>IF(D107="","",IF(OR(E107="",F107=""),"",IF(TRIM(IF(AND(E107="hecho",F107="INCORRECTA"),"INC ","")&amp;IF(AND(E107="abstencion",F107="INCORRECTA"),"ABS-E ","")&amp;IF(AND(E107="hecho",F107="FUERA_REF",H107="no_resp"),"NO-ABS ","")&amp;IF(AND(E107="hecho",I107="SIN-RESPALDO"),"SIN-R ","")&amp;IF(AND(E107="hecho",I107="CITA-X"),"CITA-X ","")&amp;IF(AND(E107="hecho",I107="SIN-CITA"),"SIN-C ",""))="","-",TRIM(IF(AND(E107="hecho",F107="INCORRECTA"),"INC ","")&amp;IF(AND(E107="abstencion",F107="INCORRECTA"),"ABS-E ","")&amp;IF(AND(E107="hecho",F107="FUERA_REF",H107="no_resp"),"NO-ABS ","")&amp;IF(AND(E107="hecho",I107="SIN-RESPALDO"),"SIN-R ","")&amp;IF(AND(E107="hecho",I107="CITA-X"),"CITA-X ","")&amp;IF(AND(E107="hecho",I107="SIN-CITA"),"SIN-C ","")))))</f>
        <v/>
      </c>
      <c r="N107" s="5">
        <f>IF(D107="","",IF(OR(A107="",B107="",E107="",F107=""),"falta qid, modo, tipo o vs_ref",IF(AND(B107="llm",I107&lt;&gt;""),"respaldo no aplica en modo LLM",IF(AND(E107="abstencion",I107&lt;&gt;""),"una abstención no se califica en citas",IF(AND(B107="rag",E107="hecho",I107=""),"falta respaldo","ok")))))</f>
        <v/>
      </c>
    </row>
    <row r="108">
      <c r="A108" s="6" t="n"/>
      <c r="B108" s="6" t="n"/>
      <c r="C108" s="5">
        <f>IF(A108="","",COUNTIFS($A$2:A108,A108,$B$2:B108,B108))</f>
        <v/>
      </c>
      <c r="D108" s="6" t="n"/>
      <c r="E108" s="6" t="n"/>
      <c r="F108" s="6" t="n"/>
      <c r="G108" s="6" t="n"/>
      <c r="H108" s="6" t="n"/>
      <c r="I108" s="6" t="n"/>
      <c r="J108" s="6" t="n"/>
      <c r="K108" s="6" t="n"/>
      <c r="L108" s="6" t="n"/>
      <c r="M108" s="5">
        <f>IF(D108="","",IF(OR(E108="",F108=""),"",IF(TRIM(IF(AND(E108="hecho",F108="INCORRECTA"),"INC ","")&amp;IF(AND(E108="abstencion",F108="INCORRECTA"),"ABS-E ","")&amp;IF(AND(E108="hecho",F108="FUERA_REF",H108="no_resp"),"NO-ABS ","")&amp;IF(AND(E108="hecho",I108="SIN-RESPALDO"),"SIN-R ","")&amp;IF(AND(E108="hecho",I108="CITA-X"),"CITA-X ","")&amp;IF(AND(E108="hecho",I108="SIN-CITA"),"SIN-C ",""))="","-",TRIM(IF(AND(E108="hecho",F108="INCORRECTA"),"INC ","")&amp;IF(AND(E108="abstencion",F108="INCORRECTA"),"ABS-E ","")&amp;IF(AND(E108="hecho",F108="FUERA_REF",H108="no_resp"),"NO-ABS ","")&amp;IF(AND(E108="hecho",I108="SIN-RESPALDO"),"SIN-R ","")&amp;IF(AND(E108="hecho",I108="CITA-X"),"CITA-X ","")&amp;IF(AND(E108="hecho",I108="SIN-CITA"),"SIN-C ","")))))</f>
        <v/>
      </c>
      <c r="N108" s="5">
        <f>IF(D108="","",IF(OR(A108="",B108="",E108="",F108=""),"falta qid, modo, tipo o vs_ref",IF(AND(B108="llm",I108&lt;&gt;""),"respaldo no aplica en modo LLM",IF(AND(E108="abstencion",I108&lt;&gt;""),"una abstención no se califica en citas",IF(AND(B108="rag",E108="hecho",I108=""),"falta respaldo","ok")))))</f>
        <v/>
      </c>
    </row>
    <row r="109">
      <c r="A109" s="6" t="n"/>
      <c r="B109" s="6" t="n"/>
      <c r="C109" s="5">
        <f>IF(A109="","",COUNTIFS($A$2:A109,A109,$B$2:B109,B109))</f>
        <v/>
      </c>
      <c r="D109" s="6" t="n"/>
      <c r="E109" s="6" t="n"/>
      <c r="F109" s="6" t="n"/>
      <c r="G109" s="6" t="n"/>
      <c r="H109" s="6" t="n"/>
      <c r="I109" s="6" t="n"/>
      <c r="J109" s="6" t="n"/>
      <c r="K109" s="6" t="n"/>
      <c r="L109" s="6" t="n"/>
      <c r="M109" s="5">
        <f>IF(D109="","",IF(OR(E109="",F109=""),"",IF(TRIM(IF(AND(E109="hecho",F109="INCORRECTA"),"INC ","")&amp;IF(AND(E109="abstencion",F109="INCORRECTA"),"ABS-E ","")&amp;IF(AND(E109="hecho",F109="FUERA_REF",H109="no_resp"),"NO-ABS ","")&amp;IF(AND(E109="hecho",I109="SIN-RESPALDO"),"SIN-R ","")&amp;IF(AND(E109="hecho",I109="CITA-X"),"CITA-X ","")&amp;IF(AND(E109="hecho",I109="SIN-CITA"),"SIN-C ",""))="","-",TRIM(IF(AND(E109="hecho",F109="INCORRECTA"),"INC ","")&amp;IF(AND(E109="abstencion",F109="INCORRECTA"),"ABS-E ","")&amp;IF(AND(E109="hecho",F109="FUERA_REF",H109="no_resp"),"NO-ABS ","")&amp;IF(AND(E109="hecho",I109="SIN-RESPALDO"),"SIN-R ","")&amp;IF(AND(E109="hecho",I109="CITA-X"),"CITA-X ","")&amp;IF(AND(E109="hecho",I109="SIN-CITA"),"SIN-C ","")))))</f>
        <v/>
      </c>
      <c r="N109" s="5">
        <f>IF(D109="","",IF(OR(A109="",B109="",E109="",F109=""),"falta qid, modo, tipo o vs_ref",IF(AND(B109="llm",I109&lt;&gt;""),"respaldo no aplica en modo LLM",IF(AND(E109="abstencion",I109&lt;&gt;""),"una abstención no se califica en citas",IF(AND(B109="rag",E109="hecho",I109=""),"falta respaldo","ok")))))</f>
        <v/>
      </c>
    </row>
    <row r="110">
      <c r="A110" s="6" t="n"/>
      <c r="B110" s="6" t="n"/>
      <c r="C110" s="5">
        <f>IF(A110="","",COUNTIFS($A$2:A110,A110,$B$2:B110,B110))</f>
        <v/>
      </c>
      <c r="D110" s="6" t="n"/>
      <c r="E110" s="6" t="n"/>
      <c r="F110" s="6" t="n"/>
      <c r="G110" s="6" t="n"/>
      <c r="H110" s="6" t="n"/>
      <c r="I110" s="6" t="n"/>
      <c r="J110" s="6" t="n"/>
      <c r="K110" s="6" t="n"/>
      <c r="L110" s="6" t="n"/>
      <c r="M110" s="5">
        <f>IF(D110="","",IF(OR(E110="",F110=""),"",IF(TRIM(IF(AND(E110="hecho",F110="INCORRECTA"),"INC ","")&amp;IF(AND(E110="abstencion",F110="INCORRECTA"),"ABS-E ","")&amp;IF(AND(E110="hecho",F110="FUERA_REF",H110="no_resp"),"NO-ABS ","")&amp;IF(AND(E110="hecho",I110="SIN-RESPALDO"),"SIN-R ","")&amp;IF(AND(E110="hecho",I110="CITA-X"),"CITA-X ","")&amp;IF(AND(E110="hecho",I110="SIN-CITA"),"SIN-C ",""))="","-",TRIM(IF(AND(E110="hecho",F110="INCORRECTA"),"INC ","")&amp;IF(AND(E110="abstencion",F110="INCORRECTA"),"ABS-E ","")&amp;IF(AND(E110="hecho",F110="FUERA_REF",H110="no_resp"),"NO-ABS ","")&amp;IF(AND(E110="hecho",I110="SIN-RESPALDO"),"SIN-R ","")&amp;IF(AND(E110="hecho",I110="CITA-X"),"CITA-X ","")&amp;IF(AND(E110="hecho",I110="SIN-CITA"),"SIN-C ","")))))</f>
        <v/>
      </c>
      <c r="N110" s="5">
        <f>IF(D110="","",IF(OR(A110="",B110="",E110="",F110=""),"falta qid, modo, tipo o vs_ref",IF(AND(B110="llm",I110&lt;&gt;""),"respaldo no aplica en modo LLM",IF(AND(E110="abstencion",I110&lt;&gt;""),"una abstención no se califica en citas",IF(AND(B110="rag",E110="hecho",I110=""),"falta respaldo","ok")))))</f>
        <v/>
      </c>
    </row>
    <row r="111">
      <c r="A111" s="6" t="n"/>
      <c r="B111" s="6" t="n"/>
      <c r="C111" s="5">
        <f>IF(A111="","",COUNTIFS($A$2:A111,A111,$B$2:B111,B111))</f>
        <v/>
      </c>
      <c r="D111" s="6" t="n"/>
      <c r="E111" s="6" t="n"/>
      <c r="F111" s="6" t="n"/>
      <c r="G111" s="6" t="n"/>
      <c r="H111" s="6" t="n"/>
      <c r="I111" s="6" t="n"/>
      <c r="J111" s="6" t="n"/>
      <c r="K111" s="6" t="n"/>
      <c r="L111" s="6" t="n"/>
      <c r="M111" s="5">
        <f>IF(D111="","",IF(OR(E111="",F111=""),"",IF(TRIM(IF(AND(E111="hecho",F111="INCORRECTA"),"INC ","")&amp;IF(AND(E111="abstencion",F111="INCORRECTA"),"ABS-E ","")&amp;IF(AND(E111="hecho",F111="FUERA_REF",H111="no_resp"),"NO-ABS ","")&amp;IF(AND(E111="hecho",I111="SIN-RESPALDO"),"SIN-R ","")&amp;IF(AND(E111="hecho",I111="CITA-X"),"CITA-X ","")&amp;IF(AND(E111="hecho",I111="SIN-CITA"),"SIN-C ",""))="","-",TRIM(IF(AND(E111="hecho",F111="INCORRECTA"),"INC ","")&amp;IF(AND(E111="abstencion",F111="INCORRECTA"),"ABS-E ","")&amp;IF(AND(E111="hecho",F111="FUERA_REF",H111="no_resp"),"NO-ABS ","")&amp;IF(AND(E111="hecho",I111="SIN-RESPALDO"),"SIN-R ","")&amp;IF(AND(E111="hecho",I111="CITA-X"),"CITA-X ","")&amp;IF(AND(E111="hecho",I111="SIN-CITA"),"SIN-C ","")))))</f>
        <v/>
      </c>
      <c r="N111" s="5">
        <f>IF(D111="","",IF(OR(A111="",B111="",E111="",F111=""),"falta qid, modo, tipo o vs_ref",IF(AND(B111="llm",I111&lt;&gt;""),"respaldo no aplica en modo LLM",IF(AND(E111="abstencion",I111&lt;&gt;""),"una abstención no se califica en citas",IF(AND(B111="rag",E111="hecho",I111=""),"falta respaldo","ok")))))</f>
        <v/>
      </c>
    </row>
    <row r="112">
      <c r="A112" s="6" t="n"/>
      <c r="B112" s="6" t="n"/>
      <c r="C112" s="5">
        <f>IF(A112="","",COUNTIFS($A$2:A112,A112,$B$2:B112,B112))</f>
        <v/>
      </c>
      <c r="D112" s="6" t="n"/>
      <c r="E112" s="6" t="n"/>
      <c r="F112" s="6" t="n"/>
      <c r="G112" s="6" t="n"/>
      <c r="H112" s="6" t="n"/>
      <c r="I112" s="6" t="n"/>
      <c r="J112" s="6" t="n"/>
      <c r="K112" s="6" t="n"/>
      <c r="L112" s="6" t="n"/>
      <c r="M112" s="5">
        <f>IF(D112="","",IF(OR(E112="",F112=""),"",IF(TRIM(IF(AND(E112="hecho",F112="INCORRECTA"),"INC ","")&amp;IF(AND(E112="abstencion",F112="INCORRECTA"),"ABS-E ","")&amp;IF(AND(E112="hecho",F112="FUERA_REF",H112="no_resp"),"NO-ABS ","")&amp;IF(AND(E112="hecho",I112="SIN-RESPALDO"),"SIN-R ","")&amp;IF(AND(E112="hecho",I112="CITA-X"),"CITA-X ","")&amp;IF(AND(E112="hecho",I112="SIN-CITA"),"SIN-C ",""))="","-",TRIM(IF(AND(E112="hecho",F112="INCORRECTA"),"INC ","")&amp;IF(AND(E112="abstencion",F112="INCORRECTA"),"ABS-E ","")&amp;IF(AND(E112="hecho",F112="FUERA_REF",H112="no_resp"),"NO-ABS ","")&amp;IF(AND(E112="hecho",I112="SIN-RESPALDO"),"SIN-R ","")&amp;IF(AND(E112="hecho",I112="CITA-X"),"CITA-X ","")&amp;IF(AND(E112="hecho",I112="SIN-CITA"),"SIN-C ","")))))</f>
        <v/>
      </c>
      <c r="N112" s="5">
        <f>IF(D112="","",IF(OR(A112="",B112="",E112="",F112=""),"falta qid, modo, tipo o vs_ref",IF(AND(B112="llm",I112&lt;&gt;""),"respaldo no aplica en modo LLM",IF(AND(E112="abstencion",I112&lt;&gt;""),"una abstención no se califica en citas",IF(AND(B112="rag",E112="hecho",I112=""),"falta respaldo","ok")))))</f>
        <v/>
      </c>
    </row>
    <row r="113">
      <c r="A113" s="6" t="n"/>
      <c r="B113" s="6" t="n"/>
      <c r="C113" s="5">
        <f>IF(A113="","",COUNTIFS($A$2:A113,A113,$B$2:B113,B113))</f>
        <v/>
      </c>
      <c r="D113" s="6" t="n"/>
      <c r="E113" s="6" t="n"/>
      <c r="F113" s="6" t="n"/>
      <c r="G113" s="6" t="n"/>
      <c r="H113" s="6" t="n"/>
      <c r="I113" s="6" t="n"/>
      <c r="J113" s="6" t="n"/>
      <c r="K113" s="6" t="n"/>
      <c r="L113" s="6" t="n"/>
      <c r="M113" s="5">
        <f>IF(D113="","",IF(OR(E113="",F113=""),"",IF(TRIM(IF(AND(E113="hecho",F113="INCORRECTA"),"INC ","")&amp;IF(AND(E113="abstencion",F113="INCORRECTA"),"ABS-E ","")&amp;IF(AND(E113="hecho",F113="FUERA_REF",H113="no_resp"),"NO-ABS ","")&amp;IF(AND(E113="hecho",I113="SIN-RESPALDO"),"SIN-R ","")&amp;IF(AND(E113="hecho",I113="CITA-X"),"CITA-X ","")&amp;IF(AND(E113="hecho",I113="SIN-CITA"),"SIN-C ",""))="","-",TRIM(IF(AND(E113="hecho",F113="INCORRECTA"),"INC ","")&amp;IF(AND(E113="abstencion",F113="INCORRECTA"),"ABS-E ","")&amp;IF(AND(E113="hecho",F113="FUERA_REF",H113="no_resp"),"NO-ABS ","")&amp;IF(AND(E113="hecho",I113="SIN-RESPALDO"),"SIN-R ","")&amp;IF(AND(E113="hecho",I113="CITA-X"),"CITA-X ","")&amp;IF(AND(E113="hecho",I113="SIN-CITA"),"SIN-C ","")))))</f>
        <v/>
      </c>
      <c r="N113" s="5">
        <f>IF(D113="","",IF(OR(A113="",B113="",E113="",F113=""),"falta qid, modo, tipo o vs_ref",IF(AND(B113="llm",I113&lt;&gt;""),"respaldo no aplica en modo LLM",IF(AND(E113="abstencion",I113&lt;&gt;""),"una abstención no se califica en citas",IF(AND(B113="rag",E113="hecho",I113=""),"falta respaldo","ok")))))</f>
        <v/>
      </c>
    </row>
    <row r="114">
      <c r="A114" s="6" t="n"/>
      <c r="B114" s="6" t="n"/>
      <c r="C114" s="5">
        <f>IF(A114="","",COUNTIFS($A$2:A114,A114,$B$2:B114,B114))</f>
        <v/>
      </c>
      <c r="D114" s="6" t="n"/>
      <c r="E114" s="6" t="n"/>
      <c r="F114" s="6" t="n"/>
      <c r="G114" s="6" t="n"/>
      <c r="H114" s="6" t="n"/>
      <c r="I114" s="6" t="n"/>
      <c r="J114" s="6" t="n"/>
      <c r="K114" s="6" t="n"/>
      <c r="L114" s="6" t="n"/>
      <c r="M114" s="5">
        <f>IF(D114="","",IF(OR(E114="",F114=""),"",IF(TRIM(IF(AND(E114="hecho",F114="INCORRECTA"),"INC ","")&amp;IF(AND(E114="abstencion",F114="INCORRECTA"),"ABS-E ","")&amp;IF(AND(E114="hecho",F114="FUERA_REF",H114="no_resp"),"NO-ABS ","")&amp;IF(AND(E114="hecho",I114="SIN-RESPALDO"),"SIN-R ","")&amp;IF(AND(E114="hecho",I114="CITA-X"),"CITA-X ","")&amp;IF(AND(E114="hecho",I114="SIN-CITA"),"SIN-C ",""))="","-",TRIM(IF(AND(E114="hecho",F114="INCORRECTA"),"INC ","")&amp;IF(AND(E114="abstencion",F114="INCORRECTA"),"ABS-E ","")&amp;IF(AND(E114="hecho",F114="FUERA_REF",H114="no_resp"),"NO-ABS ","")&amp;IF(AND(E114="hecho",I114="SIN-RESPALDO"),"SIN-R ","")&amp;IF(AND(E114="hecho",I114="CITA-X"),"CITA-X ","")&amp;IF(AND(E114="hecho",I114="SIN-CITA"),"SIN-C ","")))))</f>
        <v/>
      </c>
      <c r="N114" s="5">
        <f>IF(D114="","",IF(OR(A114="",B114="",E114="",F114=""),"falta qid, modo, tipo o vs_ref",IF(AND(B114="llm",I114&lt;&gt;""),"respaldo no aplica en modo LLM",IF(AND(E114="abstencion",I114&lt;&gt;""),"una abstención no se califica en citas",IF(AND(B114="rag",E114="hecho",I114=""),"falta respaldo","ok")))))</f>
        <v/>
      </c>
    </row>
    <row r="115">
      <c r="A115" s="6" t="n"/>
      <c r="B115" s="6" t="n"/>
      <c r="C115" s="5">
        <f>IF(A115="","",COUNTIFS($A$2:A115,A115,$B$2:B115,B115))</f>
        <v/>
      </c>
      <c r="D115" s="6" t="n"/>
      <c r="E115" s="6" t="n"/>
      <c r="F115" s="6" t="n"/>
      <c r="G115" s="6" t="n"/>
      <c r="H115" s="6" t="n"/>
      <c r="I115" s="6" t="n"/>
      <c r="J115" s="6" t="n"/>
      <c r="K115" s="6" t="n"/>
      <c r="L115" s="6" t="n"/>
      <c r="M115" s="5">
        <f>IF(D115="","",IF(OR(E115="",F115=""),"",IF(TRIM(IF(AND(E115="hecho",F115="INCORRECTA"),"INC ","")&amp;IF(AND(E115="abstencion",F115="INCORRECTA"),"ABS-E ","")&amp;IF(AND(E115="hecho",F115="FUERA_REF",H115="no_resp"),"NO-ABS ","")&amp;IF(AND(E115="hecho",I115="SIN-RESPALDO"),"SIN-R ","")&amp;IF(AND(E115="hecho",I115="CITA-X"),"CITA-X ","")&amp;IF(AND(E115="hecho",I115="SIN-CITA"),"SIN-C ",""))="","-",TRIM(IF(AND(E115="hecho",F115="INCORRECTA"),"INC ","")&amp;IF(AND(E115="abstencion",F115="INCORRECTA"),"ABS-E ","")&amp;IF(AND(E115="hecho",F115="FUERA_REF",H115="no_resp"),"NO-ABS ","")&amp;IF(AND(E115="hecho",I115="SIN-RESPALDO"),"SIN-R ","")&amp;IF(AND(E115="hecho",I115="CITA-X"),"CITA-X ","")&amp;IF(AND(E115="hecho",I115="SIN-CITA"),"SIN-C ","")))))</f>
        <v/>
      </c>
      <c r="N115" s="5">
        <f>IF(D115="","",IF(OR(A115="",B115="",E115="",F115=""),"falta qid, modo, tipo o vs_ref",IF(AND(B115="llm",I115&lt;&gt;""),"respaldo no aplica en modo LLM",IF(AND(E115="abstencion",I115&lt;&gt;""),"una abstención no se califica en citas",IF(AND(B115="rag",E115="hecho",I115=""),"falta respaldo","ok")))))</f>
        <v/>
      </c>
    </row>
    <row r="116">
      <c r="A116" s="6" t="n"/>
      <c r="B116" s="6" t="n"/>
      <c r="C116" s="5">
        <f>IF(A116="","",COUNTIFS($A$2:A116,A116,$B$2:B116,B116))</f>
        <v/>
      </c>
      <c r="D116" s="6" t="n"/>
      <c r="E116" s="6" t="n"/>
      <c r="F116" s="6" t="n"/>
      <c r="G116" s="6" t="n"/>
      <c r="H116" s="6" t="n"/>
      <c r="I116" s="6" t="n"/>
      <c r="J116" s="6" t="n"/>
      <c r="K116" s="6" t="n"/>
      <c r="L116" s="6" t="n"/>
      <c r="M116" s="5">
        <f>IF(D116="","",IF(OR(E116="",F116=""),"",IF(TRIM(IF(AND(E116="hecho",F116="INCORRECTA"),"INC ","")&amp;IF(AND(E116="abstencion",F116="INCORRECTA"),"ABS-E ","")&amp;IF(AND(E116="hecho",F116="FUERA_REF",H116="no_resp"),"NO-ABS ","")&amp;IF(AND(E116="hecho",I116="SIN-RESPALDO"),"SIN-R ","")&amp;IF(AND(E116="hecho",I116="CITA-X"),"CITA-X ","")&amp;IF(AND(E116="hecho",I116="SIN-CITA"),"SIN-C ",""))="","-",TRIM(IF(AND(E116="hecho",F116="INCORRECTA"),"INC ","")&amp;IF(AND(E116="abstencion",F116="INCORRECTA"),"ABS-E ","")&amp;IF(AND(E116="hecho",F116="FUERA_REF",H116="no_resp"),"NO-ABS ","")&amp;IF(AND(E116="hecho",I116="SIN-RESPALDO"),"SIN-R ","")&amp;IF(AND(E116="hecho",I116="CITA-X"),"CITA-X ","")&amp;IF(AND(E116="hecho",I116="SIN-CITA"),"SIN-C ","")))))</f>
        <v/>
      </c>
      <c r="N116" s="5">
        <f>IF(D116="","",IF(OR(A116="",B116="",E116="",F116=""),"falta qid, modo, tipo o vs_ref",IF(AND(B116="llm",I116&lt;&gt;""),"respaldo no aplica en modo LLM",IF(AND(E116="abstencion",I116&lt;&gt;""),"una abstención no se califica en citas",IF(AND(B116="rag",E116="hecho",I116=""),"falta respaldo","ok")))))</f>
        <v/>
      </c>
    </row>
    <row r="117">
      <c r="A117" s="6" t="n"/>
      <c r="B117" s="6" t="n"/>
      <c r="C117" s="5">
        <f>IF(A117="","",COUNTIFS($A$2:A117,A117,$B$2:B117,B117))</f>
        <v/>
      </c>
      <c r="D117" s="6" t="n"/>
      <c r="E117" s="6" t="n"/>
      <c r="F117" s="6" t="n"/>
      <c r="G117" s="6" t="n"/>
      <c r="H117" s="6" t="n"/>
      <c r="I117" s="6" t="n"/>
      <c r="J117" s="6" t="n"/>
      <c r="K117" s="6" t="n"/>
      <c r="L117" s="6" t="n"/>
      <c r="M117" s="5">
        <f>IF(D117="","",IF(OR(E117="",F117=""),"",IF(TRIM(IF(AND(E117="hecho",F117="INCORRECTA"),"INC ","")&amp;IF(AND(E117="abstencion",F117="INCORRECTA"),"ABS-E ","")&amp;IF(AND(E117="hecho",F117="FUERA_REF",H117="no_resp"),"NO-ABS ","")&amp;IF(AND(E117="hecho",I117="SIN-RESPALDO"),"SIN-R ","")&amp;IF(AND(E117="hecho",I117="CITA-X"),"CITA-X ","")&amp;IF(AND(E117="hecho",I117="SIN-CITA"),"SIN-C ",""))="","-",TRIM(IF(AND(E117="hecho",F117="INCORRECTA"),"INC ","")&amp;IF(AND(E117="abstencion",F117="INCORRECTA"),"ABS-E ","")&amp;IF(AND(E117="hecho",F117="FUERA_REF",H117="no_resp"),"NO-ABS ","")&amp;IF(AND(E117="hecho",I117="SIN-RESPALDO"),"SIN-R ","")&amp;IF(AND(E117="hecho",I117="CITA-X"),"CITA-X ","")&amp;IF(AND(E117="hecho",I117="SIN-CITA"),"SIN-C ","")))))</f>
        <v/>
      </c>
      <c r="N117" s="5">
        <f>IF(D117="","",IF(OR(A117="",B117="",E117="",F117=""),"falta qid, modo, tipo o vs_ref",IF(AND(B117="llm",I117&lt;&gt;""),"respaldo no aplica en modo LLM",IF(AND(E117="abstencion",I117&lt;&gt;""),"una abstención no se califica en citas",IF(AND(B117="rag",E117="hecho",I117=""),"falta respaldo","ok")))))</f>
        <v/>
      </c>
    </row>
    <row r="118">
      <c r="A118" s="6" t="n"/>
      <c r="B118" s="6" t="n"/>
      <c r="C118" s="5">
        <f>IF(A118="","",COUNTIFS($A$2:A118,A118,$B$2:B118,B118))</f>
        <v/>
      </c>
      <c r="D118" s="6" t="n"/>
      <c r="E118" s="6" t="n"/>
      <c r="F118" s="6" t="n"/>
      <c r="G118" s="6" t="n"/>
      <c r="H118" s="6" t="n"/>
      <c r="I118" s="6" t="n"/>
      <c r="J118" s="6" t="n"/>
      <c r="K118" s="6" t="n"/>
      <c r="L118" s="6" t="n"/>
      <c r="M118" s="5">
        <f>IF(D118="","",IF(OR(E118="",F118=""),"",IF(TRIM(IF(AND(E118="hecho",F118="INCORRECTA"),"INC ","")&amp;IF(AND(E118="abstencion",F118="INCORRECTA"),"ABS-E ","")&amp;IF(AND(E118="hecho",F118="FUERA_REF",H118="no_resp"),"NO-ABS ","")&amp;IF(AND(E118="hecho",I118="SIN-RESPALDO"),"SIN-R ","")&amp;IF(AND(E118="hecho",I118="CITA-X"),"CITA-X ","")&amp;IF(AND(E118="hecho",I118="SIN-CITA"),"SIN-C ",""))="","-",TRIM(IF(AND(E118="hecho",F118="INCORRECTA"),"INC ","")&amp;IF(AND(E118="abstencion",F118="INCORRECTA"),"ABS-E ","")&amp;IF(AND(E118="hecho",F118="FUERA_REF",H118="no_resp"),"NO-ABS ","")&amp;IF(AND(E118="hecho",I118="SIN-RESPALDO"),"SIN-R ","")&amp;IF(AND(E118="hecho",I118="CITA-X"),"CITA-X ","")&amp;IF(AND(E118="hecho",I118="SIN-CITA"),"SIN-C ","")))))</f>
        <v/>
      </c>
      <c r="N118" s="5">
        <f>IF(D118="","",IF(OR(A118="",B118="",E118="",F118=""),"falta qid, modo, tipo o vs_ref",IF(AND(B118="llm",I118&lt;&gt;""),"respaldo no aplica en modo LLM",IF(AND(E118="abstencion",I118&lt;&gt;""),"una abstención no se califica en citas",IF(AND(B118="rag",E118="hecho",I118=""),"falta respaldo","ok")))))</f>
        <v/>
      </c>
    </row>
    <row r="119">
      <c r="A119" s="6" t="n"/>
      <c r="B119" s="6" t="n"/>
      <c r="C119" s="5">
        <f>IF(A119="","",COUNTIFS($A$2:A119,A119,$B$2:B119,B119))</f>
        <v/>
      </c>
      <c r="D119" s="6" t="n"/>
      <c r="E119" s="6" t="n"/>
      <c r="F119" s="6" t="n"/>
      <c r="G119" s="6" t="n"/>
      <c r="H119" s="6" t="n"/>
      <c r="I119" s="6" t="n"/>
      <c r="J119" s="6" t="n"/>
      <c r="K119" s="6" t="n"/>
      <c r="L119" s="6" t="n"/>
      <c r="M119" s="5">
        <f>IF(D119="","",IF(OR(E119="",F119=""),"",IF(TRIM(IF(AND(E119="hecho",F119="INCORRECTA"),"INC ","")&amp;IF(AND(E119="abstencion",F119="INCORRECTA"),"ABS-E ","")&amp;IF(AND(E119="hecho",F119="FUERA_REF",H119="no_resp"),"NO-ABS ","")&amp;IF(AND(E119="hecho",I119="SIN-RESPALDO"),"SIN-R ","")&amp;IF(AND(E119="hecho",I119="CITA-X"),"CITA-X ","")&amp;IF(AND(E119="hecho",I119="SIN-CITA"),"SIN-C ",""))="","-",TRIM(IF(AND(E119="hecho",F119="INCORRECTA"),"INC ","")&amp;IF(AND(E119="abstencion",F119="INCORRECTA"),"ABS-E ","")&amp;IF(AND(E119="hecho",F119="FUERA_REF",H119="no_resp"),"NO-ABS ","")&amp;IF(AND(E119="hecho",I119="SIN-RESPALDO"),"SIN-R ","")&amp;IF(AND(E119="hecho",I119="CITA-X"),"CITA-X ","")&amp;IF(AND(E119="hecho",I119="SIN-CITA"),"SIN-C ","")))))</f>
        <v/>
      </c>
      <c r="N119" s="5">
        <f>IF(D119="","",IF(OR(A119="",B119="",E119="",F119=""),"falta qid, modo, tipo o vs_ref",IF(AND(B119="llm",I119&lt;&gt;""),"respaldo no aplica en modo LLM",IF(AND(E119="abstencion",I119&lt;&gt;""),"una abstención no se califica en citas",IF(AND(B119="rag",E119="hecho",I119=""),"falta respaldo","ok")))))</f>
        <v/>
      </c>
    </row>
    <row r="120">
      <c r="A120" s="6" t="n"/>
      <c r="B120" s="6" t="n"/>
      <c r="C120" s="5">
        <f>IF(A120="","",COUNTIFS($A$2:A120,A120,$B$2:B120,B120))</f>
        <v/>
      </c>
      <c r="D120" s="6" t="n"/>
      <c r="E120" s="6" t="n"/>
      <c r="F120" s="6" t="n"/>
      <c r="G120" s="6" t="n"/>
      <c r="H120" s="6" t="n"/>
      <c r="I120" s="6" t="n"/>
      <c r="J120" s="6" t="n"/>
      <c r="K120" s="6" t="n"/>
      <c r="L120" s="6" t="n"/>
      <c r="M120" s="5">
        <f>IF(D120="","",IF(OR(E120="",F120=""),"",IF(TRIM(IF(AND(E120="hecho",F120="INCORRECTA"),"INC ","")&amp;IF(AND(E120="abstencion",F120="INCORRECTA"),"ABS-E ","")&amp;IF(AND(E120="hecho",F120="FUERA_REF",H120="no_resp"),"NO-ABS ","")&amp;IF(AND(E120="hecho",I120="SIN-RESPALDO"),"SIN-R ","")&amp;IF(AND(E120="hecho",I120="CITA-X"),"CITA-X ","")&amp;IF(AND(E120="hecho",I120="SIN-CITA"),"SIN-C ",""))="","-",TRIM(IF(AND(E120="hecho",F120="INCORRECTA"),"INC ","")&amp;IF(AND(E120="abstencion",F120="INCORRECTA"),"ABS-E ","")&amp;IF(AND(E120="hecho",F120="FUERA_REF",H120="no_resp"),"NO-ABS ","")&amp;IF(AND(E120="hecho",I120="SIN-RESPALDO"),"SIN-R ","")&amp;IF(AND(E120="hecho",I120="CITA-X"),"CITA-X ","")&amp;IF(AND(E120="hecho",I120="SIN-CITA"),"SIN-C ","")))))</f>
        <v/>
      </c>
      <c r="N120" s="5">
        <f>IF(D120="","",IF(OR(A120="",B120="",E120="",F120=""),"falta qid, modo, tipo o vs_ref",IF(AND(B120="llm",I120&lt;&gt;""),"respaldo no aplica en modo LLM",IF(AND(E120="abstencion",I120&lt;&gt;""),"una abstención no se califica en citas",IF(AND(B120="rag",E120="hecho",I120=""),"falta respaldo","ok")))))</f>
        <v/>
      </c>
    </row>
    <row r="121">
      <c r="A121" s="6" t="n"/>
      <c r="B121" s="6" t="n"/>
      <c r="C121" s="5">
        <f>IF(A121="","",COUNTIFS($A$2:A121,A121,$B$2:B121,B121))</f>
        <v/>
      </c>
      <c r="D121" s="6" t="n"/>
      <c r="E121" s="6" t="n"/>
      <c r="F121" s="6" t="n"/>
      <c r="G121" s="6" t="n"/>
      <c r="H121" s="6" t="n"/>
      <c r="I121" s="6" t="n"/>
      <c r="J121" s="6" t="n"/>
      <c r="K121" s="6" t="n"/>
      <c r="L121" s="6" t="n"/>
      <c r="M121" s="5">
        <f>IF(D121="","",IF(OR(E121="",F121=""),"",IF(TRIM(IF(AND(E121="hecho",F121="INCORRECTA"),"INC ","")&amp;IF(AND(E121="abstencion",F121="INCORRECTA"),"ABS-E ","")&amp;IF(AND(E121="hecho",F121="FUERA_REF",H121="no_resp"),"NO-ABS ","")&amp;IF(AND(E121="hecho",I121="SIN-RESPALDO"),"SIN-R ","")&amp;IF(AND(E121="hecho",I121="CITA-X"),"CITA-X ","")&amp;IF(AND(E121="hecho",I121="SIN-CITA"),"SIN-C ",""))="","-",TRIM(IF(AND(E121="hecho",F121="INCORRECTA"),"INC ","")&amp;IF(AND(E121="abstencion",F121="INCORRECTA"),"ABS-E ","")&amp;IF(AND(E121="hecho",F121="FUERA_REF",H121="no_resp"),"NO-ABS ","")&amp;IF(AND(E121="hecho",I121="SIN-RESPALDO"),"SIN-R ","")&amp;IF(AND(E121="hecho",I121="CITA-X"),"CITA-X ","")&amp;IF(AND(E121="hecho",I121="SIN-CITA"),"SIN-C ","")))))</f>
        <v/>
      </c>
      <c r="N121" s="5">
        <f>IF(D121="","",IF(OR(A121="",B121="",E121="",F121=""),"falta qid, modo, tipo o vs_ref",IF(AND(B121="llm",I121&lt;&gt;""),"respaldo no aplica en modo LLM",IF(AND(E121="abstencion",I121&lt;&gt;""),"una abstención no se califica en citas",IF(AND(B121="rag",E121="hecho",I121=""),"falta respaldo","ok")))))</f>
        <v/>
      </c>
    </row>
    <row r="122">
      <c r="A122" s="6" t="n"/>
      <c r="B122" s="6" t="n"/>
      <c r="C122" s="5">
        <f>IF(A122="","",COUNTIFS($A$2:A122,A122,$B$2:B122,B122))</f>
        <v/>
      </c>
      <c r="D122" s="6" t="n"/>
      <c r="E122" s="6" t="n"/>
      <c r="F122" s="6" t="n"/>
      <c r="G122" s="6" t="n"/>
      <c r="H122" s="6" t="n"/>
      <c r="I122" s="6" t="n"/>
      <c r="J122" s="6" t="n"/>
      <c r="K122" s="6" t="n"/>
      <c r="L122" s="6" t="n"/>
      <c r="M122" s="5">
        <f>IF(D122="","",IF(OR(E122="",F122=""),"",IF(TRIM(IF(AND(E122="hecho",F122="INCORRECTA"),"INC ","")&amp;IF(AND(E122="abstencion",F122="INCORRECTA"),"ABS-E ","")&amp;IF(AND(E122="hecho",F122="FUERA_REF",H122="no_resp"),"NO-ABS ","")&amp;IF(AND(E122="hecho",I122="SIN-RESPALDO"),"SIN-R ","")&amp;IF(AND(E122="hecho",I122="CITA-X"),"CITA-X ","")&amp;IF(AND(E122="hecho",I122="SIN-CITA"),"SIN-C ",""))="","-",TRIM(IF(AND(E122="hecho",F122="INCORRECTA"),"INC ","")&amp;IF(AND(E122="abstencion",F122="INCORRECTA"),"ABS-E ","")&amp;IF(AND(E122="hecho",F122="FUERA_REF",H122="no_resp"),"NO-ABS ","")&amp;IF(AND(E122="hecho",I122="SIN-RESPALDO"),"SIN-R ","")&amp;IF(AND(E122="hecho",I122="CITA-X"),"CITA-X ","")&amp;IF(AND(E122="hecho",I122="SIN-CITA"),"SIN-C ","")))))</f>
        <v/>
      </c>
      <c r="N122" s="5">
        <f>IF(D122="","",IF(OR(A122="",B122="",E122="",F122=""),"falta qid, modo, tipo o vs_ref",IF(AND(B122="llm",I122&lt;&gt;""),"respaldo no aplica en modo LLM",IF(AND(E122="abstencion",I122&lt;&gt;""),"una abstención no se califica en citas",IF(AND(B122="rag",E122="hecho",I122=""),"falta respaldo","ok")))))</f>
        <v/>
      </c>
    </row>
    <row r="123">
      <c r="A123" s="6" t="n"/>
      <c r="B123" s="6" t="n"/>
      <c r="C123" s="5">
        <f>IF(A123="","",COUNTIFS($A$2:A123,A123,$B$2:B123,B123))</f>
        <v/>
      </c>
      <c r="D123" s="6" t="n"/>
      <c r="E123" s="6" t="n"/>
      <c r="F123" s="6" t="n"/>
      <c r="G123" s="6" t="n"/>
      <c r="H123" s="6" t="n"/>
      <c r="I123" s="6" t="n"/>
      <c r="J123" s="6" t="n"/>
      <c r="K123" s="6" t="n"/>
      <c r="L123" s="6" t="n"/>
      <c r="M123" s="5">
        <f>IF(D123="","",IF(OR(E123="",F123=""),"",IF(TRIM(IF(AND(E123="hecho",F123="INCORRECTA"),"INC ","")&amp;IF(AND(E123="abstencion",F123="INCORRECTA"),"ABS-E ","")&amp;IF(AND(E123="hecho",F123="FUERA_REF",H123="no_resp"),"NO-ABS ","")&amp;IF(AND(E123="hecho",I123="SIN-RESPALDO"),"SIN-R ","")&amp;IF(AND(E123="hecho",I123="CITA-X"),"CITA-X ","")&amp;IF(AND(E123="hecho",I123="SIN-CITA"),"SIN-C ",""))="","-",TRIM(IF(AND(E123="hecho",F123="INCORRECTA"),"INC ","")&amp;IF(AND(E123="abstencion",F123="INCORRECTA"),"ABS-E ","")&amp;IF(AND(E123="hecho",F123="FUERA_REF",H123="no_resp"),"NO-ABS ","")&amp;IF(AND(E123="hecho",I123="SIN-RESPALDO"),"SIN-R ","")&amp;IF(AND(E123="hecho",I123="CITA-X"),"CITA-X ","")&amp;IF(AND(E123="hecho",I123="SIN-CITA"),"SIN-C ","")))))</f>
        <v/>
      </c>
      <c r="N123" s="5">
        <f>IF(D123="","",IF(OR(A123="",B123="",E123="",F123=""),"falta qid, modo, tipo o vs_ref",IF(AND(B123="llm",I123&lt;&gt;""),"respaldo no aplica en modo LLM",IF(AND(E123="abstencion",I123&lt;&gt;""),"una abstención no se califica en citas",IF(AND(B123="rag",E123="hecho",I123=""),"falta respaldo","ok")))))</f>
        <v/>
      </c>
    </row>
    <row r="124">
      <c r="A124" s="6" t="n"/>
      <c r="B124" s="6" t="n"/>
      <c r="C124" s="5">
        <f>IF(A124="","",COUNTIFS($A$2:A124,A124,$B$2:B124,B124))</f>
        <v/>
      </c>
      <c r="D124" s="6" t="n"/>
      <c r="E124" s="6" t="n"/>
      <c r="F124" s="6" t="n"/>
      <c r="G124" s="6" t="n"/>
      <c r="H124" s="6" t="n"/>
      <c r="I124" s="6" t="n"/>
      <c r="J124" s="6" t="n"/>
      <c r="K124" s="6" t="n"/>
      <c r="L124" s="6" t="n"/>
      <c r="M124" s="5">
        <f>IF(D124="","",IF(OR(E124="",F124=""),"",IF(TRIM(IF(AND(E124="hecho",F124="INCORRECTA"),"INC ","")&amp;IF(AND(E124="abstencion",F124="INCORRECTA"),"ABS-E ","")&amp;IF(AND(E124="hecho",F124="FUERA_REF",H124="no_resp"),"NO-ABS ","")&amp;IF(AND(E124="hecho",I124="SIN-RESPALDO"),"SIN-R ","")&amp;IF(AND(E124="hecho",I124="CITA-X"),"CITA-X ","")&amp;IF(AND(E124="hecho",I124="SIN-CITA"),"SIN-C ",""))="","-",TRIM(IF(AND(E124="hecho",F124="INCORRECTA"),"INC ","")&amp;IF(AND(E124="abstencion",F124="INCORRECTA"),"ABS-E ","")&amp;IF(AND(E124="hecho",F124="FUERA_REF",H124="no_resp"),"NO-ABS ","")&amp;IF(AND(E124="hecho",I124="SIN-RESPALDO"),"SIN-R ","")&amp;IF(AND(E124="hecho",I124="CITA-X"),"CITA-X ","")&amp;IF(AND(E124="hecho",I124="SIN-CITA"),"SIN-C ","")))))</f>
        <v/>
      </c>
      <c r="N124" s="5">
        <f>IF(D124="","",IF(OR(A124="",B124="",E124="",F124=""),"falta qid, modo, tipo o vs_ref",IF(AND(B124="llm",I124&lt;&gt;""),"respaldo no aplica en modo LLM",IF(AND(E124="abstencion",I124&lt;&gt;""),"una abstención no se califica en citas",IF(AND(B124="rag",E124="hecho",I124=""),"falta respaldo","ok")))))</f>
        <v/>
      </c>
    </row>
    <row r="125">
      <c r="A125" s="6" t="n"/>
      <c r="B125" s="6" t="n"/>
      <c r="C125" s="5">
        <f>IF(A125="","",COUNTIFS($A$2:A125,A125,$B$2:B125,B125))</f>
        <v/>
      </c>
      <c r="D125" s="6" t="n"/>
      <c r="E125" s="6" t="n"/>
      <c r="F125" s="6" t="n"/>
      <c r="G125" s="6" t="n"/>
      <c r="H125" s="6" t="n"/>
      <c r="I125" s="6" t="n"/>
      <c r="J125" s="6" t="n"/>
      <c r="K125" s="6" t="n"/>
      <c r="L125" s="6" t="n"/>
      <c r="M125" s="5">
        <f>IF(D125="","",IF(OR(E125="",F125=""),"",IF(TRIM(IF(AND(E125="hecho",F125="INCORRECTA"),"INC ","")&amp;IF(AND(E125="abstencion",F125="INCORRECTA"),"ABS-E ","")&amp;IF(AND(E125="hecho",F125="FUERA_REF",H125="no_resp"),"NO-ABS ","")&amp;IF(AND(E125="hecho",I125="SIN-RESPALDO"),"SIN-R ","")&amp;IF(AND(E125="hecho",I125="CITA-X"),"CITA-X ","")&amp;IF(AND(E125="hecho",I125="SIN-CITA"),"SIN-C ",""))="","-",TRIM(IF(AND(E125="hecho",F125="INCORRECTA"),"INC ","")&amp;IF(AND(E125="abstencion",F125="INCORRECTA"),"ABS-E ","")&amp;IF(AND(E125="hecho",F125="FUERA_REF",H125="no_resp"),"NO-ABS ","")&amp;IF(AND(E125="hecho",I125="SIN-RESPALDO"),"SIN-R ","")&amp;IF(AND(E125="hecho",I125="CITA-X"),"CITA-X ","")&amp;IF(AND(E125="hecho",I125="SIN-CITA"),"SIN-C ","")))))</f>
        <v/>
      </c>
      <c r="N125" s="5">
        <f>IF(D125="","",IF(OR(A125="",B125="",E125="",F125=""),"falta qid, modo, tipo o vs_ref",IF(AND(B125="llm",I125&lt;&gt;""),"respaldo no aplica en modo LLM",IF(AND(E125="abstencion",I125&lt;&gt;""),"una abstención no se califica en citas",IF(AND(B125="rag",E125="hecho",I125=""),"falta respaldo","ok")))))</f>
        <v/>
      </c>
    </row>
    <row r="126">
      <c r="A126" s="6" t="n"/>
      <c r="B126" s="6" t="n"/>
      <c r="C126" s="5">
        <f>IF(A126="","",COUNTIFS($A$2:A126,A126,$B$2:B126,B126))</f>
        <v/>
      </c>
      <c r="D126" s="6" t="n"/>
      <c r="E126" s="6" t="n"/>
      <c r="F126" s="6" t="n"/>
      <c r="G126" s="6" t="n"/>
      <c r="H126" s="6" t="n"/>
      <c r="I126" s="6" t="n"/>
      <c r="J126" s="6" t="n"/>
      <c r="K126" s="6" t="n"/>
      <c r="L126" s="6" t="n"/>
      <c r="M126" s="5">
        <f>IF(D126="","",IF(OR(E126="",F126=""),"",IF(TRIM(IF(AND(E126="hecho",F126="INCORRECTA"),"INC ","")&amp;IF(AND(E126="abstencion",F126="INCORRECTA"),"ABS-E ","")&amp;IF(AND(E126="hecho",F126="FUERA_REF",H126="no_resp"),"NO-ABS ","")&amp;IF(AND(E126="hecho",I126="SIN-RESPALDO"),"SIN-R ","")&amp;IF(AND(E126="hecho",I126="CITA-X"),"CITA-X ","")&amp;IF(AND(E126="hecho",I126="SIN-CITA"),"SIN-C ",""))="","-",TRIM(IF(AND(E126="hecho",F126="INCORRECTA"),"INC ","")&amp;IF(AND(E126="abstencion",F126="INCORRECTA"),"ABS-E ","")&amp;IF(AND(E126="hecho",F126="FUERA_REF",H126="no_resp"),"NO-ABS ","")&amp;IF(AND(E126="hecho",I126="SIN-RESPALDO"),"SIN-R ","")&amp;IF(AND(E126="hecho",I126="CITA-X"),"CITA-X ","")&amp;IF(AND(E126="hecho",I126="SIN-CITA"),"SIN-C ","")))))</f>
        <v/>
      </c>
      <c r="N126" s="5">
        <f>IF(D126="","",IF(OR(A126="",B126="",E126="",F126=""),"falta qid, modo, tipo o vs_ref",IF(AND(B126="llm",I126&lt;&gt;""),"respaldo no aplica en modo LLM",IF(AND(E126="abstencion",I126&lt;&gt;""),"una abstención no se califica en citas",IF(AND(B126="rag",E126="hecho",I126=""),"falta respaldo","ok")))))</f>
        <v/>
      </c>
    </row>
    <row r="127">
      <c r="A127" s="6" t="n"/>
      <c r="B127" s="6" t="n"/>
      <c r="C127" s="5">
        <f>IF(A127="","",COUNTIFS($A$2:A127,A127,$B$2:B127,B127))</f>
        <v/>
      </c>
      <c r="D127" s="6" t="n"/>
      <c r="E127" s="6" t="n"/>
      <c r="F127" s="6" t="n"/>
      <c r="G127" s="6" t="n"/>
      <c r="H127" s="6" t="n"/>
      <c r="I127" s="6" t="n"/>
      <c r="J127" s="6" t="n"/>
      <c r="K127" s="6" t="n"/>
      <c r="L127" s="6" t="n"/>
      <c r="M127" s="5">
        <f>IF(D127="","",IF(OR(E127="",F127=""),"",IF(TRIM(IF(AND(E127="hecho",F127="INCORRECTA"),"INC ","")&amp;IF(AND(E127="abstencion",F127="INCORRECTA"),"ABS-E ","")&amp;IF(AND(E127="hecho",F127="FUERA_REF",H127="no_resp"),"NO-ABS ","")&amp;IF(AND(E127="hecho",I127="SIN-RESPALDO"),"SIN-R ","")&amp;IF(AND(E127="hecho",I127="CITA-X"),"CITA-X ","")&amp;IF(AND(E127="hecho",I127="SIN-CITA"),"SIN-C ",""))="","-",TRIM(IF(AND(E127="hecho",F127="INCORRECTA"),"INC ","")&amp;IF(AND(E127="abstencion",F127="INCORRECTA"),"ABS-E ","")&amp;IF(AND(E127="hecho",F127="FUERA_REF",H127="no_resp"),"NO-ABS ","")&amp;IF(AND(E127="hecho",I127="SIN-RESPALDO"),"SIN-R ","")&amp;IF(AND(E127="hecho",I127="CITA-X"),"CITA-X ","")&amp;IF(AND(E127="hecho",I127="SIN-CITA"),"SIN-C ","")))))</f>
        <v/>
      </c>
      <c r="N127" s="5">
        <f>IF(D127="","",IF(OR(A127="",B127="",E127="",F127=""),"falta qid, modo, tipo o vs_ref",IF(AND(B127="llm",I127&lt;&gt;""),"respaldo no aplica en modo LLM",IF(AND(E127="abstencion",I127&lt;&gt;""),"una abstención no se califica en citas",IF(AND(B127="rag",E127="hecho",I127=""),"falta respaldo","ok")))))</f>
        <v/>
      </c>
    </row>
    <row r="128">
      <c r="A128" s="6" t="n"/>
      <c r="B128" s="6" t="n"/>
      <c r="C128" s="5">
        <f>IF(A128="","",COUNTIFS($A$2:A128,A128,$B$2:B128,B128))</f>
        <v/>
      </c>
      <c r="D128" s="6" t="n"/>
      <c r="E128" s="6" t="n"/>
      <c r="F128" s="6" t="n"/>
      <c r="G128" s="6" t="n"/>
      <c r="H128" s="6" t="n"/>
      <c r="I128" s="6" t="n"/>
      <c r="J128" s="6" t="n"/>
      <c r="K128" s="6" t="n"/>
      <c r="L128" s="6" t="n"/>
      <c r="M128" s="5">
        <f>IF(D128="","",IF(OR(E128="",F128=""),"",IF(TRIM(IF(AND(E128="hecho",F128="INCORRECTA"),"INC ","")&amp;IF(AND(E128="abstencion",F128="INCORRECTA"),"ABS-E ","")&amp;IF(AND(E128="hecho",F128="FUERA_REF",H128="no_resp"),"NO-ABS ","")&amp;IF(AND(E128="hecho",I128="SIN-RESPALDO"),"SIN-R ","")&amp;IF(AND(E128="hecho",I128="CITA-X"),"CITA-X ","")&amp;IF(AND(E128="hecho",I128="SIN-CITA"),"SIN-C ",""))="","-",TRIM(IF(AND(E128="hecho",F128="INCORRECTA"),"INC ","")&amp;IF(AND(E128="abstencion",F128="INCORRECTA"),"ABS-E ","")&amp;IF(AND(E128="hecho",F128="FUERA_REF",H128="no_resp"),"NO-ABS ","")&amp;IF(AND(E128="hecho",I128="SIN-RESPALDO"),"SIN-R ","")&amp;IF(AND(E128="hecho",I128="CITA-X"),"CITA-X ","")&amp;IF(AND(E128="hecho",I128="SIN-CITA"),"SIN-C ","")))))</f>
        <v/>
      </c>
      <c r="N128" s="5">
        <f>IF(D128="","",IF(OR(A128="",B128="",E128="",F128=""),"falta qid, modo, tipo o vs_ref",IF(AND(B128="llm",I128&lt;&gt;""),"respaldo no aplica en modo LLM",IF(AND(E128="abstencion",I128&lt;&gt;""),"una abstención no se califica en citas",IF(AND(B128="rag",E128="hecho",I128=""),"falta respaldo","ok")))))</f>
        <v/>
      </c>
    </row>
    <row r="129">
      <c r="A129" s="6" t="n"/>
      <c r="B129" s="6" t="n"/>
      <c r="C129" s="5">
        <f>IF(A129="","",COUNTIFS($A$2:A129,A129,$B$2:B129,B129))</f>
        <v/>
      </c>
      <c r="D129" s="6" t="n"/>
      <c r="E129" s="6" t="n"/>
      <c r="F129" s="6" t="n"/>
      <c r="G129" s="6" t="n"/>
      <c r="H129" s="6" t="n"/>
      <c r="I129" s="6" t="n"/>
      <c r="J129" s="6" t="n"/>
      <c r="K129" s="6" t="n"/>
      <c r="L129" s="6" t="n"/>
      <c r="M129" s="5">
        <f>IF(D129="","",IF(OR(E129="",F129=""),"",IF(TRIM(IF(AND(E129="hecho",F129="INCORRECTA"),"INC ","")&amp;IF(AND(E129="abstencion",F129="INCORRECTA"),"ABS-E ","")&amp;IF(AND(E129="hecho",F129="FUERA_REF",H129="no_resp"),"NO-ABS ","")&amp;IF(AND(E129="hecho",I129="SIN-RESPALDO"),"SIN-R ","")&amp;IF(AND(E129="hecho",I129="CITA-X"),"CITA-X ","")&amp;IF(AND(E129="hecho",I129="SIN-CITA"),"SIN-C ",""))="","-",TRIM(IF(AND(E129="hecho",F129="INCORRECTA"),"INC ","")&amp;IF(AND(E129="abstencion",F129="INCORRECTA"),"ABS-E ","")&amp;IF(AND(E129="hecho",F129="FUERA_REF",H129="no_resp"),"NO-ABS ","")&amp;IF(AND(E129="hecho",I129="SIN-RESPALDO"),"SIN-R ","")&amp;IF(AND(E129="hecho",I129="CITA-X"),"CITA-X ","")&amp;IF(AND(E129="hecho",I129="SIN-CITA"),"SIN-C ","")))))</f>
        <v/>
      </c>
      <c r="N129" s="5">
        <f>IF(D129="","",IF(OR(A129="",B129="",E129="",F129=""),"falta qid, modo, tipo o vs_ref",IF(AND(B129="llm",I129&lt;&gt;""),"respaldo no aplica en modo LLM",IF(AND(E129="abstencion",I129&lt;&gt;""),"una abstención no se califica en citas",IF(AND(B129="rag",E129="hecho",I129=""),"falta respaldo","ok")))))</f>
        <v/>
      </c>
    </row>
    <row r="130">
      <c r="A130" s="6" t="n"/>
      <c r="B130" s="6" t="n"/>
      <c r="C130" s="5">
        <f>IF(A130="","",COUNTIFS($A$2:A130,A130,$B$2:B130,B130))</f>
        <v/>
      </c>
      <c r="D130" s="6" t="n"/>
      <c r="E130" s="6" t="n"/>
      <c r="F130" s="6" t="n"/>
      <c r="G130" s="6" t="n"/>
      <c r="H130" s="6" t="n"/>
      <c r="I130" s="6" t="n"/>
      <c r="J130" s="6" t="n"/>
      <c r="K130" s="6" t="n"/>
      <c r="L130" s="6" t="n"/>
      <c r="M130" s="5">
        <f>IF(D130="","",IF(OR(E130="",F130=""),"",IF(TRIM(IF(AND(E130="hecho",F130="INCORRECTA"),"INC ","")&amp;IF(AND(E130="abstencion",F130="INCORRECTA"),"ABS-E ","")&amp;IF(AND(E130="hecho",F130="FUERA_REF",H130="no_resp"),"NO-ABS ","")&amp;IF(AND(E130="hecho",I130="SIN-RESPALDO"),"SIN-R ","")&amp;IF(AND(E130="hecho",I130="CITA-X"),"CITA-X ","")&amp;IF(AND(E130="hecho",I130="SIN-CITA"),"SIN-C ",""))="","-",TRIM(IF(AND(E130="hecho",F130="INCORRECTA"),"INC ","")&amp;IF(AND(E130="abstencion",F130="INCORRECTA"),"ABS-E ","")&amp;IF(AND(E130="hecho",F130="FUERA_REF",H130="no_resp"),"NO-ABS ","")&amp;IF(AND(E130="hecho",I130="SIN-RESPALDO"),"SIN-R ","")&amp;IF(AND(E130="hecho",I130="CITA-X"),"CITA-X ","")&amp;IF(AND(E130="hecho",I130="SIN-CITA"),"SIN-C ","")))))</f>
        <v/>
      </c>
      <c r="N130" s="5">
        <f>IF(D130="","",IF(OR(A130="",B130="",E130="",F130=""),"falta qid, modo, tipo o vs_ref",IF(AND(B130="llm",I130&lt;&gt;""),"respaldo no aplica en modo LLM",IF(AND(E130="abstencion",I130&lt;&gt;""),"una abstención no se califica en citas",IF(AND(B130="rag",E130="hecho",I130=""),"falta respaldo","ok")))))</f>
        <v/>
      </c>
    </row>
    <row r="131">
      <c r="A131" s="6" t="n"/>
      <c r="B131" s="6" t="n"/>
      <c r="C131" s="5">
        <f>IF(A131="","",COUNTIFS($A$2:A131,A131,$B$2:B131,B131))</f>
        <v/>
      </c>
      <c r="D131" s="6" t="n"/>
      <c r="E131" s="6" t="n"/>
      <c r="F131" s="6" t="n"/>
      <c r="G131" s="6" t="n"/>
      <c r="H131" s="6" t="n"/>
      <c r="I131" s="6" t="n"/>
      <c r="J131" s="6" t="n"/>
      <c r="K131" s="6" t="n"/>
      <c r="L131" s="6" t="n"/>
      <c r="M131" s="5">
        <f>IF(D131="","",IF(OR(E131="",F131=""),"",IF(TRIM(IF(AND(E131="hecho",F131="INCORRECTA"),"INC ","")&amp;IF(AND(E131="abstencion",F131="INCORRECTA"),"ABS-E ","")&amp;IF(AND(E131="hecho",F131="FUERA_REF",H131="no_resp"),"NO-ABS ","")&amp;IF(AND(E131="hecho",I131="SIN-RESPALDO"),"SIN-R ","")&amp;IF(AND(E131="hecho",I131="CITA-X"),"CITA-X ","")&amp;IF(AND(E131="hecho",I131="SIN-CITA"),"SIN-C ",""))="","-",TRIM(IF(AND(E131="hecho",F131="INCORRECTA"),"INC ","")&amp;IF(AND(E131="abstencion",F131="INCORRECTA"),"ABS-E ","")&amp;IF(AND(E131="hecho",F131="FUERA_REF",H131="no_resp"),"NO-ABS ","")&amp;IF(AND(E131="hecho",I131="SIN-RESPALDO"),"SIN-R ","")&amp;IF(AND(E131="hecho",I131="CITA-X"),"CITA-X ","")&amp;IF(AND(E131="hecho",I131="SIN-CITA"),"SIN-C ","")))))</f>
        <v/>
      </c>
      <c r="N131" s="5">
        <f>IF(D131="","",IF(OR(A131="",B131="",E131="",F131=""),"falta qid, modo, tipo o vs_ref",IF(AND(B131="llm",I131&lt;&gt;""),"respaldo no aplica en modo LLM",IF(AND(E131="abstencion",I131&lt;&gt;""),"una abstención no se califica en citas",IF(AND(B131="rag",E131="hecho",I131=""),"falta respaldo","ok")))))</f>
        <v/>
      </c>
    </row>
    <row r="132">
      <c r="A132" s="6" t="n"/>
      <c r="B132" s="6" t="n"/>
      <c r="C132" s="5">
        <f>IF(A132="","",COUNTIFS($A$2:A132,A132,$B$2:B132,B132))</f>
        <v/>
      </c>
      <c r="D132" s="6" t="n"/>
      <c r="E132" s="6" t="n"/>
      <c r="F132" s="6" t="n"/>
      <c r="G132" s="6" t="n"/>
      <c r="H132" s="6" t="n"/>
      <c r="I132" s="6" t="n"/>
      <c r="J132" s="6" t="n"/>
      <c r="K132" s="6" t="n"/>
      <c r="L132" s="6" t="n"/>
      <c r="M132" s="5">
        <f>IF(D132="","",IF(OR(E132="",F132=""),"",IF(TRIM(IF(AND(E132="hecho",F132="INCORRECTA"),"INC ","")&amp;IF(AND(E132="abstencion",F132="INCORRECTA"),"ABS-E ","")&amp;IF(AND(E132="hecho",F132="FUERA_REF",H132="no_resp"),"NO-ABS ","")&amp;IF(AND(E132="hecho",I132="SIN-RESPALDO"),"SIN-R ","")&amp;IF(AND(E132="hecho",I132="CITA-X"),"CITA-X ","")&amp;IF(AND(E132="hecho",I132="SIN-CITA"),"SIN-C ",""))="","-",TRIM(IF(AND(E132="hecho",F132="INCORRECTA"),"INC ","")&amp;IF(AND(E132="abstencion",F132="INCORRECTA"),"ABS-E ","")&amp;IF(AND(E132="hecho",F132="FUERA_REF",H132="no_resp"),"NO-ABS ","")&amp;IF(AND(E132="hecho",I132="SIN-RESPALDO"),"SIN-R ","")&amp;IF(AND(E132="hecho",I132="CITA-X"),"CITA-X ","")&amp;IF(AND(E132="hecho",I132="SIN-CITA"),"SIN-C ","")))))</f>
        <v/>
      </c>
      <c r="N132" s="5">
        <f>IF(D132="","",IF(OR(A132="",B132="",E132="",F132=""),"falta qid, modo, tipo o vs_ref",IF(AND(B132="llm",I132&lt;&gt;""),"respaldo no aplica en modo LLM",IF(AND(E132="abstencion",I132&lt;&gt;""),"una abstención no se califica en citas",IF(AND(B132="rag",E132="hecho",I132=""),"falta respaldo","ok")))))</f>
        <v/>
      </c>
    </row>
    <row r="133">
      <c r="A133" s="6" t="n"/>
      <c r="B133" s="6" t="n"/>
      <c r="C133" s="5">
        <f>IF(A133="","",COUNTIFS($A$2:A133,A133,$B$2:B133,B133))</f>
        <v/>
      </c>
      <c r="D133" s="6" t="n"/>
      <c r="E133" s="6" t="n"/>
      <c r="F133" s="6" t="n"/>
      <c r="G133" s="6" t="n"/>
      <c r="H133" s="6" t="n"/>
      <c r="I133" s="6" t="n"/>
      <c r="J133" s="6" t="n"/>
      <c r="K133" s="6" t="n"/>
      <c r="L133" s="6" t="n"/>
      <c r="M133" s="5">
        <f>IF(D133="","",IF(OR(E133="",F133=""),"",IF(TRIM(IF(AND(E133="hecho",F133="INCORRECTA"),"INC ","")&amp;IF(AND(E133="abstencion",F133="INCORRECTA"),"ABS-E ","")&amp;IF(AND(E133="hecho",F133="FUERA_REF",H133="no_resp"),"NO-ABS ","")&amp;IF(AND(E133="hecho",I133="SIN-RESPALDO"),"SIN-R ","")&amp;IF(AND(E133="hecho",I133="CITA-X"),"CITA-X ","")&amp;IF(AND(E133="hecho",I133="SIN-CITA"),"SIN-C ",""))="","-",TRIM(IF(AND(E133="hecho",F133="INCORRECTA"),"INC ","")&amp;IF(AND(E133="abstencion",F133="INCORRECTA"),"ABS-E ","")&amp;IF(AND(E133="hecho",F133="FUERA_REF",H133="no_resp"),"NO-ABS ","")&amp;IF(AND(E133="hecho",I133="SIN-RESPALDO"),"SIN-R ","")&amp;IF(AND(E133="hecho",I133="CITA-X"),"CITA-X ","")&amp;IF(AND(E133="hecho",I133="SIN-CITA"),"SIN-C ","")))))</f>
        <v/>
      </c>
      <c r="N133" s="5">
        <f>IF(D133="","",IF(OR(A133="",B133="",E133="",F133=""),"falta qid, modo, tipo o vs_ref",IF(AND(B133="llm",I133&lt;&gt;""),"respaldo no aplica en modo LLM",IF(AND(E133="abstencion",I133&lt;&gt;""),"una abstención no se califica en citas",IF(AND(B133="rag",E133="hecho",I133=""),"falta respaldo","ok")))))</f>
        <v/>
      </c>
    </row>
    <row r="134">
      <c r="A134" s="6" t="n"/>
      <c r="B134" s="6" t="n"/>
      <c r="C134" s="5">
        <f>IF(A134="","",COUNTIFS($A$2:A134,A134,$B$2:B134,B134))</f>
        <v/>
      </c>
      <c r="D134" s="6" t="n"/>
      <c r="E134" s="6" t="n"/>
      <c r="F134" s="6" t="n"/>
      <c r="G134" s="6" t="n"/>
      <c r="H134" s="6" t="n"/>
      <c r="I134" s="6" t="n"/>
      <c r="J134" s="6" t="n"/>
      <c r="K134" s="6" t="n"/>
      <c r="L134" s="6" t="n"/>
      <c r="M134" s="5">
        <f>IF(D134="","",IF(OR(E134="",F134=""),"",IF(TRIM(IF(AND(E134="hecho",F134="INCORRECTA"),"INC ","")&amp;IF(AND(E134="abstencion",F134="INCORRECTA"),"ABS-E ","")&amp;IF(AND(E134="hecho",F134="FUERA_REF",H134="no_resp"),"NO-ABS ","")&amp;IF(AND(E134="hecho",I134="SIN-RESPALDO"),"SIN-R ","")&amp;IF(AND(E134="hecho",I134="CITA-X"),"CITA-X ","")&amp;IF(AND(E134="hecho",I134="SIN-CITA"),"SIN-C ",""))="","-",TRIM(IF(AND(E134="hecho",F134="INCORRECTA"),"INC ","")&amp;IF(AND(E134="abstencion",F134="INCORRECTA"),"ABS-E ","")&amp;IF(AND(E134="hecho",F134="FUERA_REF",H134="no_resp"),"NO-ABS ","")&amp;IF(AND(E134="hecho",I134="SIN-RESPALDO"),"SIN-R ","")&amp;IF(AND(E134="hecho",I134="CITA-X"),"CITA-X ","")&amp;IF(AND(E134="hecho",I134="SIN-CITA"),"SIN-C ","")))))</f>
        <v/>
      </c>
      <c r="N134" s="5">
        <f>IF(D134="","",IF(OR(A134="",B134="",E134="",F134=""),"falta qid, modo, tipo o vs_ref",IF(AND(B134="llm",I134&lt;&gt;""),"respaldo no aplica en modo LLM",IF(AND(E134="abstencion",I134&lt;&gt;""),"una abstención no se califica en citas",IF(AND(B134="rag",E134="hecho",I134=""),"falta respaldo","ok")))))</f>
        <v/>
      </c>
    </row>
    <row r="135">
      <c r="A135" s="6" t="n"/>
      <c r="B135" s="6" t="n"/>
      <c r="C135" s="5">
        <f>IF(A135="","",COUNTIFS($A$2:A135,A135,$B$2:B135,B135))</f>
        <v/>
      </c>
      <c r="D135" s="6" t="n"/>
      <c r="E135" s="6" t="n"/>
      <c r="F135" s="6" t="n"/>
      <c r="G135" s="6" t="n"/>
      <c r="H135" s="6" t="n"/>
      <c r="I135" s="6" t="n"/>
      <c r="J135" s="6" t="n"/>
      <c r="K135" s="6" t="n"/>
      <c r="L135" s="6" t="n"/>
      <c r="M135" s="5">
        <f>IF(D135="","",IF(OR(E135="",F135=""),"",IF(TRIM(IF(AND(E135="hecho",F135="INCORRECTA"),"INC ","")&amp;IF(AND(E135="abstencion",F135="INCORRECTA"),"ABS-E ","")&amp;IF(AND(E135="hecho",F135="FUERA_REF",H135="no_resp"),"NO-ABS ","")&amp;IF(AND(E135="hecho",I135="SIN-RESPALDO"),"SIN-R ","")&amp;IF(AND(E135="hecho",I135="CITA-X"),"CITA-X ","")&amp;IF(AND(E135="hecho",I135="SIN-CITA"),"SIN-C ",""))="","-",TRIM(IF(AND(E135="hecho",F135="INCORRECTA"),"INC ","")&amp;IF(AND(E135="abstencion",F135="INCORRECTA"),"ABS-E ","")&amp;IF(AND(E135="hecho",F135="FUERA_REF",H135="no_resp"),"NO-ABS ","")&amp;IF(AND(E135="hecho",I135="SIN-RESPALDO"),"SIN-R ","")&amp;IF(AND(E135="hecho",I135="CITA-X"),"CITA-X ","")&amp;IF(AND(E135="hecho",I135="SIN-CITA"),"SIN-C ","")))))</f>
        <v/>
      </c>
      <c r="N135" s="5">
        <f>IF(D135="","",IF(OR(A135="",B135="",E135="",F135=""),"falta qid, modo, tipo o vs_ref",IF(AND(B135="llm",I135&lt;&gt;""),"respaldo no aplica en modo LLM",IF(AND(E135="abstencion",I135&lt;&gt;""),"una abstención no se califica en citas",IF(AND(B135="rag",E135="hecho",I135=""),"falta respaldo","ok")))))</f>
        <v/>
      </c>
    </row>
    <row r="136">
      <c r="A136" s="6" t="n"/>
      <c r="B136" s="6" t="n"/>
      <c r="C136" s="5">
        <f>IF(A136="","",COUNTIFS($A$2:A136,A136,$B$2:B136,B136))</f>
        <v/>
      </c>
      <c r="D136" s="6" t="n"/>
      <c r="E136" s="6" t="n"/>
      <c r="F136" s="6" t="n"/>
      <c r="G136" s="6" t="n"/>
      <c r="H136" s="6" t="n"/>
      <c r="I136" s="6" t="n"/>
      <c r="J136" s="6" t="n"/>
      <c r="K136" s="6" t="n"/>
      <c r="L136" s="6" t="n"/>
      <c r="M136" s="5">
        <f>IF(D136="","",IF(OR(E136="",F136=""),"",IF(TRIM(IF(AND(E136="hecho",F136="INCORRECTA"),"INC ","")&amp;IF(AND(E136="abstencion",F136="INCORRECTA"),"ABS-E ","")&amp;IF(AND(E136="hecho",F136="FUERA_REF",H136="no_resp"),"NO-ABS ","")&amp;IF(AND(E136="hecho",I136="SIN-RESPALDO"),"SIN-R ","")&amp;IF(AND(E136="hecho",I136="CITA-X"),"CITA-X ","")&amp;IF(AND(E136="hecho",I136="SIN-CITA"),"SIN-C ",""))="","-",TRIM(IF(AND(E136="hecho",F136="INCORRECTA"),"INC ","")&amp;IF(AND(E136="abstencion",F136="INCORRECTA"),"ABS-E ","")&amp;IF(AND(E136="hecho",F136="FUERA_REF",H136="no_resp"),"NO-ABS ","")&amp;IF(AND(E136="hecho",I136="SIN-RESPALDO"),"SIN-R ","")&amp;IF(AND(E136="hecho",I136="CITA-X"),"CITA-X ","")&amp;IF(AND(E136="hecho",I136="SIN-CITA"),"SIN-C ","")))))</f>
        <v/>
      </c>
      <c r="N136" s="5">
        <f>IF(D136="","",IF(OR(A136="",B136="",E136="",F136=""),"falta qid, modo, tipo o vs_ref",IF(AND(B136="llm",I136&lt;&gt;""),"respaldo no aplica en modo LLM",IF(AND(E136="abstencion",I136&lt;&gt;""),"una abstención no se califica en citas",IF(AND(B136="rag",E136="hecho",I136=""),"falta respaldo","ok")))))</f>
        <v/>
      </c>
    </row>
    <row r="137">
      <c r="A137" s="6" t="n"/>
      <c r="B137" s="6" t="n"/>
      <c r="C137" s="5">
        <f>IF(A137="","",COUNTIFS($A$2:A137,A137,$B$2:B137,B137))</f>
        <v/>
      </c>
      <c r="D137" s="6" t="n"/>
      <c r="E137" s="6" t="n"/>
      <c r="F137" s="6" t="n"/>
      <c r="G137" s="6" t="n"/>
      <c r="H137" s="6" t="n"/>
      <c r="I137" s="6" t="n"/>
      <c r="J137" s="6" t="n"/>
      <c r="K137" s="6" t="n"/>
      <c r="L137" s="6" t="n"/>
      <c r="M137" s="5">
        <f>IF(D137="","",IF(OR(E137="",F137=""),"",IF(TRIM(IF(AND(E137="hecho",F137="INCORRECTA"),"INC ","")&amp;IF(AND(E137="abstencion",F137="INCORRECTA"),"ABS-E ","")&amp;IF(AND(E137="hecho",F137="FUERA_REF",H137="no_resp"),"NO-ABS ","")&amp;IF(AND(E137="hecho",I137="SIN-RESPALDO"),"SIN-R ","")&amp;IF(AND(E137="hecho",I137="CITA-X"),"CITA-X ","")&amp;IF(AND(E137="hecho",I137="SIN-CITA"),"SIN-C ",""))="","-",TRIM(IF(AND(E137="hecho",F137="INCORRECTA"),"INC ","")&amp;IF(AND(E137="abstencion",F137="INCORRECTA"),"ABS-E ","")&amp;IF(AND(E137="hecho",F137="FUERA_REF",H137="no_resp"),"NO-ABS ","")&amp;IF(AND(E137="hecho",I137="SIN-RESPALDO"),"SIN-R ","")&amp;IF(AND(E137="hecho",I137="CITA-X"),"CITA-X ","")&amp;IF(AND(E137="hecho",I137="SIN-CITA"),"SIN-C ","")))))</f>
        <v/>
      </c>
      <c r="N137" s="5">
        <f>IF(D137="","",IF(OR(A137="",B137="",E137="",F137=""),"falta qid, modo, tipo o vs_ref",IF(AND(B137="llm",I137&lt;&gt;""),"respaldo no aplica en modo LLM",IF(AND(E137="abstencion",I137&lt;&gt;""),"una abstención no se califica en citas",IF(AND(B137="rag",E137="hecho",I137=""),"falta respaldo","ok")))))</f>
        <v/>
      </c>
    </row>
    <row r="138">
      <c r="A138" s="6" t="n"/>
      <c r="B138" s="6" t="n"/>
      <c r="C138" s="5">
        <f>IF(A138="","",COUNTIFS($A$2:A138,A138,$B$2:B138,B138))</f>
        <v/>
      </c>
      <c r="D138" s="6" t="n"/>
      <c r="E138" s="6" t="n"/>
      <c r="F138" s="6" t="n"/>
      <c r="G138" s="6" t="n"/>
      <c r="H138" s="6" t="n"/>
      <c r="I138" s="6" t="n"/>
      <c r="J138" s="6" t="n"/>
      <c r="K138" s="6" t="n"/>
      <c r="L138" s="6" t="n"/>
      <c r="M138" s="5">
        <f>IF(D138="","",IF(OR(E138="",F138=""),"",IF(TRIM(IF(AND(E138="hecho",F138="INCORRECTA"),"INC ","")&amp;IF(AND(E138="abstencion",F138="INCORRECTA"),"ABS-E ","")&amp;IF(AND(E138="hecho",F138="FUERA_REF",H138="no_resp"),"NO-ABS ","")&amp;IF(AND(E138="hecho",I138="SIN-RESPALDO"),"SIN-R ","")&amp;IF(AND(E138="hecho",I138="CITA-X"),"CITA-X ","")&amp;IF(AND(E138="hecho",I138="SIN-CITA"),"SIN-C ",""))="","-",TRIM(IF(AND(E138="hecho",F138="INCORRECTA"),"INC ","")&amp;IF(AND(E138="abstencion",F138="INCORRECTA"),"ABS-E ","")&amp;IF(AND(E138="hecho",F138="FUERA_REF",H138="no_resp"),"NO-ABS ","")&amp;IF(AND(E138="hecho",I138="SIN-RESPALDO"),"SIN-R ","")&amp;IF(AND(E138="hecho",I138="CITA-X"),"CITA-X ","")&amp;IF(AND(E138="hecho",I138="SIN-CITA"),"SIN-C ","")))))</f>
        <v/>
      </c>
      <c r="N138" s="5">
        <f>IF(D138="","",IF(OR(A138="",B138="",E138="",F138=""),"falta qid, modo, tipo o vs_ref",IF(AND(B138="llm",I138&lt;&gt;""),"respaldo no aplica en modo LLM",IF(AND(E138="abstencion",I138&lt;&gt;""),"una abstención no se califica en citas",IF(AND(B138="rag",E138="hecho",I138=""),"falta respaldo","ok")))))</f>
        <v/>
      </c>
    </row>
    <row r="139">
      <c r="A139" s="6" t="n"/>
      <c r="B139" s="6" t="n"/>
      <c r="C139" s="5">
        <f>IF(A139="","",COUNTIFS($A$2:A139,A139,$B$2:B139,B139))</f>
        <v/>
      </c>
      <c r="D139" s="6" t="n"/>
      <c r="E139" s="6" t="n"/>
      <c r="F139" s="6" t="n"/>
      <c r="G139" s="6" t="n"/>
      <c r="H139" s="6" t="n"/>
      <c r="I139" s="6" t="n"/>
      <c r="J139" s="6" t="n"/>
      <c r="K139" s="6" t="n"/>
      <c r="L139" s="6" t="n"/>
      <c r="M139" s="5">
        <f>IF(D139="","",IF(OR(E139="",F139=""),"",IF(TRIM(IF(AND(E139="hecho",F139="INCORRECTA"),"INC ","")&amp;IF(AND(E139="abstencion",F139="INCORRECTA"),"ABS-E ","")&amp;IF(AND(E139="hecho",F139="FUERA_REF",H139="no_resp"),"NO-ABS ","")&amp;IF(AND(E139="hecho",I139="SIN-RESPALDO"),"SIN-R ","")&amp;IF(AND(E139="hecho",I139="CITA-X"),"CITA-X ","")&amp;IF(AND(E139="hecho",I139="SIN-CITA"),"SIN-C ",""))="","-",TRIM(IF(AND(E139="hecho",F139="INCORRECTA"),"INC ","")&amp;IF(AND(E139="abstencion",F139="INCORRECTA"),"ABS-E ","")&amp;IF(AND(E139="hecho",F139="FUERA_REF",H139="no_resp"),"NO-ABS ","")&amp;IF(AND(E139="hecho",I139="SIN-RESPALDO"),"SIN-R ","")&amp;IF(AND(E139="hecho",I139="CITA-X"),"CITA-X ","")&amp;IF(AND(E139="hecho",I139="SIN-CITA"),"SIN-C ","")))))</f>
        <v/>
      </c>
      <c r="N139" s="5">
        <f>IF(D139="","",IF(OR(A139="",B139="",E139="",F139=""),"falta qid, modo, tipo o vs_ref",IF(AND(B139="llm",I139&lt;&gt;""),"respaldo no aplica en modo LLM",IF(AND(E139="abstencion",I139&lt;&gt;""),"una abstención no se califica en citas",IF(AND(B139="rag",E139="hecho",I139=""),"falta respaldo","ok")))))</f>
        <v/>
      </c>
    </row>
    <row r="140">
      <c r="A140" s="6" t="n"/>
      <c r="B140" s="6" t="n"/>
      <c r="C140" s="5">
        <f>IF(A140="","",COUNTIFS($A$2:A140,A140,$B$2:B140,B140))</f>
        <v/>
      </c>
      <c r="D140" s="6" t="n"/>
      <c r="E140" s="6" t="n"/>
      <c r="F140" s="6" t="n"/>
      <c r="G140" s="6" t="n"/>
      <c r="H140" s="6" t="n"/>
      <c r="I140" s="6" t="n"/>
      <c r="J140" s="6" t="n"/>
      <c r="K140" s="6" t="n"/>
      <c r="L140" s="6" t="n"/>
      <c r="M140" s="5">
        <f>IF(D140="","",IF(OR(E140="",F140=""),"",IF(TRIM(IF(AND(E140="hecho",F140="INCORRECTA"),"INC ","")&amp;IF(AND(E140="abstencion",F140="INCORRECTA"),"ABS-E ","")&amp;IF(AND(E140="hecho",F140="FUERA_REF",H140="no_resp"),"NO-ABS ","")&amp;IF(AND(E140="hecho",I140="SIN-RESPALDO"),"SIN-R ","")&amp;IF(AND(E140="hecho",I140="CITA-X"),"CITA-X ","")&amp;IF(AND(E140="hecho",I140="SIN-CITA"),"SIN-C ",""))="","-",TRIM(IF(AND(E140="hecho",F140="INCORRECTA"),"INC ","")&amp;IF(AND(E140="abstencion",F140="INCORRECTA"),"ABS-E ","")&amp;IF(AND(E140="hecho",F140="FUERA_REF",H140="no_resp"),"NO-ABS ","")&amp;IF(AND(E140="hecho",I140="SIN-RESPALDO"),"SIN-R ","")&amp;IF(AND(E140="hecho",I140="CITA-X"),"CITA-X ","")&amp;IF(AND(E140="hecho",I140="SIN-CITA"),"SIN-C ","")))))</f>
        <v/>
      </c>
      <c r="N140" s="5">
        <f>IF(D140="","",IF(OR(A140="",B140="",E140="",F140=""),"falta qid, modo, tipo o vs_ref",IF(AND(B140="llm",I140&lt;&gt;""),"respaldo no aplica en modo LLM",IF(AND(E140="abstencion",I140&lt;&gt;""),"una abstención no se califica en citas",IF(AND(B140="rag",E140="hecho",I140=""),"falta respaldo","ok")))))</f>
        <v/>
      </c>
    </row>
    <row r="141">
      <c r="A141" s="6" t="n"/>
      <c r="B141" s="6" t="n"/>
      <c r="C141" s="5">
        <f>IF(A141="","",COUNTIFS($A$2:A141,A141,$B$2:B141,B141))</f>
        <v/>
      </c>
      <c r="D141" s="6" t="n"/>
      <c r="E141" s="6" t="n"/>
      <c r="F141" s="6" t="n"/>
      <c r="G141" s="6" t="n"/>
      <c r="H141" s="6" t="n"/>
      <c r="I141" s="6" t="n"/>
      <c r="J141" s="6" t="n"/>
      <c r="K141" s="6" t="n"/>
      <c r="L141" s="6" t="n"/>
      <c r="M141" s="5">
        <f>IF(D141="","",IF(OR(E141="",F141=""),"",IF(TRIM(IF(AND(E141="hecho",F141="INCORRECTA"),"INC ","")&amp;IF(AND(E141="abstencion",F141="INCORRECTA"),"ABS-E ","")&amp;IF(AND(E141="hecho",F141="FUERA_REF",H141="no_resp"),"NO-ABS ","")&amp;IF(AND(E141="hecho",I141="SIN-RESPALDO"),"SIN-R ","")&amp;IF(AND(E141="hecho",I141="CITA-X"),"CITA-X ","")&amp;IF(AND(E141="hecho",I141="SIN-CITA"),"SIN-C ",""))="","-",TRIM(IF(AND(E141="hecho",F141="INCORRECTA"),"INC ","")&amp;IF(AND(E141="abstencion",F141="INCORRECTA"),"ABS-E ","")&amp;IF(AND(E141="hecho",F141="FUERA_REF",H141="no_resp"),"NO-ABS ","")&amp;IF(AND(E141="hecho",I141="SIN-RESPALDO"),"SIN-R ","")&amp;IF(AND(E141="hecho",I141="CITA-X"),"CITA-X ","")&amp;IF(AND(E141="hecho",I141="SIN-CITA"),"SIN-C ","")))))</f>
        <v/>
      </c>
      <c r="N141" s="5">
        <f>IF(D141="","",IF(OR(A141="",B141="",E141="",F141=""),"falta qid, modo, tipo o vs_ref",IF(AND(B141="llm",I141&lt;&gt;""),"respaldo no aplica en modo LLM",IF(AND(E141="abstencion",I141&lt;&gt;""),"una abstención no se califica en citas",IF(AND(B141="rag",E141="hecho",I141=""),"falta respaldo","ok")))))</f>
        <v/>
      </c>
    </row>
    <row r="142">
      <c r="A142" s="6" t="n"/>
      <c r="B142" s="6" t="n"/>
      <c r="C142" s="5">
        <f>IF(A142="","",COUNTIFS($A$2:A142,A142,$B$2:B142,B142))</f>
        <v/>
      </c>
      <c r="D142" s="6" t="n"/>
      <c r="E142" s="6" t="n"/>
      <c r="F142" s="6" t="n"/>
      <c r="G142" s="6" t="n"/>
      <c r="H142" s="6" t="n"/>
      <c r="I142" s="6" t="n"/>
      <c r="J142" s="6" t="n"/>
      <c r="K142" s="6" t="n"/>
      <c r="L142" s="6" t="n"/>
      <c r="M142" s="5">
        <f>IF(D142="","",IF(OR(E142="",F142=""),"",IF(TRIM(IF(AND(E142="hecho",F142="INCORRECTA"),"INC ","")&amp;IF(AND(E142="abstencion",F142="INCORRECTA"),"ABS-E ","")&amp;IF(AND(E142="hecho",F142="FUERA_REF",H142="no_resp"),"NO-ABS ","")&amp;IF(AND(E142="hecho",I142="SIN-RESPALDO"),"SIN-R ","")&amp;IF(AND(E142="hecho",I142="CITA-X"),"CITA-X ","")&amp;IF(AND(E142="hecho",I142="SIN-CITA"),"SIN-C ",""))="","-",TRIM(IF(AND(E142="hecho",F142="INCORRECTA"),"INC ","")&amp;IF(AND(E142="abstencion",F142="INCORRECTA"),"ABS-E ","")&amp;IF(AND(E142="hecho",F142="FUERA_REF",H142="no_resp"),"NO-ABS ","")&amp;IF(AND(E142="hecho",I142="SIN-RESPALDO"),"SIN-R ","")&amp;IF(AND(E142="hecho",I142="CITA-X"),"CITA-X ","")&amp;IF(AND(E142="hecho",I142="SIN-CITA"),"SIN-C ","")))))</f>
        <v/>
      </c>
      <c r="N142" s="5">
        <f>IF(D142="","",IF(OR(A142="",B142="",E142="",F142=""),"falta qid, modo, tipo o vs_ref",IF(AND(B142="llm",I142&lt;&gt;""),"respaldo no aplica en modo LLM",IF(AND(E142="abstencion",I142&lt;&gt;""),"una abstención no se califica en citas",IF(AND(B142="rag",E142="hecho",I142=""),"falta respaldo","ok")))))</f>
        <v/>
      </c>
    </row>
    <row r="143">
      <c r="A143" s="6" t="n"/>
      <c r="B143" s="6" t="n"/>
      <c r="C143" s="5">
        <f>IF(A143="","",COUNTIFS($A$2:A143,A143,$B$2:B143,B143))</f>
        <v/>
      </c>
      <c r="D143" s="6" t="n"/>
      <c r="E143" s="6" t="n"/>
      <c r="F143" s="6" t="n"/>
      <c r="G143" s="6" t="n"/>
      <c r="H143" s="6" t="n"/>
      <c r="I143" s="6" t="n"/>
      <c r="J143" s="6" t="n"/>
      <c r="K143" s="6" t="n"/>
      <c r="L143" s="6" t="n"/>
      <c r="M143" s="5">
        <f>IF(D143="","",IF(OR(E143="",F143=""),"",IF(TRIM(IF(AND(E143="hecho",F143="INCORRECTA"),"INC ","")&amp;IF(AND(E143="abstencion",F143="INCORRECTA"),"ABS-E ","")&amp;IF(AND(E143="hecho",F143="FUERA_REF",H143="no_resp"),"NO-ABS ","")&amp;IF(AND(E143="hecho",I143="SIN-RESPALDO"),"SIN-R ","")&amp;IF(AND(E143="hecho",I143="CITA-X"),"CITA-X ","")&amp;IF(AND(E143="hecho",I143="SIN-CITA"),"SIN-C ",""))="","-",TRIM(IF(AND(E143="hecho",F143="INCORRECTA"),"INC ","")&amp;IF(AND(E143="abstencion",F143="INCORRECTA"),"ABS-E ","")&amp;IF(AND(E143="hecho",F143="FUERA_REF",H143="no_resp"),"NO-ABS ","")&amp;IF(AND(E143="hecho",I143="SIN-RESPALDO"),"SIN-R ","")&amp;IF(AND(E143="hecho",I143="CITA-X"),"CITA-X ","")&amp;IF(AND(E143="hecho",I143="SIN-CITA"),"SIN-C ","")))))</f>
        <v/>
      </c>
      <c r="N143" s="5">
        <f>IF(D143="","",IF(OR(A143="",B143="",E143="",F143=""),"falta qid, modo, tipo o vs_ref",IF(AND(B143="llm",I143&lt;&gt;""),"respaldo no aplica en modo LLM",IF(AND(E143="abstencion",I143&lt;&gt;""),"una abstención no se califica en citas",IF(AND(B143="rag",E143="hecho",I143=""),"falta respaldo","ok")))))</f>
        <v/>
      </c>
    </row>
    <row r="144">
      <c r="A144" s="6" t="n"/>
      <c r="B144" s="6" t="n"/>
      <c r="C144" s="5">
        <f>IF(A144="","",COUNTIFS($A$2:A144,A144,$B$2:B144,B144))</f>
        <v/>
      </c>
      <c r="D144" s="6" t="n"/>
      <c r="E144" s="6" t="n"/>
      <c r="F144" s="6" t="n"/>
      <c r="G144" s="6" t="n"/>
      <c r="H144" s="6" t="n"/>
      <c r="I144" s="6" t="n"/>
      <c r="J144" s="6" t="n"/>
      <c r="K144" s="6" t="n"/>
      <c r="L144" s="6" t="n"/>
      <c r="M144" s="5">
        <f>IF(D144="","",IF(OR(E144="",F144=""),"",IF(TRIM(IF(AND(E144="hecho",F144="INCORRECTA"),"INC ","")&amp;IF(AND(E144="abstencion",F144="INCORRECTA"),"ABS-E ","")&amp;IF(AND(E144="hecho",F144="FUERA_REF",H144="no_resp"),"NO-ABS ","")&amp;IF(AND(E144="hecho",I144="SIN-RESPALDO"),"SIN-R ","")&amp;IF(AND(E144="hecho",I144="CITA-X"),"CITA-X ","")&amp;IF(AND(E144="hecho",I144="SIN-CITA"),"SIN-C ",""))="","-",TRIM(IF(AND(E144="hecho",F144="INCORRECTA"),"INC ","")&amp;IF(AND(E144="abstencion",F144="INCORRECTA"),"ABS-E ","")&amp;IF(AND(E144="hecho",F144="FUERA_REF",H144="no_resp"),"NO-ABS ","")&amp;IF(AND(E144="hecho",I144="SIN-RESPALDO"),"SIN-R ","")&amp;IF(AND(E144="hecho",I144="CITA-X"),"CITA-X ","")&amp;IF(AND(E144="hecho",I144="SIN-CITA"),"SIN-C ","")))))</f>
        <v/>
      </c>
      <c r="N144" s="5">
        <f>IF(D144="","",IF(OR(A144="",B144="",E144="",F144=""),"falta qid, modo, tipo o vs_ref",IF(AND(B144="llm",I144&lt;&gt;""),"respaldo no aplica en modo LLM",IF(AND(E144="abstencion",I144&lt;&gt;""),"una abstención no se califica en citas",IF(AND(B144="rag",E144="hecho",I144=""),"falta respaldo","ok")))))</f>
        <v/>
      </c>
    </row>
    <row r="145">
      <c r="A145" s="6" t="n"/>
      <c r="B145" s="6" t="n"/>
      <c r="C145" s="5">
        <f>IF(A145="","",COUNTIFS($A$2:A145,A145,$B$2:B145,B145))</f>
        <v/>
      </c>
      <c r="D145" s="6" t="n"/>
      <c r="E145" s="6" t="n"/>
      <c r="F145" s="6" t="n"/>
      <c r="G145" s="6" t="n"/>
      <c r="H145" s="6" t="n"/>
      <c r="I145" s="6" t="n"/>
      <c r="J145" s="6" t="n"/>
      <c r="K145" s="6" t="n"/>
      <c r="L145" s="6" t="n"/>
      <c r="M145" s="5">
        <f>IF(D145="","",IF(OR(E145="",F145=""),"",IF(TRIM(IF(AND(E145="hecho",F145="INCORRECTA"),"INC ","")&amp;IF(AND(E145="abstencion",F145="INCORRECTA"),"ABS-E ","")&amp;IF(AND(E145="hecho",F145="FUERA_REF",H145="no_resp"),"NO-ABS ","")&amp;IF(AND(E145="hecho",I145="SIN-RESPALDO"),"SIN-R ","")&amp;IF(AND(E145="hecho",I145="CITA-X"),"CITA-X ","")&amp;IF(AND(E145="hecho",I145="SIN-CITA"),"SIN-C ",""))="","-",TRIM(IF(AND(E145="hecho",F145="INCORRECTA"),"INC ","")&amp;IF(AND(E145="abstencion",F145="INCORRECTA"),"ABS-E ","")&amp;IF(AND(E145="hecho",F145="FUERA_REF",H145="no_resp"),"NO-ABS ","")&amp;IF(AND(E145="hecho",I145="SIN-RESPALDO"),"SIN-R ","")&amp;IF(AND(E145="hecho",I145="CITA-X"),"CITA-X ","")&amp;IF(AND(E145="hecho",I145="SIN-CITA"),"SIN-C ","")))))</f>
        <v/>
      </c>
      <c r="N145" s="5">
        <f>IF(D145="","",IF(OR(A145="",B145="",E145="",F145=""),"falta qid, modo, tipo o vs_ref",IF(AND(B145="llm",I145&lt;&gt;""),"respaldo no aplica en modo LLM",IF(AND(E145="abstencion",I145&lt;&gt;""),"una abstención no se califica en citas",IF(AND(B145="rag",E145="hecho",I145=""),"falta respaldo","ok")))))</f>
        <v/>
      </c>
    </row>
    <row r="146">
      <c r="A146" s="6" t="n"/>
      <c r="B146" s="6" t="n"/>
      <c r="C146" s="5">
        <f>IF(A146="","",COUNTIFS($A$2:A146,A146,$B$2:B146,B146))</f>
        <v/>
      </c>
      <c r="D146" s="6" t="n"/>
      <c r="E146" s="6" t="n"/>
      <c r="F146" s="6" t="n"/>
      <c r="G146" s="6" t="n"/>
      <c r="H146" s="6" t="n"/>
      <c r="I146" s="6" t="n"/>
      <c r="J146" s="6" t="n"/>
      <c r="K146" s="6" t="n"/>
      <c r="L146" s="6" t="n"/>
      <c r="M146" s="5">
        <f>IF(D146="","",IF(OR(E146="",F146=""),"",IF(TRIM(IF(AND(E146="hecho",F146="INCORRECTA"),"INC ","")&amp;IF(AND(E146="abstencion",F146="INCORRECTA"),"ABS-E ","")&amp;IF(AND(E146="hecho",F146="FUERA_REF",H146="no_resp"),"NO-ABS ","")&amp;IF(AND(E146="hecho",I146="SIN-RESPALDO"),"SIN-R ","")&amp;IF(AND(E146="hecho",I146="CITA-X"),"CITA-X ","")&amp;IF(AND(E146="hecho",I146="SIN-CITA"),"SIN-C ",""))="","-",TRIM(IF(AND(E146="hecho",F146="INCORRECTA"),"INC ","")&amp;IF(AND(E146="abstencion",F146="INCORRECTA"),"ABS-E ","")&amp;IF(AND(E146="hecho",F146="FUERA_REF",H146="no_resp"),"NO-ABS ","")&amp;IF(AND(E146="hecho",I146="SIN-RESPALDO"),"SIN-R ","")&amp;IF(AND(E146="hecho",I146="CITA-X"),"CITA-X ","")&amp;IF(AND(E146="hecho",I146="SIN-CITA"),"SIN-C ","")))))</f>
        <v/>
      </c>
      <c r="N146" s="5">
        <f>IF(D146="","",IF(OR(A146="",B146="",E146="",F146=""),"falta qid, modo, tipo o vs_ref",IF(AND(B146="llm",I146&lt;&gt;""),"respaldo no aplica en modo LLM",IF(AND(E146="abstencion",I146&lt;&gt;""),"una abstención no se califica en citas",IF(AND(B146="rag",E146="hecho",I146=""),"falta respaldo","ok")))))</f>
        <v/>
      </c>
    </row>
    <row r="147">
      <c r="A147" s="6" t="n"/>
      <c r="B147" s="6" t="n"/>
      <c r="C147" s="5">
        <f>IF(A147="","",COUNTIFS($A$2:A147,A147,$B$2:B147,B147))</f>
        <v/>
      </c>
      <c r="D147" s="6" t="n"/>
      <c r="E147" s="6" t="n"/>
      <c r="F147" s="6" t="n"/>
      <c r="G147" s="6" t="n"/>
      <c r="H147" s="6" t="n"/>
      <c r="I147" s="6" t="n"/>
      <c r="J147" s="6" t="n"/>
      <c r="K147" s="6" t="n"/>
      <c r="L147" s="6" t="n"/>
      <c r="M147" s="5">
        <f>IF(D147="","",IF(OR(E147="",F147=""),"",IF(TRIM(IF(AND(E147="hecho",F147="INCORRECTA"),"INC ","")&amp;IF(AND(E147="abstencion",F147="INCORRECTA"),"ABS-E ","")&amp;IF(AND(E147="hecho",F147="FUERA_REF",H147="no_resp"),"NO-ABS ","")&amp;IF(AND(E147="hecho",I147="SIN-RESPALDO"),"SIN-R ","")&amp;IF(AND(E147="hecho",I147="CITA-X"),"CITA-X ","")&amp;IF(AND(E147="hecho",I147="SIN-CITA"),"SIN-C ",""))="","-",TRIM(IF(AND(E147="hecho",F147="INCORRECTA"),"INC ","")&amp;IF(AND(E147="abstencion",F147="INCORRECTA"),"ABS-E ","")&amp;IF(AND(E147="hecho",F147="FUERA_REF",H147="no_resp"),"NO-ABS ","")&amp;IF(AND(E147="hecho",I147="SIN-RESPALDO"),"SIN-R ","")&amp;IF(AND(E147="hecho",I147="CITA-X"),"CITA-X ","")&amp;IF(AND(E147="hecho",I147="SIN-CITA"),"SIN-C ","")))))</f>
        <v/>
      </c>
      <c r="N147" s="5">
        <f>IF(D147="","",IF(OR(A147="",B147="",E147="",F147=""),"falta qid, modo, tipo o vs_ref",IF(AND(B147="llm",I147&lt;&gt;""),"respaldo no aplica en modo LLM",IF(AND(E147="abstencion",I147&lt;&gt;""),"una abstención no se califica en citas",IF(AND(B147="rag",E147="hecho",I147=""),"falta respaldo","ok")))))</f>
        <v/>
      </c>
    </row>
    <row r="148">
      <c r="A148" s="6" t="n"/>
      <c r="B148" s="6" t="n"/>
      <c r="C148" s="5">
        <f>IF(A148="","",COUNTIFS($A$2:A148,A148,$B$2:B148,B148))</f>
        <v/>
      </c>
      <c r="D148" s="6" t="n"/>
      <c r="E148" s="6" t="n"/>
      <c r="F148" s="6" t="n"/>
      <c r="G148" s="6" t="n"/>
      <c r="H148" s="6" t="n"/>
      <c r="I148" s="6" t="n"/>
      <c r="J148" s="6" t="n"/>
      <c r="K148" s="6" t="n"/>
      <c r="L148" s="6" t="n"/>
      <c r="M148" s="5">
        <f>IF(D148="","",IF(OR(E148="",F148=""),"",IF(TRIM(IF(AND(E148="hecho",F148="INCORRECTA"),"INC ","")&amp;IF(AND(E148="abstencion",F148="INCORRECTA"),"ABS-E ","")&amp;IF(AND(E148="hecho",F148="FUERA_REF",H148="no_resp"),"NO-ABS ","")&amp;IF(AND(E148="hecho",I148="SIN-RESPALDO"),"SIN-R ","")&amp;IF(AND(E148="hecho",I148="CITA-X"),"CITA-X ","")&amp;IF(AND(E148="hecho",I148="SIN-CITA"),"SIN-C ",""))="","-",TRIM(IF(AND(E148="hecho",F148="INCORRECTA"),"INC ","")&amp;IF(AND(E148="abstencion",F148="INCORRECTA"),"ABS-E ","")&amp;IF(AND(E148="hecho",F148="FUERA_REF",H148="no_resp"),"NO-ABS ","")&amp;IF(AND(E148="hecho",I148="SIN-RESPALDO"),"SIN-R ","")&amp;IF(AND(E148="hecho",I148="CITA-X"),"CITA-X ","")&amp;IF(AND(E148="hecho",I148="SIN-CITA"),"SIN-C ","")))))</f>
        <v/>
      </c>
      <c r="N148" s="5">
        <f>IF(D148="","",IF(OR(A148="",B148="",E148="",F148=""),"falta qid, modo, tipo o vs_ref",IF(AND(B148="llm",I148&lt;&gt;""),"respaldo no aplica en modo LLM",IF(AND(E148="abstencion",I148&lt;&gt;""),"una abstención no se califica en citas",IF(AND(B148="rag",E148="hecho",I148=""),"falta respaldo","ok")))))</f>
        <v/>
      </c>
    </row>
    <row r="149">
      <c r="A149" s="6" t="n"/>
      <c r="B149" s="6" t="n"/>
      <c r="C149" s="5">
        <f>IF(A149="","",COUNTIFS($A$2:A149,A149,$B$2:B149,B149))</f>
        <v/>
      </c>
      <c r="D149" s="6" t="n"/>
      <c r="E149" s="6" t="n"/>
      <c r="F149" s="6" t="n"/>
      <c r="G149" s="6" t="n"/>
      <c r="H149" s="6" t="n"/>
      <c r="I149" s="6" t="n"/>
      <c r="J149" s="6" t="n"/>
      <c r="K149" s="6" t="n"/>
      <c r="L149" s="6" t="n"/>
      <c r="M149" s="5">
        <f>IF(D149="","",IF(OR(E149="",F149=""),"",IF(TRIM(IF(AND(E149="hecho",F149="INCORRECTA"),"INC ","")&amp;IF(AND(E149="abstencion",F149="INCORRECTA"),"ABS-E ","")&amp;IF(AND(E149="hecho",F149="FUERA_REF",H149="no_resp"),"NO-ABS ","")&amp;IF(AND(E149="hecho",I149="SIN-RESPALDO"),"SIN-R ","")&amp;IF(AND(E149="hecho",I149="CITA-X"),"CITA-X ","")&amp;IF(AND(E149="hecho",I149="SIN-CITA"),"SIN-C ",""))="","-",TRIM(IF(AND(E149="hecho",F149="INCORRECTA"),"INC ","")&amp;IF(AND(E149="abstencion",F149="INCORRECTA"),"ABS-E ","")&amp;IF(AND(E149="hecho",F149="FUERA_REF",H149="no_resp"),"NO-ABS ","")&amp;IF(AND(E149="hecho",I149="SIN-RESPALDO"),"SIN-R ","")&amp;IF(AND(E149="hecho",I149="CITA-X"),"CITA-X ","")&amp;IF(AND(E149="hecho",I149="SIN-CITA"),"SIN-C ","")))))</f>
        <v/>
      </c>
      <c r="N149" s="5">
        <f>IF(D149="","",IF(OR(A149="",B149="",E149="",F149=""),"falta qid, modo, tipo o vs_ref",IF(AND(B149="llm",I149&lt;&gt;""),"respaldo no aplica en modo LLM",IF(AND(E149="abstencion",I149&lt;&gt;""),"una abstención no se califica en citas",IF(AND(B149="rag",E149="hecho",I149=""),"falta respaldo","ok")))))</f>
        <v/>
      </c>
    </row>
    <row r="150">
      <c r="A150" s="6" t="n"/>
      <c r="B150" s="6" t="n"/>
      <c r="C150" s="5">
        <f>IF(A150="","",COUNTIFS($A$2:A150,A150,$B$2:B150,B150))</f>
        <v/>
      </c>
      <c r="D150" s="6" t="n"/>
      <c r="E150" s="6" t="n"/>
      <c r="F150" s="6" t="n"/>
      <c r="G150" s="6" t="n"/>
      <c r="H150" s="6" t="n"/>
      <c r="I150" s="6" t="n"/>
      <c r="J150" s="6" t="n"/>
      <c r="K150" s="6" t="n"/>
      <c r="L150" s="6" t="n"/>
      <c r="M150" s="5">
        <f>IF(D150="","",IF(OR(E150="",F150=""),"",IF(TRIM(IF(AND(E150="hecho",F150="INCORRECTA"),"INC ","")&amp;IF(AND(E150="abstencion",F150="INCORRECTA"),"ABS-E ","")&amp;IF(AND(E150="hecho",F150="FUERA_REF",H150="no_resp"),"NO-ABS ","")&amp;IF(AND(E150="hecho",I150="SIN-RESPALDO"),"SIN-R ","")&amp;IF(AND(E150="hecho",I150="CITA-X"),"CITA-X ","")&amp;IF(AND(E150="hecho",I150="SIN-CITA"),"SIN-C ",""))="","-",TRIM(IF(AND(E150="hecho",F150="INCORRECTA"),"INC ","")&amp;IF(AND(E150="abstencion",F150="INCORRECTA"),"ABS-E ","")&amp;IF(AND(E150="hecho",F150="FUERA_REF",H150="no_resp"),"NO-ABS ","")&amp;IF(AND(E150="hecho",I150="SIN-RESPALDO"),"SIN-R ","")&amp;IF(AND(E150="hecho",I150="CITA-X"),"CITA-X ","")&amp;IF(AND(E150="hecho",I150="SIN-CITA"),"SIN-C ","")))))</f>
        <v/>
      </c>
      <c r="N150" s="5">
        <f>IF(D150="","",IF(OR(A150="",B150="",E150="",F150=""),"falta qid, modo, tipo o vs_ref",IF(AND(B150="llm",I150&lt;&gt;""),"respaldo no aplica en modo LLM",IF(AND(E150="abstencion",I150&lt;&gt;""),"una abstención no se califica en citas",IF(AND(B150="rag",E150="hecho",I150=""),"falta respaldo","ok")))))</f>
        <v/>
      </c>
    </row>
    <row r="151">
      <c r="A151" s="6" t="n"/>
      <c r="B151" s="6" t="n"/>
      <c r="C151" s="5">
        <f>IF(A151="","",COUNTIFS($A$2:A151,A151,$B$2:B151,B151))</f>
        <v/>
      </c>
      <c r="D151" s="6" t="n"/>
      <c r="E151" s="6" t="n"/>
      <c r="F151" s="6" t="n"/>
      <c r="G151" s="6" t="n"/>
      <c r="H151" s="6" t="n"/>
      <c r="I151" s="6" t="n"/>
      <c r="J151" s="6" t="n"/>
      <c r="K151" s="6" t="n"/>
      <c r="L151" s="6" t="n"/>
      <c r="M151" s="5">
        <f>IF(D151="","",IF(OR(E151="",F151=""),"",IF(TRIM(IF(AND(E151="hecho",F151="INCORRECTA"),"INC ","")&amp;IF(AND(E151="abstencion",F151="INCORRECTA"),"ABS-E ","")&amp;IF(AND(E151="hecho",F151="FUERA_REF",H151="no_resp"),"NO-ABS ","")&amp;IF(AND(E151="hecho",I151="SIN-RESPALDO"),"SIN-R ","")&amp;IF(AND(E151="hecho",I151="CITA-X"),"CITA-X ","")&amp;IF(AND(E151="hecho",I151="SIN-CITA"),"SIN-C ",""))="","-",TRIM(IF(AND(E151="hecho",F151="INCORRECTA"),"INC ","")&amp;IF(AND(E151="abstencion",F151="INCORRECTA"),"ABS-E ","")&amp;IF(AND(E151="hecho",F151="FUERA_REF",H151="no_resp"),"NO-ABS ","")&amp;IF(AND(E151="hecho",I151="SIN-RESPALDO"),"SIN-R ","")&amp;IF(AND(E151="hecho",I151="CITA-X"),"CITA-X ","")&amp;IF(AND(E151="hecho",I151="SIN-CITA"),"SIN-C ","")))))</f>
        <v/>
      </c>
      <c r="N151" s="5">
        <f>IF(D151="","",IF(OR(A151="",B151="",E151="",F151=""),"falta qid, modo, tipo o vs_ref",IF(AND(B151="llm",I151&lt;&gt;""),"respaldo no aplica en modo LLM",IF(AND(E151="abstencion",I151&lt;&gt;""),"una abstención no se califica en citas",IF(AND(B151="rag",E151="hecho",I151=""),"falta respaldo","ok")))))</f>
        <v/>
      </c>
    </row>
    <row r="152">
      <c r="A152" s="6" t="n"/>
      <c r="B152" s="6" t="n"/>
      <c r="C152" s="5">
        <f>IF(A152="","",COUNTIFS($A$2:A152,A152,$B$2:B152,B152))</f>
        <v/>
      </c>
      <c r="D152" s="6" t="n"/>
      <c r="E152" s="6" t="n"/>
      <c r="F152" s="6" t="n"/>
      <c r="G152" s="6" t="n"/>
      <c r="H152" s="6" t="n"/>
      <c r="I152" s="6" t="n"/>
      <c r="J152" s="6" t="n"/>
      <c r="K152" s="6" t="n"/>
      <c r="L152" s="6" t="n"/>
      <c r="M152" s="5">
        <f>IF(D152="","",IF(OR(E152="",F152=""),"",IF(TRIM(IF(AND(E152="hecho",F152="INCORRECTA"),"INC ","")&amp;IF(AND(E152="abstencion",F152="INCORRECTA"),"ABS-E ","")&amp;IF(AND(E152="hecho",F152="FUERA_REF",H152="no_resp"),"NO-ABS ","")&amp;IF(AND(E152="hecho",I152="SIN-RESPALDO"),"SIN-R ","")&amp;IF(AND(E152="hecho",I152="CITA-X"),"CITA-X ","")&amp;IF(AND(E152="hecho",I152="SIN-CITA"),"SIN-C ",""))="","-",TRIM(IF(AND(E152="hecho",F152="INCORRECTA"),"INC ","")&amp;IF(AND(E152="abstencion",F152="INCORRECTA"),"ABS-E ","")&amp;IF(AND(E152="hecho",F152="FUERA_REF",H152="no_resp"),"NO-ABS ","")&amp;IF(AND(E152="hecho",I152="SIN-RESPALDO"),"SIN-R ","")&amp;IF(AND(E152="hecho",I152="CITA-X"),"CITA-X ","")&amp;IF(AND(E152="hecho",I152="SIN-CITA"),"SIN-C ","")))))</f>
        <v/>
      </c>
      <c r="N152" s="5">
        <f>IF(D152="","",IF(OR(A152="",B152="",E152="",F152=""),"falta qid, modo, tipo o vs_ref",IF(AND(B152="llm",I152&lt;&gt;""),"respaldo no aplica en modo LLM",IF(AND(E152="abstencion",I152&lt;&gt;""),"una abstención no se califica en citas",IF(AND(B152="rag",E152="hecho",I152=""),"falta respaldo","ok")))))</f>
        <v/>
      </c>
    </row>
    <row r="153">
      <c r="A153" s="6" t="n"/>
      <c r="B153" s="6" t="n"/>
      <c r="C153" s="5">
        <f>IF(A153="","",COUNTIFS($A$2:A153,A153,$B$2:B153,B153))</f>
        <v/>
      </c>
      <c r="D153" s="6" t="n"/>
      <c r="E153" s="6" t="n"/>
      <c r="F153" s="6" t="n"/>
      <c r="G153" s="6" t="n"/>
      <c r="H153" s="6" t="n"/>
      <c r="I153" s="6" t="n"/>
      <c r="J153" s="6" t="n"/>
      <c r="K153" s="6" t="n"/>
      <c r="L153" s="6" t="n"/>
      <c r="M153" s="5">
        <f>IF(D153="","",IF(OR(E153="",F153=""),"",IF(TRIM(IF(AND(E153="hecho",F153="INCORRECTA"),"INC ","")&amp;IF(AND(E153="abstencion",F153="INCORRECTA"),"ABS-E ","")&amp;IF(AND(E153="hecho",F153="FUERA_REF",H153="no_resp"),"NO-ABS ","")&amp;IF(AND(E153="hecho",I153="SIN-RESPALDO"),"SIN-R ","")&amp;IF(AND(E153="hecho",I153="CITA-X"),"CITA-X ","")&amp;IF(AND(E153="hecho",I153="SIN-CITA"),"SIN-C ",""))="","-",TRIM(IF(AND(E153="hecho",F153="INCORRECTA"),"INC ","")&amp;IF(AND(E153="abstencion",F153="INCORRECTA"),"ABS-E ","")&amp;IF(AND(E153="hecho",F153="FUERA_REF",H153="no_resp"),"NO-ABS ","")&amp;IF(AND(E153="hecho",I153="SIN-RESPALDO"),"SIN-R ","")&amp;IF(AND(E153="hecho",I153="CITA-X"),"CITA-X ","")&amp;IF(AND(E153="hecho",I153="SIN-CITA"),"SIN-C ","")))))</f>
        <v/>
      </c>
      <c r="N153" s="5">
        <f>IF(D153="","",IF(OR(A153="",B153="",E153="",F153=""),"falta qid, modo, tipo o vs_ref",IF(AND(B153="llm",I153&lt;&gt;""),"respaldo no aplica en modo LLM",IF(AND(E153="abstencion",I153&lt;&gt;""),"una abstención no se califica en citas",IF(AND(B153="rag",E153="hecho",I153=""),"falta respaldo","ok")))))</f>
        <v/>
      </c>
    </row>
    <row r="154">
      <c r="A154" s="6" t="n"/>
      <c r="B154" s="6" t="n"/>
      <c r="C154" s="5">
        <f>IF(A154="","",COUNTIFS($A$2:A154,A154,$B$2:B154,B154))</f>
        <v/>
      </c>
      <c r="D154" s="6" t="n"/>
      <c r="E154" s="6" t="n"/>
      <c r="F154" s="6" t="n"/>
      <c r="G154" s="6" t="n"/>
      <c r="H154" s="6" t="n"/>
      <c r="I154" s="6" t="n"/>
      <c r="J154" s="6" t="n"/>
      <c r="K154" s="6" t="n"/>
      <c r="L154" s="6" t="n"/>
      <c r="M154" s="5">
        <f>IF(D154="","",IF(OR(E154="",F154=""),"",IF(TRIM(IF(AND(E154="hecho",F154="INCORRECTA"),"INC ","")&amp;IF(AND(E154="abstencion",F154="INCORRECTA"),"ABS-E ","")&amp;IF(AND(E154="hecho",F154="FUERA_REF",H154="no_resp"),"NO-ABS ","")&amp;IF(AND(E154="hecho",I154="SIN-RESPALDO"),"SIN-R ","")&amp;IF(AND(E154="hecho",I154="CITA-X"),"CITA-X ","")&amp;IF(AND(E154="hecho",I154="SIN-CITA"),"SIN-C ",""))="","-",TRIM(IF(AND(E154="hecho",F154="INCORRECTA"),"INC ","")&amp;IF(AND(E154="abstencion",F154="INCORRECTA"),"ABS-E ","")&amp;IF(AND(E154="hecho",F154="FUERA_REF",H154="no_resp"),"NO-ABS ","")&amp;IF(AND(E154="hecho",I154="SIN-RESPALDO"),"SIN-R ","")&amp;IF(AND(E154="hecho",I154="CITA-X"),"CITA-X ","")&amp;IF(AND(E154="hecho",I154="SIN-CITA"),"SIN-C ","")))))</f>
        <v/>
      </c>
      <c r="N154" s="5">
        <f>IF(D154="","",IF(OR(A154="",B154="",E154="",F154=""),"falta qid, modo, tipo o vs_ref",IF(AND(B154="llm",I154&lt;&gt;""),"respaldo no aplica en modo LLM",IF(AND(E154="abstencion",I154&lt;&gt;""),"una abstención no se califica en citas",IF(AND(B154="rag",E154="hecho",I154=""),"falta respaldo","ok")))))</f>
        <v/>
      </c>
    </row>
    <row r="155">
      <c r="A155" s="6" t="n"/>
      <c r="B155" s="6" t="n"/>
      <c r="C155" s="5">
        <f>IF(A155="","",COUNTIFS($A$2:A155,A155,$B$2:B155,B155))</f>
        <v/>
      </c>
      <c r="D155" s="6" t="n"/>
      <c r="E155" s="6" t="n"/>
      <c r="F155" s="6" t="n"/>
      <c r="G155" s="6" t="n"/>
      <c r="H155" s="6" t="n"/>
      <c r="I155" s="6" t="n"/>
      <c r="J155" s="6" t="n"/>
      <c r="K155" s="6" t="n"/>
      <c r="L155" s="6" t="n"/>
      <c r="M155" s="5">
        <f>IF(D155="","",IF(OR(E155="",F155=""),"",IF(TRIM(IF(AND(E155="hecho",F155="INCORRECTA"),"INC ","")&amp;IF(AND(E155="abstencion",F155="INCORRECTA"),"ABS-E ","")&amp;IF(AND(E155="hecho",F155="FUERA_REF",H155="no_resp"),"NO-ABS ","")&amp;IF(AND(E155="hecho",I155="SIN-RESPALDO"),"SIN-R ","")&amp;IF(AND(E155="hecho",I155="CITA-X"),"CITA-X ","")&amp;IF(AND(E155="hecho",I155="SIN-CITA"),"SIN-C ",""))="","-",TRIM(IF(AND(E155="hecho",F155="INCORRECTA"),"INC ","")&amp;IF(AND(E155="abstencion",F155="INCORRECTA"),"ABS-E ","")&amp;IF(AND(E155="hecho",F155="FUERA_REF",H155="no_resp"),"NO-ABS ","")&amp;IF(AND(E155="hecho",I155="SIN-RESPALDO"),"SIN-R ","")&amp;IF(AND(E155="hecho",I155="CITA-X"),"CITA-X ","")&amp;IF(AND(E155="hecho",I155="SIN-CITA"),"SIN-C ","")))))</f>
        <v/>
      </c>
      <c r="N155" s="5">
        <f>IF(D155="","",IF(OR(A155="",B155="",E155="",F155=""),"falta qid, modo, tipo o vs_ref",IF(AND(B155="llm",I155&lt;&gt;""),"respaldo no aplica en modo LLM",IF(AND(E155="abstencion",I155&lt;&gt;""),"una abstención no se califica en citas",IF(AND(B155="rag",E155="hecho",I155=""),"falta respaldo","ok")))))</f>
        <v/>
      </c>
    </row>
    <row r="156">
      <c r="A156" s="6" t="n"/>
      <c r="B156" s="6" t="n"/>
      <c r="C156" s="5">
        <f>IF(A156="","",COUNTIFS($A$2:A156,A156,$B$2:B156,B156))</f>
        <v/>
      </c>
      <c r="D156" s="6" t="n"/>
      <c r="E156" s="6" t="n"/>
      <c r="F156" s="6" t="n"/>
      <c r="G156" s="6" t="n"/>
      <c r="H156" s="6" t="n"/>
      <c r="I156" s="6" t="n"/>
      <c r="J156" s="6" t="n"/>
      <c r="K156" s="6" t="n"/>
      <c r="L156" s="6" t="n"/>
      <c r="M156" s="5">
        <f>IF(D156="","",IF(OR(E156="",F156=""),"",IF(TRIM(IF(AND(E156="hecho",F156="INCORRECTA"),"INC ","")&amp;IF(AND(E156="abstencion",F156="INCORRECTA"),"ABS-E ","")&amp;IF(AND(E156="hecho",F156="FUERA_REF",H156="no_resp"),"NO-ABS ","")&amp;IF(AND(E156="hecho",I156="SIN-RESPALDO"),"SIN-R ","")&amp;IF(AND(E156="hecho",I156="CITA-X"),"CITA-X ","")&amp;IF(AND(E156="hecho",I156="SIN-CITA"),"SIN-C ",""))="","-",TRIM(IF(AND(E156="hecho",F156="INCORRECTA"),"INC ","")&amp;IF(AND(E156="abstencion",F156="INCORRECTA"),"ABS-E ","")&amp;IF(AND(E156="hecho",F156="FUERA_REF",H156="no_resp"),"NO-ABS ","")&amp;IF(AND(E156="hecho",I156="SIN-RESPALDO"),"SIN-R ","")&amp;IF(AND(E156="hecho",I156="CITA-X"),"CITA-X ","")&amp;IF(AND(E156="hecho",I156="SIN-CITA"),"SIN-C ","")))))</f>
        <v/>
      </c>
      <c r="N156" s="5">
        <f>IF(D156="","",IF(OR(A156="",B156="",E156="",F156=""),"falta qid, modo, tipo o vs_ref",IF(AND(B156="llm",I156&lt;&gt;""),"respaldo no aplica en modo LLM",IF(AND(E156="abstencion",I156&lt;&gt;""),"una abstención no se califica en citas",IF(AND(B156="rag",E156="hecho",I156=""),"falta respaldo","ok")))))</f>
        <v/>
      </c>
    </row>
    <row r="157">
      <c r="A157" s="6" t="n"/>
      <c r="B157" s="6" t="n"/>
      <c r="C157" s="5">
        <f>IF(A157="","",COUNTIFS($A$2:A157,A157,$B$2:B157,B157))</f>
        <v/>
      </c>
      <c r="D157" s="6" t="n"/>
      <c r="E157" s="6" t="n"/>
      <c r="F157" s="6" t="n"/>
      <c r="G157" s="6" t="n"/>
      <c r="H157" s="6" t="n"/>
      <c r="I157" s="6" t="n"/>
      <c r="J157" s="6" t="n"/>
      <c r="K157" s="6" t="n"/>
      <c r="L157" s="6" t="n"/>
      <c r="M157" s="5">
        <f>IF(D157="","",IF(OR(E157="",F157=""),"",IF(TRIM(IF(AND(E157="hecho",F157="INCORRECTA"),"INC ","")&amp;IF(AND(E157="abstencion",F157="INCORRECTA"),"ABS-E ","")&amp;IF(AND(E157="hecho",F157="FUERA_REF",H157="no_resp"),"NO-ABS ","")&amp;IF(AND(E157="hecho",I157="SIN-RESPALDO"),"SIN-R ","")&amp;IF(AND(E157="hecho",I157="CITA-X"),"CITA-X ","")&amp;IF(AND(E157="hecho",I157="SIN-CITA"),"SIN-C ",""))="","-",TRIM(IF(AND(E157="hecho",F157="INCORRECTA"),"INC ","")&amp;IF(AND(E157="abstencion",F157="INCORRECTA"),"ABS-E ","")&amp;IF(AND(E157="hecho",F157="FUERA_REF",H157="no_resp"),"NO-ABS ","")&amp;IF(AND(E157="hecho",I157="SIN-RESPALDO"),"SIN-R ","")&amp;IF(AND(E157="hecho",I157="CITA-X"),"CITA-X ","")&amp;IF(AND(E157="hecho",I157="SIN-CITA"),"SIN-C ","")))))</f>
        <v/>
      </c>
      <c r="N157" s="5">
        <f>IF(D157="","",IF(OR(A157="",B157="",E157="",F157=""),"falta qid, modo, tipo o vs_ref",IF(AND(B157="llm",I157&lt;&gt;""),"respaldo no aplica en modo LLM",IF(AND(E157="abstencion",I157&lt;&gt;""),"una abstención no se califica en citas",IF(AND(B157="rag",E157="hecho",I157=""),"falta respaldo","ok")))))</f>
        <v/>
      </c>
    </row>
    <row r="158">
      <c r="A158" s="6" t="n"/>
      <c r="B158" s="6" t="n"/>
      <c r="C158" s="5">
        <f>IF(A158="","",COUNTIFS($A$2:A158,A158,$B$2:B158,B158))</f>
        <v/>
      </c>
      <c r="D158" s="6" t="n"/>
      <c r="E158" s="6" t="n"/>
      <c r="F158" s="6" t="n"/>
      <c r="G158" s="6" t="n"/>
      <c r="H158" s="6" t="n"/>
      <c r="I158" s="6" t="n"/>
      <c r="J158" s="6" t="n"/>
      <c r="K158" s="6" t="n"/>
      <c r="L158" s="6" t="n"/>
      <c r="M158" s="5">
        <f>IF(D158="","",IF(OR(E158="",F158=""),"",IF(TRIM(IF(AND(E158="hecho",F158="INCORRECTA"),"INC ","")&amp;IF(AND(E158="abstencion",F158="INCORRECTA"),"ABS-E ","")&amp;IF(AND(E158="hecho",F158="FUERA_REF",H158="no_resp"),"NO-ABS ","")&amp;IF(AND(E158="hecho",I158="SIN-RESPALDO"),"SIN-R ","")&amp;IF(AND(E158="hecho",I158="CITA-X"),"CITA-X ","")&amp;IF(AND(E158="hecho",I158="SIN-CITA"),"SIN-C ",""))="","-",TRIM(IF(AND(E158="hecho",F158="INCORRECTA"),"INC ","")&amp;IF(AND(E158="abstencion",F158="INCORRECTA"),"ABS-E ","")&amp;IF(AND(E158="hecho",F158="FUERA_REF",H158="no_resp"),"NO-ABS ","")&amp;IF(AND(E158="hecho",I158="SIN-RESPALDO"),"SIN-R ","")&amp;IF(AND(E158="hecho",I158="CITA-X"),"CITA-X ","")&amp;IF(AND(E158="hecho",I158="SIN-CITA"),"SIN-C ","")))))</f>
        <v/>
      </c>
      <c r="N158" s="5">
        <f>IF(D158="","",IF(OR(A158="",B158="",E158="",F158=""),"falta qid, modo, tipo o vs_ref",IF(AND(B158="llm",I158&lt;&gt;""),"respaldo no aplica en modo LLM",IF(AND(E158="abstencion",I158&lt;&gt;""),"una abstención no se califica en citas",IF(AND(B158="rag",E158="hecho",I158=""),"falta respaldo","ok")))))</f>
        <v/>
      </c>
    </row>
    <row r="159">
      <c r="A159" s="6" t="n"/>
      <c r="B159" s="6" t="n"/>
      <c r="C159" s="5">
        <f>IF(A159="","",COUNTIFS($A$2:A159,A159,$B$2:B159,B159))</f>
        <v/>
      </c>
      <c r="D159" s="6" t="n"/>
      <c r="E159" s="6" t="n"/>
      <c r="F159" s="6" t="n"/>
      <c r="G159" s="6" t="n"/>
      <c r="H159" s="6" t="n"/>
      <c r="I159" s="6" t="n"/>
      <c r="J159" s="6" t="n"/>
      <c r="K159" s="6" t="n"/>
      <c r="L159" s="6" t="n"/>
      <c r="M159" s="5">
        <f>IF(D159="","",IF(OR(E159="",F159=""),"",IF(TRIM(IF(AND(E159="hecho",F159="INCORRECTA"),"INC ","")&amp;IF(AND(E159="abstencion",F159="INCORRECTA"),"ABS-E ","")&amp;IF(AND(E159="hecho",F159="FUERA_REF",H159="no_resp"),"NO-ABS ","")&amp;IF(AND(E159="hecho",I159="SIN-RESPALDO"),"SIN-R ","")&amp;IF(AND(E159="hecho",I159="CITA-X"),"CITA-X ","")&amp;IF(AND(E159="hecho",I159="SIN-CITA"),"SIN-C ",""))="","-",TRIM(IF(AND(E159="hecho",F159="INCORRECTA"),"INC ","")&amp;IF(AND(E159="abstencion",F159="INCORRECTA"),"ABS-E ","")&amp;IF(AND(E159="hecho",F159="FUERA_REF",H159="no_resp"),"NO-ABS ","")&amp;IF(AND(E159="hecho",I159="SIN-RESPALDO"),"SIN-R ","")&amp;IF(AND(E159="hecho",I159="CITA-X"),"CITA-X ","")&amp;IF(AND(E159="hecho",I159="SIN-CITA"),"SIN-C ","")))))</f>
        <v/>
      </c>
      <c r="N159" s="5">
        <f>IF(D159="","",IF(OR(A159="",B159="",E159="",F159=""),"falta qid, modo, tipo o vs_ref",IF(AND(B159="llm",I159&lt;&gt;""),"respaldo no aplica en modo LLM",IF(AND(E159="abstencion",I159&lt;&gt;""),"una abstención no se califica en citas",IF(AND(B159="rag",E159="hecho",I159=""),"falta respaldo","ok")))))</f>
        <v/>
      </c>
    </row>
    <row r="160">
      <c r="A160" s="6" t="n"/>
      <c r="B160" s="6" t="n"/>
      <c r="C160" s="5">
        <f>IF(A160="","",COUNTIFS($A$2:A160,A160,$B$2:B160,B160))</f>
        <v/>
      </c>
      <c r="D160" s="6" t="n"/>
      <c r="E160" s="6" t="n"/>
      <c r="F160" s="6" t="n"/>
      <c r="G160" s="6" t="n"/>
      <c r="H160" s="6" t="n"/>
      <c r="I160" s="6" t="n"/>
      <c r="J160" s="6" t="n"/>
      <c r="K160" s="6" t="n"/>
      <c r="L160" s="6" t="n"/>
      <c r="M160" s="5">
        <f>IF(D160="","",IF(OR(E160="",F160=""),"",IF(TRIM(IF(AND(E160="hecho",F160="INCORRECTA"),"INC ","")&amp;IF(AND(E160="abstencion",F160="INCORRECTA"),"ABS-E ","")&amp;IF(AND(E160="hecho",F160="FUERA_REF",H160="no_resp"),"NO-ABS ","")&amp;IF(AND(E160="hecho",I160="SIN-RESPALDO"),"SIN-R ","")&amp;IF(AND(E160="hecho",I160="CITA-X"),"CITA-X ","")&amp;IF(AND(E160="hecho",I160="SIN-CITA"),"SIN-C ",""))="","-",TRIM(IF(AND(E160="hecho",F160="INCORRECTA"),"INC ","")&amp;IF(AND(E160="abstencion",F160="INCORRECTA"),"ABS-E ","")&amp;IF(AND(E160="hecho",F160="FUERA_REF",H160="no_resp"),"NO-ABS ","")&amp;IF(AND(E160="hecho",I160="SIN-RESPALDO"),"SIN-R ","")&amp;IF(AND(E160="hecho",I160="CITA-X"),"CITA-X ","")&amp;IF(AND(E160="hecho",I160="SIN-CITA"),"SIN-C ","")))))</f>
        <v/>
      </c>
      <c r="N160" s="5">
        <f>IF(D160="","",IF(OR(A160="",B160="",E160="",F160=""),"falta qid, modo, tipo o vs_ref",IF(AND(B160="llm",I160&lt;&gt;""),"respaldo no aplica en modo LLM",IF(AND(E160="abstencion",I160&lt;&gt;""),"una abstención no se califica en citas",IF(AND(B160="rag",E160="hecho",I160=""),"falta respaldo","ok")))))</f>
        <v/>
      </c>
    </row>
    <row r="161">
      <c r="A161" s="6" t="n"/>
      <c r="B161" s="6" t="n"/>
      <c r="C161" s="5">
        <f>IF(A161="","",COUNTIFS($A$2:A161,A161,$B$2:B161,B161))</f>
        <v/>
      </c>
      <c r="D161" s="6" t="n"/>
      <c r="E161" s="6" t="n"/>
      <c r="F161" s="6" t="n"/>
      <c r="G161" s="6" t="n"/>
      <c r="H161" s="6" t="n"/>
      <c r="I161" s="6" t="n"/>
      <c r="J161" s="6" t="n"/>
      <c r="K161" s="6" t="n"/>
      <c r="L161" s="6" t="n"/>
      <c r="M161" s="5">
        <f>IF(D161="","",IF(OR(E161="",F161=""),"",IF(TRIM(IF(AND(E161="hecho",F161="INCORRECTA"),"INC ","")&amp;IF(AND(E161="abstencion",F161="INCORRECTA"),"ABS-E ","")&amp;IF(AND(E161="hecho",F161="FUERA_REF",H161="no_resp"),"NO-ABS ","")&amp;IF(AND(E161="hecho",I161="SIN-RESPALDO"),"SIN-R ","")&amp;IF(AND(E161="hecho",I161="CITA-X"),"CITA-X ","")&amp;IF(AND(E161="hecho",I161="SIN-CITA"),"SIN-C ",""))="","-",TRIM(IF(AND(E161="hecho",F161="INCORRECTA"),"INC ","")&amp;IF(AND(E161="abstencion",F161="INCORRECTA"),"ABS-E ","")&amp;IF(AND(E161="hecho",F161="FUERA_REF",H161="no_resp"),"NO-ABS ","")&amp;IF(AND(E161="hecho",I161="SIN-RESPALDO"),"SIN-R ","")&amp;IF(AND(E161="hecho",I161="CITA-X"),"CITA-X ","")&amp;IF(AND(E161="hecho",I161="SIN-CITA"),"SIN-C ","")))))</f>
        <v/>
      </c>
      <c r="N161" s="5">
        <f>IF(D161="","",IF(OR(A161="",B161="",E161="",F161=""),"falta qid, modo, tipo o vs_ref",IF(AND(B161="llm",I161&lt;&gt;""),"respaldo no aplica en modo LLM",IF(AND(E161="abstencion",I161&lt;&gt;""),"una abstención no se califica en citas",IF(AND(B161="rag",E161="hecho",I161=""),"falta respaldo","ok")))))</f>
        <v/>
      </c>
    </row>
    <row r="162">
      <c r="A162" s="6" t="n"/>
      <c r="B162" s="6" t="n"/>
      <c r="C162" s="5">
        <f>IF(A162="","",COUNTIFS($A$2:A162,A162,$B$2:B162,B162))</f>
        <v/>
      </c>
      <c r="D162" s="6" t="n"/>
      <c r="E162" s="6" t="n"/>
      <c r="F162" s="6" t="n"/>
      <c r="G162" s="6" t="n"/>
      <c r="H162" s="6" t="n"/>
      <c r="I162" s="6" t="n"/>
      <c r="J162" s="6" t="n"/>
      <c r="K162" s="6" t="n"/>
      <c r="L162" s="6" t="n"/>
      <c r="M162" s="5">
        <f>IF(D162="","",IF(OR(E162="",F162=""),"",IF(TRIM(IF(AND(E162="hecho",F162="INCORRECTA"),"INC ","")&amp;IF(AND(E162="abstencion",F162="INCORRECTA"),"ABS-E ","")&amp;IF(AND(E162="hecho",F162="FUERA_REF",H162="no_resp"),"NO-ABS ","")&amp;IF(AND(E162="hecho",I162="SIN-RESPALDO"),"SIN-R ","")&amp;IF(AND(E162="hecho",I162="CITA-X"),"CITA-X ","")&amp;IF(AND(E162="hecho",I162="SIN-CITA"),"SIN-C ",""))="","-",TRIM(IF(AND(E162="hecho",F162="INCORRECTA"),"INC ","")&amp;IF(AND(E162="abstencion",F162="INCORRECTA"),"ABS-E ","")&amp;IF(AND(E162="hecho",F162="FUERA_REF",H162="no_resp"),"NO-ABS ","")&amp;IF(AND(E162="hecho",I162="SIN-RESPALDO"),"SIN-R ","")&amp;IF(AND(E162="hecho",I162="CITA-X"),"CITA-X ","")&amp;IF(AND(E162="hecho",I162="SIN-CITA"),"SIN-C ","")))))</f>
        <v/>
      </c>
      <c r="N162" s="5">
        <f>IF(D162="","",IF(OR(A162="",B162="",E162="",F162=""),"falta qid, modo, tipo o vs_ref",IF(AND(B162="llm",I162&lt;&gt;""),"respaldo no aplica en modo LLM",IF(AND(E162="abstencion",I162&lt;&gt;""),"una abstención no se califica en citas",IF(AND(B162="rag",E162="hecho",I162=""),"falta respaldo","ok")))))</f>
        <v/>
      </c>
    </row>
    <row r="163">
      <c r="A163" s="6" t="n"/>
      <c r="B163" s="6" t="n"/>
      <c r="C163" s="5">
        <f>IF(A163="","",COUNTIFS($A$2:A163,A163,$B$2:B163,B163))</f>
        <v/>
      </c>
      <c r="D163" s="6" t="n"/>
      <c r="E163" s="6" t="n"/>
      <c r="F163" s="6" t="n"/>
      <c r="G163" s="6" t="n"/>
      <c r="H163" s="6" t="n"/>
      <c r="I163" s="6" t="n"/>
      <c r="J163" s="6" t="n"/>
      <c r="K163" s="6" t="n"/>
      <c r="L163" s="6" t="n"/>
      <c r="M163" s="5">
        <f>IF(D163="","",IF(OR(E163="",F163=""),"",IF(TRIM(IF(AND(E163="hecho",F163="INCORRECTA"),"INC ","")&amp;IF(AND(E163="abstencion",F163="INCORRECTA"),"ABS-E ","")&amp;IF(AND(E163="hecho",F163="FUERA_REF",H163="no_resp"),"NO-ABS ","")&amp;IF(AND(E163="hecho",I163="SIN-RESPALDO"),"SIN-R ","")&amp;IF(AND(E163="hecho",I163="CITA-X"),"CITA-X ","")&amp;IF(AND(E163="hecho",I163="SIN-CITA"),"SIN-C ",""))="","-",TRIM(IF(AND(E163="hecho",F163="INCORRECTA"),"INC ","")&amp;IF(AND(E163="abstencion",F163="INCORRECTA"),"ABS-E ","")&amp;IF(AND(E163="hecho",F163="FUERA_REF",H163="no_resp"),"NO-ABS ","")&amp;IF(AND(E163="hecho",I163="SIN-RESPALDO"),"SIN-R ","")&amp;IF(AND(E163="hecho",I163="CITA-X"),"CITA-X ","")&amp;IF(AND(E163="hecho",I163="SIN-CITA"),"SIN-C ","")))))</f>
        <v/>
      </c>
      <c r="N163" s="5">
        <f>IF(D163="","",IF(OR(A163="",B163="",E163="",F163=""),"falta qid, modo, tipo o vs_ref",IF(AND(B163="llm",I163&lt;&gt;""),"respaldo no aplica en modo LLM",IF(AND(E163="abstencion",I163&lt;&gt;""),"una abstención no se califica en citas",IF(AND(B163="rag",E163="hecho",I163=""),"falta respaldo","ok")))))</f>
        <v/>
      </c>
    </row>
    <row r="164">
      <c r="A164" s="6" t="n"/>
      <c r="B164" s="6" t="n"/>
      <c r="C164" s="5">
        <f>IF(A164="","",COUNTIFS($A$2:A164,A164,$B$2:B164,B164))</f>
        <v/>
      </c>
      <c r="D164" s="6" t="n"/>
      <c r="E164" s="6" t="n"/>
      <c r="F164" s="6" t="n"/>
      <c r="G164" s="6" t="n"/>
      <c r="H164" s="6" t="n"/>
      <c r="I164" s="6" t="n"/>
      <c r="J164" s="6" t="n"/>
      <c r="K164" s="6" t="n"/>
      <c r="L164" s="6" t="n"/>
      <c r="M164" s="5">
        <f>IF(D164="","",IF(OR(E164="",F164=""),"",IF(TRIM(IF(AND(E164="hecho",F164="INCORRECTA"),"INC ","")&amp;IF(AND(E164="abstencion",F164="INCORRECTA"),"ABS-E ","")&amp;IF(AND(E164="hecho",F164="FUERA_REF",H164="no_resp"),"NO-ABS ","")&amp;IF(AND(E164="hecho",I164="SIN-RESPALDO"),"SIN-R ","")&amp;IF(AND(E164="hecho",I164="CITA-X"),"CITA-X ","")&amp;IF(AND(E164="hecho",I164="SIN-CITA"),"SIN-C ",""))="","-",TRIM(IF(AND(E164="hecho",F164="INCORRECTA"),"INC ","")&amp;IF(AND(E164="abstencion",F164="INCORRECTA"),"ABS-E ","")&amp;IF(AND(E164="hecho",F164="FUERA_REF",H164="no_resp"),"NO-ABS ","")&amp;IF(AND(E164="hecho",I164="SIN-RESPALDO"),"SIN-R ","")&amp;IF(AND(E164="hecho",I164="CITA-X"),"CITA-X ","")&amp;IF(AND(E164="hecho",I164="SIN-CITA"),"SIN-C ","")))))</f>
        <v/>
      </c>
      <c r="N164" s="5">
        <f>IF(D164="","",IF(OR(A164="",B164="",E164="",F164=""),"falta qid, modo, tipo o vs_ref",IF(AND(B164="llm",I164&lt;&gt;""),"respaldo no aplica en modo LLM",IF(AND(E164="abstencion",I164&lt;&gt;""),"una abstención no se califica en citas",IF(AND(B164="rag",E164="hecho",I164=""),"falta respaldo","ok")))))</f>
        <v/>
      </c>
    </row>
    <row r="165">
      <c r="A165" s="6" t="n"/>
      <c r="B165" s="6" t="n"/>
      <c r="C165" s="5">
        <f>IF(A165="","",COUNTIFS($A$2:A165,A165,$B$2:B165,B165))</f>
        <v/>
      </c>
      <c r="D165" s="6" t="n"/>
      <c r="E165" s="6" t="n"/>
      <c r="F165" s="6" t="n"/>
      <c r="G165" s="6" t="n"/>
      <c r="H165" s="6" t="n"/>
      <c r="I165" s="6" t="n"/>
      <c r="J165" s="6" t="n"/>
      <c r="K165" s="6" t="n"/>
      <c r="L165" s="6" t="n"/>
      <c r="M165" s="5">
        <f>IF(D165="","",IF(OR(E165="",F165=""),"",IF(TRIM(IF(AND(E165="hecho",F165="INCORRECTA"),"INC ","")&amp;IF(AND(E165="abstencion",F165="INCORRECTA"),"ABS-E ","")&amp;IF(AND(E165="hecho",F165="FUERA_REF",H165="no_resp"),"NO-ABS ","")&amp;IF(AND(E165="hecho",I165="SIN-RESPALDO"),"SIN-R ","")&amp;IF(AND(E165="hecho",I165="CITA-X"),"CITA-X ","")&amp;IF(AND(E165="hecho",I165="SIN-CITA"),"SIN-C ",""))="","-",TRIM(IF(AND(E165="hecho",F165="INCORRECTA"),"INC ","")&amp;IF(AND(E165="abstencion",F165="INCORRECTA"),"ABS-E ","")&amp;IF(AND(E165="hecho",F165="FUERA_REF",H165="no_resp"),"NO-ABS ","")&amp;IF(AND(E165="hecho",I165="SIN-RESPALDO"),"SIN-R ","")&amp;IF(AND(E165="hecho",I165="CITA-X"),"CITA-X ","")&amp;IF(AND(E165="hecho",I165="SIN-CITA"),"SIN-C ","")))))</f>
        <v/>
      </c>
      <c r="N165" s="5">
        <f>IF(D165="","",IF(OR(A165="",B165="",E165="",F165=""),"falta qid, modo, tipo o vs_ref",IF(AND(B165="llm",I165&lt;&gt;""),"respaldo no aplica en modo LLM",IF(AND(E165="abstencion",I165&lt;&gt;""),"una abstención no se califica en citas",IF(AND(B165="rag",E165="hecho",I165=""),"falta respaldo","ok")))))</f>
        <v/>
      </c>
    </row>
    <row r="166">
      <c r="A166" s="6" t="n"/>
      <c r="B166" s="6" t="n"/>
      <c r="C166" s="5">
        <f>IF(A166="","",COUNTIFS($A$2:A166,A166,$B$2:B166,B166))</f>
        <v/>
      </c>
      <c r="D166" s="6" t="n"/>
      <c r="E166" s="6" t="n"/>
      <c r="F166" s="6" t="n"/>
      <c r="G166" s="6" t="n"/>
      <c r="H166" s="6" t="n"/>
      <c r="I166" s="6" t="n"/>
      <c r="J166" s="6" t="n"/>
      <c r="K166" s="6" t="n"/>
      <c r="L166" s="6" t="n"/>
      <c r="M166" s="5">
        <f>IF(D166="","",IF(OR(E166="",F166=""),"",IF(TRIM(IF(AND(E166="hecho",F166="INCORRECTA"),"INC ","")&amp;IF(AND(E166="abstencion",F166="INCORRECTA"),"ABS-E ","")&amp;IF(AND(E166="hecho",F166="FUERA_REF",H166="no_resp"),"NO-ABS ","")&amp;IF(AND(E166="hecho",I166="SIN-RESPALDO"),"SIN-R ","")&amp;IF(AND(E166="hecho",I166="CITA-X"),"CITA-X ","")&amp;IF(AND(E166="hecho",I166="SIN-CITA"),"SIN-C ",""))="","-",TRIM(IF(AND(E166="hecho",F166="INCORRECTA"),"INC ","")&amp;IF(AND(E166="abstencion",F166="INCORRECTA"),"ABS-E ","")&amp;IF(AND(E166="hecho",F166="FUERA_REF",H166="no_resp"),"NO-ABS ","")&amp;IF(AND(E166="hecho",I166="SIN-RESPALDO"),"SIN-R ","")&amp;IF(AND(E166="hecho",I166="CITA-X"),"CITA-X ","")&amp;IF(AND(E166="hecho",I166="SIN-CITA"),"SIN-C ","")))))</f>
        <v/>
      </c>
      <c r="N166" s="5">
        <f>IF(D166="","",IF(OR(A166="",B166="",E166="",F166=""),"falta qid, modo, tipo o vs_ref",IF(AND(B166="llm",I166&lt;&gt;""),"respaldo no aplica en modo LLM",IF(AND(E166="abstencion",I166&lt;&gt;""),"una abstención no se califica en citas",IF(AND(B166="rag",E166="hecho",I166=""),"falta respaldo","ok")))))</f>
        <v/>
      </c>
    </row>
    <row r="167">
      <c r="A167" s="6" t="n"/>
      <c r="B167" s="6" t="n"/>
      <c r="C167" s="5">
        <f>IF(A167="","",COUNTIFS($A$2:A167,A167,$B$2:B167,B167))</f>
        <v/>
      </c>
      <c r="D167" s="6" t="n"/>
      <c r="E167" s="6" t="n"/>
      <c r="F167" s="6" t="n"/>
      <c r="G167" s="6" t="n"/>
      <c r="H167" s="6" t="n"/>
      <c r="I167" s="6" t="n"/>
      <c r="J167" s="6" t="n"/>
      <c r="K167" s="6" t="n"/>
      <c r="L167" s="6" t="n"/>
      <c r="M167" s="5">
        <f>IF(D167="","",IF(OR(E167="",F167=""),"",IF(TRIM(IF(AND(E167="hecho",F167="INCORRECTA"),"INC ","")&amp;IF(AND(E167="abstencion",F167="INCORRECTA"),"ABS-E ","")&amp;IF(AND(E167="hecho",F167="FUERA_REF",H167="no_resp"),"NO-ABS ","")&amp;IF(AND(E167="hecho",I167="SIN-RESPALDO"),"SIN-R ","")&amp;IF(AND(E167="hecho",I167="CITA-X"),"CITA-X ","")&amp;IF(AND(E167="hecho",I167="SIN-CITA"),"SIN-C ",""))="","-",TRIM(IF(AND(E167="hecho",F167="INCORRECTA"),"INC ","")&amp;IF(AND(E167="abstencion",F167="INCORRECTA"),"ABS-E ","")&amp;IF(AND(E167="hecho",F167="FUERA_REF",H167="no_resp"),"NO-ABS ","")&amp;IF(AND(E167="hecho",I167="SIN-RESPALDO"),"SIN-R ","")&amp;IF(AND(E167="hecho",I167="CITA-X"),"CITA-X ","")&amp;IF(AND(E167="hecho",I167="SIN-CITA"),"SIN-C ","")))))</f>
        <v/>
      </c>
      <c r="N167" s="5">
        <f>IF(D167="","",IF(OR(A167="",B167="",E167="",F167=""),"falta qid, modo, tipo o vs_ref",IF(AND(B167="llm",I167&lt;&gt;""),"respaldo no aplica en modo LLM",IF(AND(E167="abstencion",I167&lt;&gt;""),"una abstención no se califica en citas",IF(AND(B167="rag",E167="hecho",I167=""),"falta respaldo","ok")))))</f>
        <v/>
      </c>
    </row>
    <row r="168">
      <c r="A168" s="6" t="n"/>
      <c r="B168" s="6" t="n"/>
      <c r="C168" s="5">
        <f>IF(A168="","",COUNTIFS($A$2:A168,A168,$B$2:B168,B168))</f>
        <v/>
      </c>
      <c r="D168" s="6" t="n"/>
      <c r="E168" s="6" t="n"/>
      <c r="F168" s="6" t="n"/>
      <c r="G168" s="6" t="n"/>
      <c r="H168" s="6" t="n"/>
      <c r="I168" s="6" t="n"/>
      <c r="J168" s="6" t="n"/>
      <c r="K168" s="6" t="n"/>
      <c r="L168" s="6" t="n"/>
      <c r="M168" s="5">
        <f>IF(D168="","",IF(OR(E168="",F168=""),"",IF(TRIM(IF(AND(E168="hecho",F168="INCORRECTA"),"INC ","")&amp;IF(AND(E168="abstencion",F168="INCORRECTA"),"ABS-E ","")&amp;IF(AND(E168="hecho",F168="FUERA_REF",H168="no_resp"),"NO-ABS ","")&amp;IF(AND(E168="hecho",I168="SIN-RESPALDO"),"SIN-R ","")&amp;IF(AND(E168="hecho",I168="CITA-X"),"CITA-X ","")&amp;IF(AND(E168="hecho",I168="SIN-CITA"),"SIN-C ",""))="","-",TRIM(IF(AND(E168="hecho",F168="INCORRECTA"),"INC ","")&amp;IF(AND(E168="abstencion",F168="INCORRECTA"),"ABS-E ","")&amp;IF(AND(E168="hecho",F168="FUERA_REF",H168="no_resp"),"NO-ABS ","")&amp;IF(AND(E168="hecho",I168="SIN-RESPALDO"),"SIN-R ","")&amp;IF(AND(E168="hecho",I168="CITA-X"),"CITA-X ","")&amp;IF(AND(E168="hecho",I168="SIN-CITA"),"SIN-C ","")))))</f>
        <v/>
      </c>
      <c r="N168" s="5">
        <f>IF(D168="","",IF(OR(A168="",B168="",E168="",F168=""),"falta qid, modo, tipo o vs_ref",IF(AND(B168="llm",I168&lt;&gt;""),"respaldo no aplica en modo LLM",IF(AND(E168="abstencion",I168&lt;&gt;""),"una abstención no se califica en citas",IF(AND(B168="rag",E168="hecho",I168=""),"falta respaldo","ok")))))</f>
        <v/>
      </c>
    </row>
    <row r="169">
      <c r="A169" s="6" t="n"/>
      <c r="B169" s="6" t="n"/>
      <c r="C169" s="5">
        <f>IF(A169="","",COUNTIFS($A$2:A169,A169,$B$2:B169,B169))</f>
        <v/>
      </c>
      <c r="D169" s="6" t="n"/>
      <c r="E169" s="6" t="n"/>
      <c r="F169" s="6" t="n"/>
      <c r="G169" s="6" t="n"/>
      <c r="H169" s="6" t="n"/>
      <c r="I169" s="6" t="n"/>
      <c r="J169" s="6" t="n"/>
      <c r="K169" s="6" t="n"/>
      <c r="L169" s="6" t="n"/>
      <c r="M169" s="5">
        <f>IF(D169="","",IF(OR(E169="",F169=""),"",IF(TRIM(IF(AND(E169="hecho",F169="INCORRECTA"),"INC ","")&amp;IF(AND(E169="abstencion",F169="INCORRECTA"),"ABS-E ","")&amp;IF(AND(E169="hecho",F169="FUERA_REF",H169="no_resp"),"NO-ABS ","")&amp;IF(AND(E169="hecho",I169="SIN-RESPALDO"),"SIN-R ","")&amp;IF(AND(E169="hecho",I169="CITA-X"),"CITA-X ","")&amp;IF(AND(E169="hecho",I169="SIN-CITA"),"SIN-C ",""))="","-",TRIM(IF(AND(E169="hecho",F169="INCORRECTA"),"INC ","")&amp;IF(AND(E169="abstencion",F169="INCORRECTA"),"ABS-E ","")&amp;IF(AND(E169="hecho",F169="FUERA_REF",H169="no_resp"),"NO-ABS ","")&amp;IF(AND(E169="hecho",I169="SIN-RESPALDO"),"SIN-R ","")&amp;IF(AND(E169="hecho",I169="CITA-X"),"CITA-X ","")&amp;IF(AND(E169="hecho",I169="SIN-CITA"),"SIN-C ","")))))</f>
        <v/>
      </c>
      <c r="N169" s="5">
        <f>IF(D169="","",IF(OR(A169="",B169="",E169="",F169=""),"falta qid, modo, tipo o vs_ref",IF(AND(B169="llm",I169&lt;&gt;""),"respaldo no aplica en modo LLM",IF(AND(E169="abstencion",I169&lt;&gt;""),"una abstención no se califica en citas",IF(AND(B169="rag",E169="hecho",I169=""),"falta respaldo","ok")))))</f>
        <v/>
      </c>
    </row>
    <row r="170">
      <c r="A170" s="6" t="n"/>
      <c r="B170" s="6" t="n"/>
      <c r="C170" s="5">
        <f>IF(A170="","",COUNTIFS($A$2:A170,A170,$B$2:B170,B170))</f>
        <v/>
      </c>
      <c r="D170" s="6" t="n"/>
      <c r="E170" s="6" t="n"/>
      <c r="F170" s="6" t="n"/>
      <c r="G170" s="6" t="n"/>
      <c r="H170" s="6" t="n"/>
      <c r="I170" s="6" t="n"/>
      <c r="J170" s="6" t="n"/>
      <c r="K170" s="6" t="n"/>
      <c r="L170" s="6" t="n"/>
      <c r="M170" s="5">
        <f>IF(D170="","",IF(OR(E170="",F170=""),"",IF(TRIM(IF(AND(E170="hecho",F170="INCORRECTA"),"INC ","")&amp;IF(AND(E170="abstencion",F170="INCORRECTA"),"ABS-E ","")&amp;IF(AND(E170="hecho",F170="FUERA_REF",H170="no_resp"),"NO-ABS ","")&amp;IF(AND(E170="hecho",I170="SIN-RESPALDO"),"SIN-R ","")&amp;IF(AND(E170="hecho",I170="CITA-X"),"CITA-X ","")&amp;IF(AND(E170="hecho",I170="SIN-CITA"),"SIN-C ",""))="","-",TRIM(IF(AND(E170="hecho",F170="INCORRECTA"),"INC ","")&amp;IF(AND(E170="abstencion",F170="INCORRECTA"),"ABS-E ","")&amp;IF(AND(E170="hecho",F170="FUERA_REF",H170="no_resp"),"NO-ABS ","")&amp;IF(AND(E170="hecho",I170="SIN-RESPALDO"),"SIN-R ","")&amp;IF(AND(E170="hecho",I170="CITA-X"),"CITA-X ","")&amp;IF(AND(E170="hecho",I170="SIN-CITA"),"SIN-C ","")))))</f>
        <v/>
      </c>
      <c r="N170" s="5">
        <f>IF(D170="","",IF(OR(A170="",B170="",E170="",F170=""),"falta qid, modo, tipo o vs_ref",IF(AND(B170="llm",I170&lt;&gt;""),"respaldo no aplica en modo LLM",IF(AND(E170="abstencion",I170&lt;&gt;""),"una abstención no se califica en citas",IF(AND(B170="rag",E170="hecho",I170=""),"falta respaldo","ok")))))</f>
        <v/>
      </c>
    </row>
    <row r="171">
      <c r="A171" s="6" t="n"/>
      <c r="B171" s="6" t="n"/>
      <c r="C171" s="5">
        <f>IF(A171="","",COUNTIFS($A$2:A171,A171,$B$2:B171,B171))</f>
        <v/>
      </c>
      <c r="D171" s="6" t="n"/>
      <c r="E171" s="6" t="n"/>
      <c r="F171" s="6" t="n"/>
      <c r="G171" s="6" t="n"/>
      <c r="H171" s="6" t="n"/>
      <c r="I171" s="6" t="n"/>
      <c r="J171" s="6" t="n"/>
      <c r="K171" s="6" t="n"/>
      <c r="L171" s="6" t="n"/>
      <c r="M171" s="5">
        <f>IF(D171="","",IF(OR(E171="",F171=""),"",IF(TRIM(IF(AND(E171="hecho",F171="INCORRECTA"),"INC ","")&amp;IF(AND(E171="abstencion",F171="INCORRECTA"),"ABS-E ","")&amp;IF(AND(E171="hecho",F171="FUERA_REF",H171="no_resp"),"NO-ABS ","")&amp;IF(AND(E171="hecho",I171="SIN-RESPALDO"),"SIN-R ","")&amp;IF(AND(E171="hecho",I171="CITA-X"),"CITA-X ","")&amp;IF(AND(E171="hecho",I171="SIN-CITA"),"SIN-C ",""))="","-",TRIM(IF(AND(E171="hecho",F171="INCORRECTA"),"INC ","")&amp;IF(AND(E171="abstencion",F171="INCORRECTA"),"ABS-E ","")&amp;IF(AND(E171="hecho",F171="FUERA_REF",H171="no_resp"),"NO-ABS ","")&amp;IF(AND(E171="hecho",I171="SIN-RESPALDO"),"SIN-R ","")&amp;IF(AND(E171="hecho",I171="CITA-X"),"CITA-X ","")&amp;IF(AND(E171="hecho",I171="SIN-CITA"),"SIN-C ","")))))</f>
        <v/>
      </c>
      <c r="N171" s="5">
        <f>IF(D171="","",IF(OR(A171="",B171="",E171="",F171=""),"falta qid, modo, tipo o vs_ref",IF(AND(B171="llm",I171&lt;&gt;""),"respaldo no aplica en modo LLM",IF(AND(E171="abstencion",I171&lt;&gt;""),"una abstención no se califica en citas",IF(AND(B171="rag",E171="hecho",I171=""),"falta respaldo","ok")))))</f>
        <v/>
      </c>
    </row>
    <row r="172">
      <c r="A172" s="6" t="n"/>
      <c r="B172" s="6" t="n"/>
      <c r="C172" s="5">
        <f>IF(A172="","",COUNTIFS($A$2:A172,A172,$B$2:B172,B172))</f>
        <v/>
      </c>
      <c r="D172" s="6" t="n"/>
      <c r="E172" s="6" t="n"/>
      <c r="F172" s="6" t="n"/>
      <c r="G172" s="6" t="n"/>
      <c r="H172" s="6" t="n"/>
      <c r="I172" s="6" t="n"/>
      <c r="J172" s="6" t="n"/>
      <c r="K172" s="6" t="n"/>
      <c r="L172" s="6" t="n"/>
      <c r="M172" s="5">
        <f>IF(D172="","",IF(OR(E172="",F172=""),"",IF(TRIM(IF(AND(E172="hecho",F172="INCORRECTA"),"INC ","")&amp;IF(AND(E172="abstencion",F172="INCORRECTA"),"ABS-E ","")&amp;IF(AND(E172="hecho",F172="FUERA_REF",H172="no_resp"),"NO-ABS ","")&amp;IF(AND(E172="hecho",I172="SIN-RESPALDO"),"SIN-R ","")&amp;IF(AND(E172="hecho",I172="CITA-X"),"CITA-X ","")&amp;IF(AND(E172="hecho",I172="SIN-CITA"),"SIN-C ",""))="","-",TRIM(IF(AND(E172="hecho",F172="INCORRECTA"),"INC ","")&amp;IF(AND(E172="abstencion",F172="INCORRECTA"),"ABS-E ","")&amp;IF(AND(E172="hecho",F172="FUERA_REF",H172="no_resp"),"NO-ABS ","")&amp;IF(AND(E172="hecho",I172="SIN-RESPALDO"),"SIN-R ","")&amp;IF(AND(E172="hecho",I172="CITA-X"),"CITA-X ","")&amp;IF(AND(E172="hecho",I172="SIN-CITA"),"SIN-C ","")))))</f>
        <v/>
      </c>
      <c r="N172" s="5">
        <f>IF(D172="","",IF(OR(A172="",B172="",E172="",F172=""),"falta qid, modo, tipo o vs_ref",IF(AND(B172="llm",I172&lt;&gt;""),"respaldo no aplica en modo LLM",IF(AND(E172="abstencion",I172&lt;&gt;""),"una abstención no se califica en citas",IF(AND(B172="rag",E172="hecho",I172=""),"falta respaldo","ok")))))</f>
        <v/>
      </c>
    </row>
    <row r="173">
      <c r="A173" s="6" t="n"/>
      <c r="B173" s="6" t="n"/>
      <c r="C173" s="5">
        <f>IF(A173="","",COUNTIFS($A$2:A173,A173,$B$2:B173,B173))</f>
        <v/>
      </c>
      <c r="D173" s="6" t="n"/>
      <c r="E173" s="6" t="n"/>
      <c r="F173" s="6" t="n"/>
      <c r="G173" s="6" t="n"/>
      <c r="H173" s="6" t="n"/>
      <c r="I173" s="6" t="n"/>
      <c r="J173" s="6" t="n"/>
      <c r="K173" s="6" t="n"/>
      <c r="L173" s="6" t="n"/>
      <c r="M173" s="5">
        <f>IF(D173="","",IF(OR(E173="",F173=""),"",IF(TRIM(IF(AND(E173="hecho",F173="INCORRECTA"),"INC ","")&amp;IF(AND(E173="abstencion",F173="INCORRECTA"),"ABS-E ","")&amp;IF(AND(E173="hecho",F173="FUERA_REF",H173="no_resp"),"NO-ABS ","")&amp;IF(AND(E173="hecho",I173="SIN-RESPALDO"),"SIN-R ","")&amp;IF(AND(E173="hecho",I173="CITA-X"),"CITA-X ","")&amp;IF(AND(E173="hecho",I173="SIN-CITA"),"SIN-C ",""))="","-",TRIM(IF(AND(E173="hecho",F173="INCORRECTA"),"INC ","")&amp;IF(AND(E173="abstencion",F173="INCORRECTA"),"ABS-E ","")&amp;IF(AND(E173="hecho",F173="FUERA_REF",H173="no_resp"),"NO-ABS ","")&amp;IF(AND(E173="hecho",I173="SIN-RESPALDO"),"SIN-R ","")&amp;IF(AND(E173="hecho",I173="CITA-X"),"CITA-X ","")&amp;IF(AND(E173="hecho",I173="SIN-CITA"),"SIN-C ","")))))</f>
        <v/>
      </c>
      <c r="N173" s="5">
        <f>IF(D173="","",IF(OR(A173="",B173="",E173="",F173=""),"falta qid, modo, tipo o vs_ref",IF(AND(B173="llm",I173&lt;&gt;""),"respaldo no aplica en modo LLM",IF(AND(E173="abstencion",I173&lt;&gt;""),"una abstención no se califica en citas",IF(AND(B173="rag",E173="hecho",I173=""),"falta respaldo","ok")))))</f>
        <v/>
      </c>
    </row>
    <row r="174">
      <c r="A174" s="6" t="n"/>
      <c r="B174" s="6" t="n"/>
      <c r="C174" s="5">
        <f>IF(A174="","",COUNTIFS($A$2:A174,A174,$B$2:B174,B174))</f>
        <v/>
      </c>
      <c r="D174" s="6" t="n"/>
      <c r="E174" s="6" t="n"/>
      <c r="F174" s="6" t="n"/>
      <c r="G174" s="6" t="n"/>
      <c r="H174" s="6" t="n"/>
      <c r="I174" s="6" t="n"/>
      <c r="J174" s="6" t="n"/>
      <c r="K174" s="6" t="n"/>
      <c r="L174" s="6" t="n"/>
      <c r="M174" s="5">
        <f>IF(D174="","",IF(OR(E174="",F174=""),"",IF(TRIM(IF(AND(E174="hecho",F174="INCORRECTA"),"INC ","")&amp;IF(AND(E174="abstencion",F174="INCORRECTA"),"ABS-E ","")&amp;IF(AND(E174="hecho",F174="FUERA_REF",H174="no_resp"),"NO-ABS ","")&amp;IF(AND(E174="hecho",I174="SIN-RESPALDO"),"SIN-R ","")&amp;IF(AND(E174="hecho",I174="CITA-X"),"CITA-X ","")&amp;IF(AND(E174="hecho",I174="SIN-CITA"),"SIN-C ",""))="","-",TRIM(IF(AND(E174="hecho",F174="INCORRECTA"),"INC ","")&amp;IF(AND(E174="abstencion",F174="INCORRECTA"),"ABS-E ","")&amp;IF(AND(E174="hecho",F174="FUERA_REF",H174="no_resp"),"NO-ABS ","")&amp;IF(AND(E174="hecho",I174="SIN-RESPALDO"),"SIN-R ","")&amp;IF(AND(E174="hecho",I174="CITA-X"),"CITA-X ","")&amp;IF(AND(E174="hecho",I174="SIN-CITA"),"SIN-C ","")))))</f>
        <v/>
      </c>
      <c r="N174" s="5">
        <f>IF(D174="","",IF(OR(A174="",B174="",E174="",F174=""),"falta qid, modo, tipo o vs_ref",IF(AND(B174="llm",I174&lt;&gt;""),"respaldo no aplica en modo LLM",IF(AND(E174="abstencion",I174&lt;&gt;""),"una abstención no se califica en citas",IF(AND(B174="rag",E174="hecho",I174=""),"falta respaldo","ok")))))</f>
        <v/>
      </c>
    </row>
    <row r="175">
      <c r="A175" s="6" t="n"/>
      <c r="B175" s="6" t="n"/>
      <c r="C175" s="5">
        <f>IF(A175="","",COUNTIFS($A$2:A175,A175,$B$2:B175,B175))</f>
        <v/>
      </c>
      <c r="D175" s="6" t="n"/>
      <c r="E175" s="6" t="n"/>
      <c r="F175" s="6" t="n"/>
      <c r="G175" s="6" t="n"/>
      <c r="H175" s="6" t="n"/>
      <c r="I175" s="6" t="n"/>
      <c r="J175" s="6" t="n"/>
      <c r="K175" s="6" t="n"/>
      <c r="L175" s="6" t="n"/>
      <c r="M175" s="5">
        <f>IF(D175="","",IF(OR(E175="",F175=""),"",IF(TRIM(IF(AND(E175="hecho",F175="INCORRECTA"),"INC ","")&amp;IF(AND(E175="abstencion",F175="INCORRECTA"),"ABS-E ","")&amp;IF(AND(E175="hecho",F175="FUERA_REF",H175="no_resp"),"NO-ABS ","")&amp;IF(AND(E175="hecho",I175="SIN-RESPALDO"),"SIN-R ","")&amp;IF(AND(E175="hecho",I175="CITA-X"),"CITA-X ","")&amp;IF(AND(E175="hecho",I175="SIN-CITA"),"SIN-C ",""))="","-",TRIM(IF(AND(E175="hecho",F175="INCORRECTA"),"INC ","")&amp;IF(AND(E175="abstencion",F175="INCORRECTA"),"ABS-E ","")&amp;IF(AND(E175="hecho",F175="FUERA_REF",H175="no_resp"),"NO-ABS ","")&amp;IF(AND(E175="hecho",I175="SIN-RESPALDO"),"SIN-R ","")&amp;IF(AND(E175="hecho",I175="CITA-X"),"CITA-X ","")&amp;IF(AND(E175="hecho",I175="SIN-CITA"),"SIN-C ","")))))</f>
        <v/>
      </c>
      <c r="N175" s="5">
        <f>IF(D175="","",IF(OR(A175="",B175="",E175="",F175=""),"falta qid, modo, tipo o vs_ref",IF(AND(B175="llm",I175&lt;&gt;""),"respaldo no aplica en modo LLM",IF(AND(E175="abstencion",I175&lt;&gt;""),"una abstención no se califica en citas",IF(AND(B175="rag",E175="hecho",I175=""),"falta respaldo","ok")))))</f>
        <v/>
      </c>
    </row>
    <row r="176">
      <c r="A176" s="6" t="n"/>
      <c r="B176" s="6" t="n"/>
      <c r="C176" s="5">
        <f>IF(A176="","",COUNTIFS($A$2:A176,A176,$B$2:B176,B176))</f>
        <v/>
      </c>
      <c r="D176" s="6" t="n"/>
      <c r="E176" s="6" t="n"/>
      <c r="F176" s="6" t="n"/>
      <c r="G176" s="6" t="n"/>
      <c r="H176" s="6" t="n"/>
      <c r="I176" s="6" t="n"/>
      <c r="J176" s="6" t="n"/>
      <c r="K176" s="6" t="n"/>
      <c r="L176" s="6" t="n"/>
      <c r="M176" s="5">
        <f>IF(D176="","",IF(OR(E176="",F176=""),"",IF(TRIM(IF(AND(E176="hecho",F176="INCORRECTA"),"INC ","")&amp;IF(AND(E176="abstencion",F176="INCORRECTA"),"ABS-E ","")&amp;IF(AND(E176="hecho",F176="FUERA_REF",H176="no_resp"),"NO-ABS ","")&amp;IF(AND(E176="hecho",I176="SIN-RESPALDO"),"SIN-R ","")&amp;IF(AND(E176="hecho",I176="CITA-X"),"CITA-X ","")&amp;IF(AND(E176="hecho",I176="SIN-CITA"),"SIN-C ",""))="","-",TRIM(IF(AND(E176="hecho",F176="INCORRECTA"),"INC ","")&amp;IF(AND(E176="abstencion",F176="INCORRECTA"),"ABS-E ","")&amp;IF(AND(E176="hecho",F176="FUERA_REF",H176="no_resp"),"NO-ABS ","")&amp;IF(AND(E176="hecho",I176="SIN-RESPALDO"),"SIN-R ","")&amp;IF(AND(E176="hecho",I176="CITA-X"),"CITA-X ","")&amp;IF(AND(E176="hecho",I176="SIN-CITA"),"SIN-C ","")))))</f>
        <v/>
      </c>
      <c r="N176" s="5">
        <f>IF(D176="","",IF(OR(A176="",B176="",E176="",F176=""),"falta qid, modo, tipo o vs_ref",IF(AND(B176="llm",I176&lt;&gt;""),"respaldo no aplica en modo LLM",IF(AND(E176="abstencion",I176&lt;&gt;""),"una abstención no se califica en citas",IF(AND(B176="rag",E176="hecho",I176=""),"falta respaldo","ok")))))</f>
        <v/>
      </c>
    </row>
    <row r="177">
      <c r="A177" s="6" t="n"/>
      <c r="B177" s="6" t="n"/>
      <c r="C177" s="5">
        <f>IF(A177="","",COUNTIFS($A$2:A177,A177,$B$2:B177,B177))</f>
        <v/>
      </c>
      <c r="D177" s="6" t="n"/>
      <c r="E177" s="6" t="n"/>
      <c r="F177" s="6" t="n"/>
      <c r="G177" s="6" t="n"/>
      <c r="H177" s="6" t="n"/>
      <c r="I177" s="6" t="n"/>
      <c r="J177" s="6" t="n"/>
      <c r="K177" s="6" t="n"/>
      <c r="L177" s="6" t="n"/>
      <c r="M177" s="5">
        <f>IF(D177="","",IF(OR(E177="",F177=""),"",IF(TRIM(IF(AND(E177="hecho",F177="INCORRECTA"),"INC ","")&amp;IF(AND(E177="abstencion",F177="INCORRECTA"),"ABS-E ","")&amp;IF(AND(E177="hecho",F177="FUERA_REF",H177="no_resp"),"NO-ABS ","")&amp;IF(AND(E177="hecho",I177="SIN-RESPALDO"),"SIN-R ","")&amp;IF(AND(E177="hecho",I177="CITA-X"),"CITA-X ","")&amp;IF(AND(E177="hecho",I177="SIN-CITA"),"SIN-C ",""))="","-",TRIM(IF(AND(E177="hecho",F177="INCORRECTA"),"INC ","")&amp;IF(AND(E177="abstencion",F177="INCORRECTA"),"ABS-E ","")&amp;IF(AND(E177="hecho",F177="FUERA_REF",H177="no_resp"),"NO-ABS ","")&amp;IF(AND(E177="hecho",I177="SIN-RESPALDO"),"SIN-R ","")&amp;IF(AND(E177="hecho",I177="CITA-X"),"CITA-X ","")&amp;IF(AND(E177="hecho",I177="SIN-CITA"),"SIN-C ","")))))</f>
        <v/>
      </c>
      <c r="N177" s="5">
        <f>IF(D177="","",IF(OR(A177="",B177="",E177="",F177=""),"falta qid, modo, tipo o vs_ref",IF(AND(B177="llm",I177&lt;&gt;""),"respaldo no aplica en modo LLM",IF(AND(E177="abstencion",I177&lt;&gt;""),"una abstención no se califica en citas",IF(AND(B177="rag",E177="hecho",I177=""),"falta respaldo","ok")))))</f>
        <v/>
      </c>
    </row>
    <row r="178">
      <c r="A178" s="6" t="n"/>
      <c r="B178" s="6" t="n"/>
      <c r="C178" s="5">
        <f>IF(A178="","",COUNTIFS($A$2:A178,A178,$B$2:B178,B178))</f>
        <v/>
      </c>
      <c r="D178" s="6" t="n"/>
      <c r="E178" s="6" t="n"/>
      <c r="F178" s="6" t="n"/>
      <c r="G178" s="6" t="n"/>
      <c r="H178" s="6" t="n"/>
      <c r="I178" s="6" t="n"/>
      <c r="J178" s="6" t="n"/>
      <c r="K178" s="6" t="n"/>
      <c r="L178" s="6" t="n"/>
      <c r="M178" s="5">
        <f>IF(D178="","",IF(OR(E178="",F178=""),"",IF(TRIM(IF(AND(E178="hecho",F178="INCORRECTA"),"INC ","")&amp;IF(AND(E178="abstencion",F178="INCORRECTA"),"ABS-E ","")&amp;IF(AND(E178="hecho",F178="FUERA_REF",H178="no_resp"),"NO-ABS ","")&amp;IF(AND(E178="hecho",I178="SIN-RESPALDO"),"SIN-R ","")&amp;IF(AND(E178="hecho",I178="CITA-X"),"CITA-X ","")&amp;IF(AND(E178="hecho",I178="SIN-CITA"),"SIN-C ",""))="","-",TRIM(IF(AND(E178="hecho",F178="INCORRECTA"),"INC ","")&amp;IF(AND(E178="abstencion",F178="INCORRECTA"),"ABS-E ","")&amp;IF(AND(E178="hecho",F178="FUERA_REF",H178="no_resp"),"NO-ABS ","")&amp;IF(AND(E178="hecho",I178="SIN-RESPALDO"),"SIN-R ","")&amp;IF(AND(E178="hecho",I178="CITA-X"),"CITA-X ","")&amp;IF(AND(E178="hecho",I178="SIN-CITA"),"SIN-C ","")))))</f>
        <v/>
      </c>
      <c r="N178" s="5">
        <f>IF(D178="","",IF(OR(A178="",B178="",E178="",F178=""),"falta qid, modo, tipo o vs_ref",IF(AND(B178="llm",I178&lt;&gt;""),"respaldo no aplica en modo LLM",IF(AND(E178="abstencion",I178&lt;&gt;""),"una abstención no se califica en citas",IF(AND(B178="rag",E178="hecho",I178=""),"falta respaldo","ok")))))</f>
        <v/>
      </c>
    </row>
    <row r="179">
      <c r="A179" s="6" t="n"/>
      <c r="B179" s="6" t="n"/>
      <c r="C179" s="5">
        <f>IF(A179="","",COUNTIFS($A$2:A179,A179,$B$2:B179,B179))</f>
        <v/>
      </c>
      <c r="D179" s="6" t="n"/>
      <c r="E179" s="6" t="n"/>
      <c r="F179" s="6" t="n"/>
      <c r="G179" s="6" t="n"/>
      <c r="H179" s="6" t="n"/>
      <c r="I179" s="6" t="n"/>
      <c r="J179" s="6" t="n"/>
      <c r="K179" s="6" t="n"/>
      <c r="L179" s="6" t="n"/>
      <c r="M179" s="5">
        <f>IF(D179="","",IF(OR(E179="",F179=""),"",IF(TRIM(IF(AND(E179="hecho",F179="INCORRECTA"),"INC ","")&amp;IF(AND(E179="abstencion",F179="INCORRECTA"),"ABS-E ","")&amp;IF(AND(E179="hecho",F179="FUERA_REF",H179="no_resp"),"NO-ABS ","")&amp;IF(AND(E179="hecho",I179="SIN-RESPALDO"),"SIN-R ","")&amp;IF(AND(E179="hecho",I179="CITA-X"),"CITA-X ","")&amp;IF(AND(E179="hecho",I179="SIN-CITA"),"SIN-C ",""))="","-",TRIM(IF(AND(E179="hecho",F179="INCORRECTA"),"INC ","")&amp;IF(AND(E179="abstencion",F179="INCORRECTA"),"ABS-E ","")&amp;IF(AND(E179="hecho",F179="FUERA_REF",H179="no_resp"),"NO-ABS ","")&amp;IF(AND(E179="hecho",I179="SIN-RESPALDO"),"SIN-R ","")&amp;IF(AND(E179="hecho",I179="CITA-X"),"CITA-X ","")&amp;IF(AND(E179="hecho",I179="SIN-CITA"),"SIN-C ","")))))</f>
        <v/>
      </c>
      <c r="N179" s="5">
        <f>IF(D179="","",IF(OR(A179="",B179="",E179="",F179=""),"falta qid, modo, tipo o vs_ref",IF(AND(B179="llm",I179&lt;&gt;""),"respaldo no aplica en modo LLM",IF(AND(E179="abstencion",I179&lt;&gt;""),"una abstención no se califica en citas",IF(AND(B179="rag",E179="hecho",I179=""),"falta respaldo","ok")))))</f>
        <v/>
      </c>
    </row>
    <row r="180">
      <c r="A180" s="6" t="n"/>
      <c r="B180" s="6" t="n"/>
      <c r="C180" s="5">
        <f>IF(A180="","",COUNTIFS($A$2:A180,A180,$B$2:B180,B180))</f>
        <v/>
      </c>
      <c r="D180" s="6" t="n"/>
      <c r="E180" s="6" t="n"/>
      <c r="F180" s="6" t="n"/>
      <c r="G180" s="6" t="n"/>
      <c r="H180" s="6" t="n"/>
      <c r="I180" s="6" t="n"/>
      <c r="J180" s="6" t="n"/>
      <c r="K180" s="6" t="n"/>
      <c r="L180" s="6" t="n"/>
      <c r="M180" s="5">
        <f>IF(D180="","",IF(OR(E180="",F180=""),"",IF(TRIM(IF(AND(E180="hecho",F180="INCORRECTA"),"INC ","")&amp;IF(AND(E180="abstencion",F180="INCORRECTA"),"ABS-E ","")&amp;IF(AND(E180="hecho",F180="FUERA_REF",H180="no_resp"),"NO-ABS ","")&amp;IF(AND(E180="hecho",I180="SIN-RESPALDO"),"SIN-R ","")&amp;IF(AND(E180="hecho",I180="CITA-X"),"CITA-X ","")&amp;IF(AND(E180="hecho",I180="SIN-CITA"),"SIN-C ",""))="","-",TRIM(IF(AND(E180="hecho",F180="INCORRECTA"),"INC ","")&amp;IF(AND(E180="abstencion",F180="INCORRECTA"),"ABS-E ","")&amp;IF(AND(E180="hecho",F180="FUERA_REF",H180="no_resp"),"NO-ABS ","")&amp;IF(AND(E180="hecho",I180="SIN-RESPALDO"),"SIN-R ","")&amp;IF(AND(E180="hecho",I180="CITA-X"),"CITA-X ","")&amp;IF(AND(E180="hecho",I180="SIN-CITA"),"SIN-C ","")))))</f>
        <v/>
      </c>
      <c r="N180" s="5">
        <f>IF(D180="","",IF(OR(A180="",B180="",E180="",F180=""),"falta qid, modo, tipo o vs_ref",IF(AND(B180="llm",I180&lt;&gt;""),"respaldo no aplica en modo LLM",IF(AND(E180="abstencion",I180&lt;&gt;""),"una abstención no se califica en citas",IF(AND(B180="rag",E180="hecho",I180=""),"falta respaldo","ok")))))</f>
        <v/>
      </c>
    </row>
    <row r="181">
      <c r="A181" s="6" t="n"/>
      <c r="B181" s="6" t="n"/>
      <c r="C181" s="5">
        <f>IF(A181="","",COUNTIFS($A$2:A181,A181,$B$2:B181,B181))</f>
        <v/>
      </c>
      <c r="D181" s="6" t="n"/>
      <c r="E181" s="6" t="n"/>
      <c r="F181" s="6" t="n"/>
      <c r="G181" s="6" t="n"/>
      <c r="H181" s="6" t="n"/>
      <c r="I181" s="6" t="n"/>
      <c r="J181" s="6" t="n"/>
      <c r="K181" s="6" t="n"/>
      <c r="L181" s="6" t="n"/>
      <c r="M181" s="5">
        <f>IF(D181="","",IF(OR(E181="",F181=""),"",IF(TRIM(IF(AND(E181="hecho",F181="INCORRECTA"),"INC ","")&amp;IF(AND(E181="abstencion",F181="INCORRECTA"),"ABS-E ","")&amp;IF(AND(E181="hecho",F181="FUERA_REF",H181="no_resp"),"NO-ABS ","")&amp;IF(AND(E181="hecho",I181="SIN-RESPALDO"),"SIN-R ","")&amp;IF(AND(E181="hecho",I181="CITA-X"),"CITA-X ","")&amp;IF(AND(E181="hecho",I181="SIN-CITA"),"SIN-C ",""))="","-",TRIM(IF(AND(E181="hecho",F181="INCORRECTA"),"INC ","")&amp;IF(AND(E181="abstencion",F181="INCORRECTA"),"ABS-E ","")&amp;IF(AND(E181="hecho",F181="FUERA_REF",H181="no_resp"),"NO-ABS ","")&amp;IF(AND(E181="hecho",I181="SIN-RESPALDO"),"SIN-R ","")&amp;IF(AND(E181="hecho",I181="CITA-X"),"CITA-X ","")&amp;IF(AND(E181="hecho",I181="SIN-CITA"),"SIN-C ","")))))</f>
        <v/>
      </c>
      <c r="N181" s="5">
        <f>IF(D181="","",IF(OR(A181="",B181="",E181="",F181=""),"falta qid, modo, tipo o vs_ref",IF(AND(B181="llm",I181&lt;&gt;""),"respaldo no aplica en modo LLM",IF(AND(E181="abstencion",I181&lt;&gt;""),"una abstención no se califica en citas",IF(AND(B181="rag",E181="hecho",I181=""),"falta respaldo","ok")))))</f>
        <v/>
      </c>
    </row>
    <row r="182">
      <c r="A182" s="6" t="n"/>
      <c r="B182" s="6" t="n"/>
      <c r="C182" s="5">
        <f>IF(A182="","",COUNTIFS($A$2:A182,A182,$B$2:B182,B182))</f>
        <v/>
      </c>
      <c r="D182" s="6" t="n"/>
      <c r="E182" s="6" t="n"/>
      <c r="F182" s="6" t="n"/>
      <c r="G182" s="6" t="n"/>
      <c r="H182" s="6" t="n"/>
      <c r="I182" s="6" t="n"/>
      <c r="J182" s="6" t="n"/>
      <c r="K182" s="6" t="n"/>
      <c r="L182" s="6" t="n"/>
      <c r="M182" s="5">
        <f>IF(D182="","",IF(OR(E182="",F182=""),"",IF(TRIM(IF(AND(E182="hecho",F182="INCORRECTA"),"INC ","")&amp;IF(AND(E182="abstencion",F182="INCORRECTA"),"ABS-E ","")&amp;IF(AND(E182="hecho",F182="FUERA_REF",H182="no_resp"),"NO-ABS ","")&amp;IF(AND(E182="hecho",I182="SIN-RESPALDO"),"SIN-R ","")&amp;IF(AND(E182="hecho",I182="CITA-X"),"CITA-X ","")&amp;IF(AND(E182="hecho",I182="SIN-CITA"),"SIN-C ",""))="","-",TRIM(IF(AND(E182="hecho",F182="INCORRECTA"),"INC ","")&amp;IF(AND(E182="abstencion",F182="INCORRECTA"),"ABS-E ","")&amp;IF(AND(E182="hecho",F182="FUERA_REF",H182="no_resp"),"NO-ABS ","")&amp;IF(AND(E182="hecho",I182="SIN-RESPALDO"),"SIN-R ","")&amp;IF(AND(E182="hecho",I182="CITA-X"),"CITA-X ","")&amp;IF(AND(E182="hecho",I182="SIN-CITA"),"SIN-C ","")))))</f>
        <v/>
      </c>
      <c r="N182" s="5">
        <f>IF(D182="","",IF(OR(A182="",B182="",E182="",F182=""),"falta qid, modo, tipo o vs_ref",IF(AND(B182="llm",I182&lt;&gt;""),"respaldo no aplica en modo LLM",IF(AND(E182="abstencion",I182&lt;&gt;""),"una abstención no se califica en citas",IF(AND(B182="rag",E182="hecho",I182=""),"falta respaldo","ok")))))</f>
        <v/>
      </c>
    </row>
    <row r="183">
      <c r="A183" s="6" t="n"/>
      <c r="B183" s="6" t="n"/>
      <c r="C183" s="5">
        <f>IF(A183="","",COUNTIFS($A$2:A183,A183,$B$2:B183,B183))</f>
        <v/>
      </c>
      <c r="D183" s="6" t="n"/>
      <c r="E183" s="6" t="n"/>
      <c r="F183" s="6" t="n"/>
      <c r="G183" s="6" t="n"/>
      <c r="H183" s="6" t="n"/>
      <c r="I183" s="6" t="n"/>
      <c r="J183" s="6" t="n"/>
      <c r="K183" s="6" t="n"/>
      <c r="L183" s="6" t="n"/>
      <c r="M183" s="5">
        <f>IF(D183="","",IF(OR(E183="",F183=""),"",IF(TRIM(IF(AND(E183="hecho",F183="INCORRECTA"),"INC ","")&amp;IF(AND(E183="abstencion",F183="INCORRECTA"),"ABS-E ","")&amp;IF(AND(E183="hecho",F183="FUERA_REF",H183="no_resp"),"NO-ABS ","")&amp;IF(AND(E183="hecho",I183="SIN-RESPALDO"),"SIN-R ","")&amp;IF(AND(E183="hecho",I183="CITA-X"),"CITA-X ","")&amp;IF(AND(E183="hecho",I183="SIN-CITA"),"SIN-C ",""))="","-",TRIM(IF(AND(E183="hecho",F183="INCORRECTA"),"INC ","")&amp;IF(AND(E183="abstencion",F183="INCORRECTA"),"ABS-E ","")&amp;IF(AND(E183="hecho",F183="FUERA_REF",H183="no_resp"),"NO-ABS ","")&amp;IF(AND(E183="hecho",I183="SIN-RESPALDO"),"SIN-R ","")&amp;IF(AND(E183="hecho",I183="CITA-X"),"CITA-X ","")&amp;IF(AND(E183="hecho",I183="SIN-CITA"),"SIN-C ","")))))</f>
        <v/>
      </c>
      <c r="N183" s="5">
        <f>IF(D183="","",IF(OR(A183="",B183="",E183="",F183=""),"falta qid, modo, tipo o vs_ref",IF(AND(B183="llm",I183&lt;&gt;""),"respaldo no aplica en modo LLM",IF(AND(E183="abstencion",I183&lt;&gt;""),"una abstención no se califica en citas",IF(AND(B183="rag",E183="hecho",I183=""),"falta respaldo","ok")))))</f>
        <v/>
      </c>
    </row>
    <row r="184">
      <c r="A184" s="6" t="n"/>
      <c r="B184" s="6" t="n"/>
      <c r="C184" s="5">
        <f>IF(A184="","",COUNTIFS($A$2:A184,A184,$B$2:B184,B184))</f>
        <v/>
      </c>
      <c r="D184" s="6" t="n"/>
      <c r="E184" s="6" t="n"/>
      <c r="F184" s="6" t="n"/>
      <c r="G184" s="6" t="n"/>
      <c r="H184" s="6" t="n"/>
      <c r="I184" s="6" t="n"/>
      <c r="J184" s="6" t="n"/>
      <c r="K184" s="6" t="n"/>
      <c r="L184" s="6" t="n"/>
      <c r="M184" s="5">
        <f>IF(D184="","",IF(OR(E184="",F184=""),"",IF(TRIM(IF(AND(E184="hecho",F184="INCORRECTA"),"INC ","")&amp;IF(AND(E184="abstencion",F184="INCORRECTA"),"ABS-E ","")&amp;IF(AND(E184="hecho",F184="FUERA_REF",H184="no_resp"),"NO-ABS ","")&amp;IF(AND(E184="hecho",I184="SIN-RESPALDO"),"SIN-R ","")&amp;IF(AND(E184="hecho",I184="CITA-X"),"CITA-X ","")&amp;IF(AND(E184="hecho",I184="SIN-CITA"),"SIN-C ",""))="","-",TRIM(IF(AND(E184="hecho",F184="INCORRECTA"),"INC ","")&amp;IF(AND(E184="abstencion",F184="INCORRECTA"),"ABS-E ","")&amp;IF(AND(E184="hecho",F184="FUERA_REF",H184="no_resp"),"NO-ABS ","")&amp;IF(AND(E184="hecho",I184="SIN-RESPALDO"),"SIN-R ","")&amp;IF(AND(E184="hecho",I184="CITA-X"),"CITA-X ","")&amp;IF(AND(E184="hecho",I184="SIN-CITA"),"SIN-C ","")))))</f>
        <v/>
      </c>
      <c r="N184" s="5">
        <f>IF(D184="","",IF(OR(A184="",B184="",E184="",F184=""),"falta qid, modo, tipo o vs_ref",IF(AND(B184="llm",I184&lt;&gt;""),"respaldo no aplica en modo LLM",IF(AND(E184="abstencion",I184&lt;&gt;""),"una abstención no se califica en citas",IF(AND(B184="rag",E184="hecho",I184=""),"falta respaldo","ok")))))</f>
        <v/>
      </c>
    </row>
    <row r="185">
      <c r="A185" s="6" t="n"/>
      <c r="B185" s="6" t="n"/>
      <c r="C185" s="5">
        <f>IF(A185="","",COUNTIFS($A$2:A185,A185,$B$2:B185,B185))</f>
        <v/>
      </c>
      <c r="D185" s="6" t="n"/>
      <c r="E185" s="6" t="n"/>
      <c r="F185" s="6" t="n"/>
      <c r="G185" s="6" t="n"/>
      <c r="H185" s="6" t="n"/>
      <c r="I185" s="6" t="n"/>
      <c r="J185" s="6" t="n"/>
      <c r="K185" s="6" t="n"/>
      <c r="L185" s="6" t="n"/>
      <c r="M185" s="5">
        <f>IF(D185="","",IF(OR(E185="",F185=""),"",IF(TRIM(IF(AND(E185="hecho",F185="INCORRECTA"),"INC ","")&amp;IF(AND(E185="abstencion",F185="INCORRECTA"),"ABS-E ","")&amp;IF(AND(E185="hecho",F185="FUERA_REF",H185="no_resp"),"NO-ABS ","")&amp;IF(AND(E185="hecho",I185="SIN-RESPALDO"),"SIN-R ","")&amp;IF(AND(E185="hecho",I185="CITA-X"),"CITA-X ","")&amp;IF(AND(E185="hecho",I185="SIN-CITA"),"SIN-C ",""))="","-",TRIM(IF(AND(E185="hecho",F185="INCORRECTA"),"INC ","")&amp;IF(AND(E185="abstencion",F185="INCORRECTA"),"ABS-E ","")&amp;IF(AND(E185="hecho",F185="FUERA_REF",H185="no_resp"),"NO-ABS ","")&amp;IF(AND(E185="hecho",I185="SIN-RESPALDO"),"SIN-R ","")&amp;IF(AND(E185="hecho",I185="CITA-X"),"CITA-X ","")&amp;IF(AND(E185="hecho",I185="SIN-CITA"),"SIN-C ","")))))</f>
        <v/>
      </c>
      <c r="N185" s="5">
        <f>IF(D185="","",IF(OR(A185="",B185="",E185="",F185=""),"falta qid, modo, tipo o vs_ref",IF(AND(B185="llm",I185&lt;&gt;""),"respaldo no aplica en modo LLM",IF(AND(E185="abstencion",I185&lt;&gt;""),"una abstención no se califica en citas",IF(AND(B185="rag",E185="hecho",I185=""),"falta respaldo","ok")))))</f>
        <v/>
      </c>
    </row>
    <row r="186">
      <c r="A186" s="6" t="n"/>
      <c r="B186" s="6" t="n"/>
      <c r="C186" s="5">
        <f>IF(A186="","",COUNTIFS($A$2:A186,A186,$B$2:B186,B186))</f>
        <v/>
      </c>
      <c r="D186" s="6" t="n"/>
      <c r="E186" s="6" t="n"/>
      <c r="F186" s="6" t="n"/>
      <c r="G186" s="6" t="n"/>
      <c r="H186" s="6" t="n"/>
      <c r="I186" s="6" t="n"/>
      <c r="J186" s="6" t="n"/>
      <c r="K186" s="6" t="n"/>
      <c r="L186" s="6" t="n"/>
      <c r="M186" s="5">
        <f>IF(D186="","",IF(OR(E186="",F186=""),"",IF(TRIM(IF(AND(E186="hecho",F186="INCORRECTA"),"INC ","")&amp;IF(AND(E186="abstencion",F186="INCORRECTA"),"ABS-E ","")&amp;IF(AND(E186="hecho",F186="FUERA_REF",H186="no_resp"),"NO-ABS ","")&amp;IF(AND(E186="hecho",I186="SIN-RESPALDO"),"SIN-R ","")&amp;IF(AND(E186="hecho",I186="CITA-X"),"CITA-X ","")&amp;IF(AND(E186="hecho",I186="SIN-CITA"),"SIN-C ",""))="","-",TRIM(IF(AND(E186="hecho",F186="INCORRECTA"),"INC ","")&amp;IF(AND(E186="abstencion",F186="INCORRECTA"),"ABS-E ","")&amp;IF(AND(E186="hecho",F186="FUERA_REF",H186="no_resp"),"NO-ABS ","")&amp;IF(AND(E186="hecho",I186="SIN-RESPALDO"),"SIN-R ","")&amp;IF(AND(E186="hecho",I186="CITA-X"),"CITA-X ","")&amp;IF(AND(E186="hecho",I186="SIN-CITA"),"SIN-C ","")))))</f>
        <v/>
      </c>
      <c r="N186" s="5">
        <f>IF(D186="","",IF(OR(A186="",B186="",E186="",F186=""),"falta qid, modo, tipo o vs_ref",IF(AND(B186="llm",I186&lt;&gt;""),"respaldo no aplica en modo LLM",IF(AND(E186="abstencion",I186&lt;&gt;""),"una abstención no se califica en citas",IF(AND(B186="rag",E186="hecho",I186=""),"falta respaldo","ok")))))</f>
        <v/>
      </c>
    </row>
    <row r="187">
      <c r="A187" s="6" t="n"/>
      <c r="B187" s="6" t="n"/>
      <c r="C187" s="5">
        <f>IF(A187="","",COUNTIFS($A$2:A187,A187,$B$2:B187,B187))</f>
        <v/>
      </c>
      <c r="D187" s="6" t="n"/>
      <c r="E187" s="6" t="n"/>
      <c r="F187" s="6" t="n"/>
      <c r="G187" s="6" t="n"/>
      <c r="H187" s="6" t="n"/>
      <c r="I187" s="6" t="n"/>
      <c r="J187" s="6" t="n"/>
      <c r="K187" s="6" t="n"/>
      <c r="L187" s="6" t="n"/>
      <c r="M187" s="5">
        <f>IF(D187="","",IF(OR(E187="",F187=""),"",IF(TRIM(IF(AND(E187="hecho",F187="INCORRECTA"),"INC ","")&amp;IF(AND(E187="abstencion",F187="INCORRECTA"),"ABS-E ","")&amp;IF(AND(E187="hecho",F187="FUERA_REF",H187="no_resp"),"NO-ABS ","")&amp;IF(AND(E187="hecho",I187="SIN-RESPALDO"),"SIN-R ","")&amp;IF(AND(E187="hecho",I187="CITA-X"),"CITA-X ","")&amp;IF(AND(E187="hecho",I187="SIN-CITA"),"SIN-C ",""))="","-",TRIM(IF(AND(E187="hecho",F187="INCORRECTA"),"INC ","")&amp;IF(AND(E187="abstencion",F187="INCORRECTA"),"ABS-E ","")&amp;IF(AND(E187="hecho",F187="FUERA_REF",H187="no_resp"),"NO-ABS ","")&amp;IF(AND(E187="hecho",I187="SIN-RESPALDO"),"SIN-R ","")&amp;IF(AND(E187="hecho",I187="CITA-X"),"CITA-X ","")&amp;IF(AND(E187="hecho",I187="SIN-CITA"),"SIN-C ","")))))</f>
        <v/>
      </c>
      <c r="N187" s="5">
        <f>IF(D187="","",IF(OR(A187="",B187="",E187="",F187=""),"falta qid, modo, tipo o vs_ref",IF(AND(B187="llm",I187&lt;&gt;""),"respaldo no aplica en modo LLM",IF(AND(E187="abstencion",I187&lt;&gt;""),"una abstención no se califica en citas",IF(AND(B187="rag",E187="hecho",I187=""),"falta respaldo","ok")))))</f>
        <v/>
      </c>
    </row>
    <row r="188">
      <c r="A188" s="6" t="n"/>
      <c r="B188" s="6" t="n"/>
      <c r="C188" s="5">
        <f>IF(A188="","",COUNTIFS($A$2:A188,A188,$B$2:B188,B188))</f>
        <v/>
      </c>
      <c r="D188" s="6" t="n"/>
      <c r="E188" s="6" t="n"/>
      <c r="F188" s="6" t="n"/>
      <c r="G188" s="6" t="n"/>
      <c r="H188" s="6" t="n"/>
      <c r="I188" s="6" t="n"/>
      <c r="J188" s="6" t="n"/>
      <c r="K188" s="6" t="n"/>
      <c r="L188" s="6" t="n"/>
      <c r="M188" s="5">
        <f>IF(D188="","",IF(OR(E188="",F188=""),"",IF(TRIM(IF(AND(E188="hecho",F188="INCORRECTA"),"INC ","")&amp;IF(AND(E188="abstencion",F188="INCORRECTA"),"ABS-E ","")&amp;IF(AND(E188="hecho",F188="FUERA_REF",H188="no_resp"),"NO-ABS ","")&amp;IF(AND(E188="hecho",I188="SIN-RESPALDO"),"SIN-R ","")&amp;IF(AND(E188="hecho",I188="CITA-X"),"CITA-X ","")&amp;IF(AND(E188="hecho",I188="SIN-CITA"),"SIN-C ",""))="","-",TRIM(IF(AND(E188="hecho",F188="INCORRECTA"),"INC ","")&amp;IF(AND(E188="abstencion",F188="INCORRECTA"),"ABS-E ","")&amp;IF(AND(E188="hecho",F188="FUERA_REF",H188="no_resp"),"NO-ABS ","")&amp;IF(AND(E188="hecho",I188="SIN-RESPALDO"),"SIN-R ","")&amp;IF(AND(E188="hecho",I188="CITA-X"),"CITA-X ","")&amp;IF(AND(E188="hecho",I188="SIN-CITA"),"SIN-C ","")))))</f>
        <v/>
      </c>
      <c r="N188" s="5">
        <f>IF(D188="","",IF(OR(A188="",B188="",E188="",F188=""),"falta qid, modo, tipo o vs_ref",IF(AND(B188="llm",I188&lt;&gt;""),"respaldo no aplica en modo LLM",IF(AND(E188="abstencion",I188&lt;&gt;""),"una abstención no se califica en citas",IF(AND(B188="rag",E188="hecho",I188=""),"falta respaldo","ok")))))</f>
        <v/>
      </c>
    </row>
    <row r="189">
      <c r="A189" s="6" t="n"/>
      <c r="B189" s="6" t="n"/>
      <c r="C189" s="5">
        <f>IF(A189="","",COUNTIFS($A$2:A189,A189,$B$2:B189,B189))</f>
        <v/>
      </c>
      <c r="D189" s="6" t="n"/>
      <c r="E189" s="6" t="n"/>
      <c r="F189" s="6" t="n"/>
      <c r="G189" s="6" t="n"/>
      <c r="H189" s="6" t="n"/>
      <c r="I189" s="6" t="n"/>
      <c r="J189" s="6" t="n"/>
      <c r="K189" s="6" t="n"/>
      <c r="L189" s="6" t="n"/>
      <c r="M189" s="5">
        <f>IF(D189="","",IF(OR(E189="",F189=""),"",IF(TRIM(IF(AND(E189="hecho",F189="INCORRECTA"),"INC ","")&amp;IF(AND(E189="abstencion",F189="INCORRECTA"),"ABS-E ","")&amp;IF(AND(E189="hecho",F189="FUERA_REF",H189="no_resp"),"NO-ABS ","")&amp;IF(AND(E189="hecho",I189="SIN-RESPALDO"),"SIN-R ","")&amp;IF(AND(E189="hecho",I189="CITA-X"),"CITA-X ","")&amp;IF(AND(E189="hecho",I189="SIN-CITA"),"SIN-C ",""))="","-",TRIM(IF(AND(E189="hecho",F189="INCORRECTA"),"INC ","")&amp;IF(AND(E189="abstencion",F189="INCORRECTA"),"ABS-E ","")&amp;IF(AND(E189="hecho",F189="FUERA_REF",H189="no_resp"),"NO-ABS ","")&amp;IF(AND(E189="hecho",I189="SIN-RESPALDO"),"SIN-R ","")&amp;IF(AND(E189="hecho",I189="CITA-X"),"CITA-X ","")&amp;IF(AND(E189="hecho",I189="SIN-CITA"),"SIN-C ","")))))</f>
        <v/>
      </c>
      <c r="N189" s="5">
        <f>IF(D189="","",IF(OR(A189="",B189="",E189="",F189=""),"falta qid, modo, tipo o vs_ref",IF(AND(B189="llm",I189&lt;&gt;""),"respaldo no aplica en modo LLM",IF(AND(E189="abstencion",I189&lt;&gt;""),"una abstención no se califica en citas",IF(AND(B189="rag",E189="hecho",I189=""),"falta respaldo","ok")))))</f>
        <v/>
      </c>
    </row>
    <row r="190">
      <c r="A190" s="6" t="n"/>
      <c r="B190" s="6" t="n"/>
      <c r="C190" s="5">
        <f>IF(A190="","",COUNTIFS($A$2:A190,A190,$B$2:B190,B190))</f>
        <v/>
      </c>
      <c r="D190" s="6" t="n"/>
      <c r="E190" s="6" t="n"/>
      <c r="F190" s="6" t="n"/>
      <c r="G190" s="6" t="n"/>
      <c r="H190" s="6" t="n"/>
      <c r="I190" s="6" t="n"/>
      <c r="J190" s="6" t="n"/>
      <c r="K190" s="6" t="n"/>
      <c r="L190" s="6" t="n"/>
      <c r="M190" s="5">
        <f>IF(D190="","",IF(OR(E190="",F190=""),"",IF(TRIM(IF(AND(E190="hecho",F190="INCORRECTA"),"INC ","")&amp;IF(AND(E190="abstencion",F190="INCORRECTA"),"ABS-E ","")&amp;IF(AND(E190="hecho",F190="FUERA_REF",H190="no_resp"),"NO-ABS ","")&amp;IF(AND(E190="hecho",I190="SIN-RESPALDO"),"SIN-R ","")&amp;IF(AND(E190="hecho",I190="CITA-X"),"CITA-X ","")&amp;IF(AND(E190="hecho",I190="SIN-CITA"),"SIN-C ",""))="","-",TRIM(IF(AND(E190="hecho",F190="INCORRECTA"),"INC ","")&amp;IF(AND(E190="abstencion",F190="INCORRECTA"),"ABS-E ","")&amp;IF(AND(E190="hecho",F190="FUERA_REF",H190="no_resp"),"NO-ABS ","")&amp;IF(AND(E190="hecho",I190="SIN-RESPALDO"),"SIN-R ","")&amp;IF(AND(E190="hecho",I190="CITA-X"),"CITA-X ","")&amp;IF(AND(E190="hecho",I190="SIN-CITA"),"SIN-C ","")))))</f>
        <v/>
      </c>
      <c r="N190" s="5">
        <f>IF(D190="","",IF(OR(A190="",B190="",E190="",F190=""),"falta qid, modo, tipo o vs_ref",IF(AND(B190="llm",I190&lt;&gt;""),"respaldo no aplica en modo LLM",IF(AND(E190="abstencion",I190&lt;&gt;""),"una abstención no se califica en citas",IF(AND(B190="rag",E190="hecho",I190=""),"falta respaldo","ok")))))</f>
        <v/>
      </c>
    </row>
    <row r="191">
      <c r="A191" s="6" t="n"/>
      <c r="B191" s="6" t="n"/>
      <c r="C191" s="5">
        <f>IF(A191="","",COUNTIFS($A$2:A191,A191,$B$2:B191,B191))</f>
        <v/>
      </c>
      <c r="D191" s="6" t="n"/>
      <c r="E191" s="6" t="n"/>
      <c r="F191" s="6" t="n"/>
      <c r="G191" s="6" t="n"/>
      <c r="H191" s="6" t="n"/>
      <c r="I191" s="6" t="n"/>
      <c r="J191" s="6" t="n"/>
      <c r="K191" s="6" t="n"/>
      <c r="L191" s="6" t="n"/>
      <c r="M191" s="5">
        <f>IF(D191="","",IF(OR(E191="",F191=""),"",IF(TRIM(IF(AND(E191="hecho",F191="INCORRECTA"),"INC ","")&amp;IF(AND(E191="abstencion",F191="INCORRECTA"),"ABS-E ","")&amp;IF(AND(E191="hecho",F191="FUERA_REF",H191="no_resp"),"NO-ABS ","")&amp;IF(AND(E191="hecho",I191="SIN-RESPALDO"),"SIN-R ","")&amp;IF(AND(E191="hecho",I191="CITA-X"),"CITA-X ","")&amp;IF(AND(E191="hecho",I191="SIN-CITA"),"SIN-C ",""))="","-",TRIM(IF(AND(E191="hecho",F191="INCORRECTA"),"INC ","")&amp;IF(AND(E191="abstencion",F191="INCORRECTA"),"ABS-E ","")&amp;IF(AND(E191="hecho",F191="FUERA_REF",H191="no_resp"),"NO-ABS ","")&amp;IF(AND(E191="hecho",I191="SIN-RESPALDO"),"SIN-R ","")&amp;IF(AND(E191="hecho",I191="CITA-X"),"CITA-X ","")&amp;IF(AND(E191="hecho",I191="SIN-CITA"),"SIN-C ","")))))</f>
        <v/>
      </c>
      <c r="N191" s="5">
        <f>IF(D191="","",IF(OR(A191="",B191="",E191="",F191=""),"falta qid, modo, tipo o vs_ref",IF(AND(B191="llm",I191&lt;&gt;""),"respaldo no aplica en modo LLM",IF(AND(E191="abstencion",I191&lt;&gt;""),"una abstención no se califica en citas",IF(AND(B191="rag",E191="hecho",I191=""),"falta respaldo","ok")))))</f>
        <v/>
      </c>
    </row>
    <row r="192">
      <c r="A192" s="6" t="n"/>
      <c r="B192" s="6" t="n"/>
      <c r="C192" s="5">
        <f>IF(A192="","",COUNTIFS($A$2:A192,A192,$B$2:B192,B192))</f>
        <v/>
      </c>
      <c r="D192" s="6" t="n"/>
      <c r="E192" s="6" t="n"/>
      <c r="F192" s="6" t="n"/>
      <c r="G192" s="6" t="n"/>
      <c r="H192" s="6" t="n"/>
      <c r="I192" s="6" t="n"/>
      <c r="J192" s="6" t="n"/>
      <c r="K192" s="6" t="n"/>
      <c r="L192" s="6" t="n"/>
      <c r="M192" s="5">
        <f>IF(D192="","",IF(OR(E192="",F192=""),"",IF(TRIM(IF(AND(E192="hecho",F192="INCORRECTA"),"INC ","")&amp;IF(AND(E192="abstencion",F192="INCORRECTA"),"ABS-E ","")&amp;IF(AND(E192="hecho",F192="FUERA_REF",H192="no_resp"),"NO-ABS ","")&amp;IF(AND(E192="hecho",I192="SIN-RESPALDO"),"SIN-R ","")&amp;IF(AND(E192="hecho",I192="CITA-X"),"CITA-X ","")&amp;IF(AND(E192="hecho",I192="SIN-CITA"),"SIN-C ",""))="","-",TRIM(IF(AND(E192="hecho",F192="INCORRECTA"),"INC ","")&amp;IF(AND(E192="abstencion",F192="INCORRECTA"),"ABS-E ","")&amp;IF(AND(E192="hecho",F192="FUERA_REF",H192="no_resp"),"NO-ABS ","")&amp;IF(AND(E192="hecho",I192="SIN-RESPALDO"),"SIN-R ","")&amp;IF(AND(E192="hecho",I192="CITA-X"),"CITA-X ","")&amp;IF(AND(E192="hecho",I192="SIN-CITA"),"SIN-C ","")))))</f>
        <v/>
      </c>
      <c r="N192" s="5">
        <f>IF(D192="","",IF(OR(A192="",B192="",E192="",F192=""),"falta qid, modo, tipo o vs_ref",IF(AND(B192="llm",I192&lt;&gt;""),"respaldo no aplica en modo LLM",IF(AND(E192="abstencion",I192&lt;&gt;""),"una abstención no se califica en citas",IF(AND(B192="rag",E192="hecho",I192=""),"falta respaldo","ok")))))</f>
        <v/>
      </c>
    </row>
    <row r="193">
      <c r="A193" s="6" t="n"/>
      <c r="B193" s="6" t="n"/>
      <c r="C193" s="5">
        <f>IF(A193="","",COUNTIFS($A$2:A193,A193,$B$2:B193,B193))</f>
        <v/>
      </c>
      <c r="D193" s="6" t="n"/>
      <c r="E193" s="6" t="n"/>
      <c r="F193" s="6" t="n"/>
      <c r="G193" s="6" t="n"/>
      <c r="H193" s="6" t="n"/>
      <c r="I193" s="6" t="n"/>
      <c r="J193" s="6" t="n"/>
      <c r="K193" s="6" t="n"/>
      <c r="L193" s="6" t="n"/>
      <c r="M193" s="5">
        <f>IF(D193="","",IF(OR(E193="",F193=""),"",IF(TRIM(IF(AND(E193="hecho",F193="INCORRECTA"),"INC ","")&amp;IF(AND(E193="abstencion",F193="INCORRECTA"),"ABS-E ","")&amp;IF(AND(E193="hecho",F193="FUERA_REF",H193="no_resp"),"NO-ABS ","")&amp;IF(AND(E193="hecho",I193="SIN-RESPALDO"),"SIN-R ","")&amp;IF(AND(E193="hecho",I193="CITA-X"),"CITA-X ","")&amp;IF(AND(E193="hecho",I193="SIN-CITA"),"SIN-C ",""))="","-",TRIM(IF(AND(E193="hecho",F193="INCORRECTA"),"INC ","")&amp;IF(AND(E193="abstencion",F193="INCORRECTA"),"ABS-E ","")&amp;IF(AND(E193="hecho",F193="FUERA_REF",H193="no_resp"),"NO-ABS ","")&amp;IF(AND(E193="hecho",I193="SIN-RESPALDO"),"SIN-R ","")&amp;IF(AND(E193="hecho",I193="CITA-X"),"CITA-X ","")&amp;IF(AND(E193="hecho",I193="SIN-CITA"),"SIN-C ","")))))</f>
        <v/>
      </c>
      <c r="N193" s="5">
        <f>IF(D193="","",IF(OR(A193="",B193="",E193="",F193=""),"falta qid, modo, tipo o vs_ref",IF(AND(B193="llm",I193&lt;&gt;""),"respaldo no aplica en modo LLM",IF(AND(E193="abstencion",I193&lt;&gt;""),"una abstención no se califica en citas",IF(AND(B193="rag",E193="hecho",I193=""),"falta respaldo","ok")))))</f>
        <v/>
      </c>
    </row>
    <row r="194">
      <c r="A194" s="6" t="n"/>
      <c r="B194" s="6" t="n"/>
      <c r="C194" s="5">
        <f>IF(A194="","",COUNTIFS($A$2:A194,A194,$B$2:B194,B194))</f>
        <v/>
      </c>
      <c r="D194" s="6" t="n"/>
      <c r="E194" s="6" t="n"/>
      <c r="F194" s="6" t="n"/>
      <c r="G194" s="6" t="n"/>
      <c r="H194" s="6" t="n"/>
      <c r="I194" s="6" t="n"/>
      <c r="J194" s="6" t="n"/>
      <c r="K194" s="6" t="n"/>
      <c r="L194" s="6" t="n"/>
      <c r="M194" s="5">
        <f>IF(D194="","",IF(OR(E194="",F194=""),"",IF(TRIM(IF(AND(E194="hecho",F194="INCORRECTA"),"INC ","")&amp;IF(AND(E194="abstencion",F194="INCORRECTA"),"ABS-E ","")&amp;IF(AND(E194="hecho",F194="FUERA_REF",H194="no_resp"),"NO-ABS ","")&amp;IF(AND(E194="hecho",I194="SIN-RESPALDO"),"SIN-R ","")&amp;IF(AND(E194="hecho",I194="CITA-X"),"CITA-X ","")&amp;IF(AND(E194="hecho",I194="SIN-CITA"),"SIN-C ",""))="","-",TRIM(IF(AND(E194="hecho",F194="INCORRECTA"),"INC ","")&amp;IF(AND(E194="abstencion",F194="INCORRECTA"),"ABS-E ","")&amp;IF(AND(E194="hecho",F194="FUERA_REF",H194="no_resp"),"NO-ABS ","")&amp;IF(AND(E194="hecho",I194="SIN-RESPALDO"),"SIN-R ","")&amp;IF(AND(E194="hecho",I194="CITA-X"),"CITA-X ","")&amp;IF(AND(E194="hecho",I194="SIN-CITA"),"SIN-C ","")))))</f>
        <v/>
      </c>
      <c r="N194" s="5">
        <f>IF(D194="","",IF(OR(A194="",B194="",E194="",F194=""),"falta qid, modo, tipo o vs_ref",IF(AND(B194="llm",I194&lt;&gt;""),"respaldo no aplica en modo LLM",IF(AND(E194="abstencion",I194&lt;&gt;""),"una abstención no se califica en citas",IF(AND(B194="rag",E194="hecho",I194=""),"falta respaldo","ok")))))</f>
        <v/>
      </c>
    </row>
    <row r="195">
      <c r="A195" s="6" t="n"/>
      <c r="B195" s="6" t="n"/>
      <c r="C195" s="5">
        <f>IF(A195="","",COUNTIFS($A$2:A195,A195,$B$2:B195,B195))</f>
        <v/>
      </c>
      <c r="D195" s="6" t="n"/>
      <c r="E195" s="6" t="n"/>
      <c r="F195" s="6" t="n"/>
      <c r="G195" s="6" t="n"/>
      <c r="H195" s="6" t="n"/>
      <c r="I195" s="6" t="n"/>
      <c r="J195" s="6" t="n"/>
      <c r="K195" s="6" t="n"/>
      <c r="L195" s="6" t="n"/>
      <c r="M195" s="5">
        <f>IF(D195="","",IF(OR(E195="",F195=""),"",IF(TRIM(IF(AND(E195="hecho",F195="INCORRECTA"),"INC ","")&amp;IF(AND(E195="abstencion",F195="INCORRECTA"),"ABS-E ","")&amp;IF(AND(E195="hecho",F195="FUERA_REF",H195="no_resp"),"NO-ABS ","")&amp;IF(AND(E195="hecho",I195="SIN-RESPALDO"),"SIN-R ","")&amp;IF(AND(E195="hecho",I195="CITA-X"),"CITA-X ","")&amp;IF(AND(E195="hecho",I195="SIN-CITA"),"SIN-C ",""))="","-",TRIM(IF(AND(E195="hecho",F195="INCORRECTA"),"INC ","")&amp;IF(AND(E195="abstencion",F195="INCORRECTA"),"ABS-E ","")&amp;IF(AND(E195="hecho",F195="FUERA_REF",H195="no_resp"),"NO-ABS ","")&amp;IF(AND(E195="hecho",I195="SIN-RESPALDO"),"SIN-R ","")&amp;IF(AND(E195="hecho",I195="CITA-X"),"CITA-X ","")&amp;IF(AND(E195="hecho",I195="SIN-CITA"),"SIN-C ","")))))</f>
        <v/>
      </c>
      <c r="N195" s="5">
        <f>IF(D195="","",IF(OR(A195="",B195="",E195="",F195=""),"falta qid, modo, tipo o vs_ref",IF(AND(B195="llm",I195&lt;&gt;""),"respaldo no aplica en modo LLM",IF(AND(E195="abstencion",I195&lt;&gt;""),"una abstención no se califica en citas",IF(AND(B195="rag",E195="hecho",I195=""),"falta respaldo","ok")))))</f>
        <v/>
      </c>
    </row>
    <row r="196">
      <c r="A196" s="6" t="n"/>
      <c r="B196" s="6" t="n"/>
      <c r="C196" s="5">
        <f>IF(A196="","",COUNTIFS($A$2:A196,A196,$B$2:B196,B196))</f>
        <v/>
      </c>
      <c r="D196" s="6" t="n"/>
      <c r="E196" s="6" t="n"/>
      <c r="F196" s="6" t="n"/>
      <c r="G196" s="6" t="n"/>
      <c r="H196" s="6" t="n"/>
      <c r="I196" s="6" t="n"/>
      <c r="J196" s="6" t="n"/>
      <c r="K196" s="6" t="n"/>
      <c r="L196" s="6" t="n"/>
      <c r="M196" s="5">
        <f>IF(D196="","",IF(OR(E196="",F196=""),"",IF(TRIM(IF(AND(E196="hecho",F196="INCORRECTA"),"INC ","")&amp;IF(AND(E196="abstencion",F196="INCORRECTA"),"ABS-E ","")&amp;IF(AND(E196="hecho",F196="FUERA_REF",H196="no_resp"),"NO-ABS ","")&amp;IF(AND(E196="hecho",I196="SIN-RESPALDO"),"SIN-R ","")&amp;IF(AND(E196="hecho",I196="CITA-X"),"CITA-X ","")&amp;IF(AND(E196="hecho",I196="SIN-CITA"),"SIN-C ",""))="","-",TRIM(IF(AND(E196="hecho",F196="INCORRECTA"),"INC ","")&amp;IF(AND(E196="abstencion",F196="INCORRECTA"),"ABS-E ","")&amp;IF(AND(E196="hecho",F196="FUERA_REF",H196="no_resp"),"NO-ABS ","")&amp;IF(AND(E196="hecho",I196="SIN-RESPALDO"),"SIN-R ","")&amp;IF(AND(E196="hecho",I196="CITA-X"),"CITA-X ","")&amp;IF(AND(E196="hecho",I196="SIN-CITA"),"SIN-C ","")))))</f>
        <v/>
      </c>
      <c r="N196" s="5">
        <f>IF(D196="","",IF(OR(A196="",B196="",E196="",F196=""),"falta qid, modo, tipo o vs_ref",IF(AND(B196="llm",I196&lt;&gt;""),"respaldo no aplica en modo LLM",IF(AND(E196="abstencion",I196&lt;&gt;""),"una abstención no se califica en citas",IF(AND(B196="rag",E196="hecho",I196=""),"falta respaldo","ok")))))</f>
        <v/>
      </c>
    </row>
    <row r="197">
      <c r="A197" s="6" t="n"/>
      <c r="B197" s="6" t="n"/>
      <c r="C197" s="5">
        <f>IF(A197="","",COUNTIFS($A$2:A197,A197,$B$2:B197,B197))</f>
        <v/>
      </c>
      <c r="D197" s="6" t="n"/>
      <c r="E197" s="6" t="n"/>
      <c r="F197" s="6" t="n"/>
      <c r="G197" s="6" t="n"/>
      <c r="H197" s="6" t="n"/>
      <c r="I197" s="6" t="n"/>
      <c r="J197" s="6" t="n"/>
      <c r="K197" s="6" t="n"/>
      <c r="L197" s="6" t="n"/>
      <c r="M197" s="5">
        <f>IF(D197="","",IF(OR(E197="",F197=""),"",IF(TRIM(IF(AND(E197="hecho",F197="INCORRECTA"),"INC ","")&amp;IF(AND(E197="abstencion",F197="INCORRECTA"),"ABS-E ","")&amp;IF(AND(E197="hecho",F197="FUERA_REF",H197="no_resp"),"NO-ABS ","")&amp;IF(AND(E197="hecho",I197="SIN-RESPALDO"),"SIN-R ","")&amp;IF(AND(E197="hecho",I197="CITA-X"),"CITA-X ","")&amp;IF(AND(E197="hecho",I197="SIN-CITA"),"SIN-C ",""))="","-",TRIM(IF(AND(E197="hecho",F197="INCORRECTA"),"INC ","")&amp;IF(AND(E197="abstencion",F197="INCORRECTA"),"ABS-E ","")&amp;IF(AND(E197="hecho",F197="FUERA_REF",H197="no_resp"),"NO-ABS ","")&amp;IF(AND(E197="hecho",I197="SIN-RESPALDO"),"SIN-R ","")&amp;IF(AND(E197="hecho",I197="CITA-X"),"CITA-X ","")&amp;IF(AND(E197="hecho",I197="SIN-CITA"),"SIN-C ","")))))</f>
        <v/>
      </c>
      <c r="N197" s="5">
        <f>IF(D197="","",IF(OR(A197="",B197="",E197="",F197=""),"falta qid, modo, tipo o vs_ref",IF(AND(B197="llm",I197&lt;&gt;""),"respaldo no aplica en modo LLM",IF(AND(E197="abstencion",I197&lt;&gt;""),"una abstención no se califica en citas",IF(AND(B197="rag",E197="hecho",I197=""),"falta respaldo","ok")))))</f>
        <v/>
      </c>
    </row>
    <row r="198">
      <c r="A198" s="6" t="n"/>
      <c r="B198" s="6" t="n"/>
      <c r="C198" s="5">
        <f>IF(A198="","",COUNTIFS($A$2:A198,A198,$B$2:B198,B198))</f>
        <v/>
      </c>
      <c r="D198" s="6" t="n"/>
      <c r="E198" s="6" t="n"/>
      <c r="F198" s="6" t="n"/>
      <c r="G198" s="6" t="n"/>
      <c r="H198" s="6" t="n"/>
      <c r="I198" s="6" t="n"/>
      <c r="J198" s="6" t="n"/>
      <c r="K198" s="6" t="n"/>
      <c r="L198" s="6" t="n"/>
      <c r="M198" s="5">
        <f>IF(D198="","",IF(OR(E198="",F198=""),"",IF(TRIM(IF(AND(E198="hecho",F198="INCORRECTA"),"INC ","")&amp;IF(AND(E198="abstencion",F198="INCORRECTA"),"ABS-E ","")&amp;IF(AND(E198="hecho",F198="FUERA_REF",H198="no_resp"),"NO-ABS ","")&amp;IF(AND(E198="hecho",I198="SIN-RESPALDO"),"SIN-R ","")&amp;IF(AND(E198="hecho",I198="CITA-X"),"CITA-X ","")&amp;IF(AND(E198="hecho",I198="SIN-CITA"),"SIN-C ",""))="","-",TRIM(IF(AND(E198="hecho",F198="INCORRECTA"),"INC ","")&amp;IF(AND(E198="abstencion",F198="INCORRECTA"),"ABS-E ","")&amp;IF(AND(E198="hecho",F198="FUERA_REF",H198="no_resp"),"NO-ABS ","")&amp;IF(AND(E198="hecho",I198="SIN-RESPALDO"),"SIN-R ","")&amp;IF(AND(E198="hecho",I198="CITA-X"),"CITA-X ","")&amp;IF(AND(E198="hecho",I198="SIN-CITA"),"SIN-C ","")))))</f>
        <v/>
      </c>
      <c r="N198" s="5">
        <f>IF(D198="","",IF(OR(A198="",B198="",E198="",F198=""),"falta qid, modo, tipo o vs_ref",IF(AND(B198="llm",I198&lt;&gt;""),"respaldo no aplica en modo LLM",IF(AND(E198="abstencion",I198&lt;&gt;""),"una abstención no se califica en citas",IF(AND(B198="rag",E198="hecho",I198=""),"falta respaldo","ok")))))</f>
        <v/>
      </c>
    </row>
    <row r="199">
      <c r="A199" s="6" t="n"/>
      <c r="B199" s="6" t="n"/>
      <c r="C199" s="5">
        <f>IF(A199="","",COUNTIFS($A$2:A199,A199,$B$2:B199,B199))</f>
        <v/>
      </c>
      <c r="D199" s="6" t="n"/>
      <c r="E199" s="6" t="n"/>
      <c r="F199" s="6" t="n"/>
      <c r="G199" s="6" t="n"/>
      <c r="H199" s="6" t="n"/>
      <c r="I199" s="6" t="n"/>
      <c r="J199" s="6" t="n"/>
      <c r="K199" s="6" t="n"/>
      <c r="L199" s="6" t="n"/>
      <c r="M199" s="5">
        <f>IF(D199="","",IF(OR(E199="",F199=""),"",IF(TRIM(IF(AND(E199="hecho",F199="INCORRECTA"),"INC ","")&amp;IF(AND(E199="abstencion",F199="INCORRECTA"),"ABS-E ","")&amp;IF(AND(E199="hecho",F199="FUERA_REF",H199="no_resp"),"NO-ABS ","")&amp;IF(AND(E199="hecho",I199="SIN-RESPALDO"),"SIN-R ","")&amp;IF(AND(E199="hecho",I199="CITA-X"),"CITA-X ","")&amp;IF(AND(E199="hecho",I199="SIN-CITA"),"SIN-C ",""))="","-",TRIM(IF(AND(E199="hecho",F199="INCORRECTA"),"INC ","")&amp;IF(AND(E199="abstencion",F199="INCORRECTA"),"ABS-E ","")&amp;IF(AND(E199="hecho",F199="FUERA_REF",H199="no_resp"),"NO-ABS ","")&amp;IF(AND(E199="hecho",I199="SIN-RESPALDO"),"SIN-R ","")&amp;IF(AND(E199="hecho",I199="CITA-X"),"CITA-X ","")&amp;IF(AND(E199="hecho",I199="SIN-CITA"),"SIN-C ","")))))</f>
        <v/>
      </c>
      <c r="N199" s="5">
        <f>IF(D199="","",IF(OR(A199="",B199="",E199="",F199=""),"falta qid, modo, tipo o vs_ref",IF(AND(B199="llm",I199&lt;&gt;""),"respaldo no aplica en modo LLM",IF(AND(E199="abstencion",I199&lt;&gt;""),"una abstención no se califica en citas",IF(AND(B199="rag",E199="hecho",I199=""),"falta respaldo","ok")))))</f>
        <v/>
      </c>
    </row>
    <row r="200">
      <c r="A200" s="6" t="n"/>
      <c r="B200" s="6" t="n"/>
      <c r="C200" s="5">
        <f>IF(A200="","",COUNTIFS($A$2:A200,A200,$B$2:B200,B200))</f>
        <v/>
      </c>
      <c r="D200" s="6" t="n"/>
      <c r="E200" s="6" t="n"/>
      <c r="F200" s="6" t="n"/>
      <c r="G200" s="6" t="n"/>
      <c r="H200" s="6" t="n"/>
      <c r="I200" s="6" t="n"/>
      <c r="J200" s="6" t="n"/>
      <c r="K200" s="6" t="n"/>
      <c r="L200" s="6" t="n"/>
      <c r="M200" s="5">
        <f>IF(D200="","",IF(OR(E200="",F200=""),"",IF(TRIM(IF(AND(E200="hecho",F200="INCORRECTA"),"INC ","")&amp;IF(AND(E200="abstencion",F200="INCORRECTA"),"ABS-E ","")&amp;IF(AND(E200="hecho",F200="FUERA_REF",H200="no_resp"),"NO-ABS ","")&amp;IF(AND(E200="hecho",I200="SIN-RESPALDO"),"SIN-R ","")&amp;IF(AND(E200="hecho",I200="CITA-X"),"CITA-X ","")&amp;IF(AND(E200="hecho",I200="SIN-CITA"),"SIN-C ",""))="","-",TRIM(IF(AND(E200="hecho",F200="INCORRECTA"),"INC ","")&amp;IF(AND(E200="abstencion",F200="INCORRECTA"),"ABS-E ","")&amp;IF(AND(E200="hecho",F200="FUERA_REF",H200="no_resp"),"NO-ABS ","")&amp;IF(AND(E200="hecho",I200="SIN-RESPALDO"),"SIN-R ","")&amp;IF(AND(E200="hecho",I200="CITA-X"),"CITA-X ","")&amp;IF(AND(E200="hecho",I200="SIN-CITA"),"SIN-C ","")))))</f>
        <v/>
      </c>
      <c r="N200" s="5">
        <f>IF(D200="","",IF(OR(A200="",B200="",E200="",F200=""),"falta qid, modo, tipo o vs_ref",IF(AND(B200="llm",I200&lt;&gt;""),"respaldo no aplica en modo LLM",IF(AND(E200="abstencion",I200&lt;&gt;""),"una abstención no se califica en citas",IF(AND(B200="rag",E200="hecho",I200=""),"falta respaldo","ok")))))</f>
        <v/>
      </c>
    </row>
    <row r="201">
      <c r="A201" s="6" t="n"/>
      <c r="B201" s="6" t="n"/>
      <c r="C201" s="5">
        <f>IF(A201="","",COUNTIFS($A$2:A201,A201,$B$2:B201,B201))</f>
        <v/>
      </c>
      <c r="D201" s="6" t="n"/>
      <c r="E201" s="6" t="n"/>
      <c r="F201" s="6" t="n"/>
      <c r="G201" s="6" t="n"/>
      <c r="H201" s="6" t="n"/>
      <c r="I201" s="6" t="n"/>
      <c r="J201" s="6" t="n"/>
      <c r="K201" s="6" t="n"/>
      <c r="L201" s="6" t="n"/>
      <c r="M201" s="5">
        <f>IF(D201="","",IF(OR(E201="",F201=""),"",IF(TRIM(IF(AND(E201="hecho",F201="INCORRECTA"),"INC ","")&amp;IF(AND(E201="abstencion",F201="INCORRECTA"),"ABS-E ","")&amp;IF(AND(E201="hecho",F201="FUERA_REF",H201="no_resp"),"NO-ABS ","")&amp;IF(AND(E201="hecho",I201="SIN-RESPALDO"),"SIN-R ","")&amp;IF(AND(E201="hecho",I201="CITA-X"),"CITA-X ","")&amp;IF(AND(E201="hecho",I201="SIN-CITA"),"SIN-C ",""))="","-",TRIM(IF(AND(E201="hecho",F201="INCORRECTA"),"INC ","")&amp;IF(AND(E201="abstencion",F201="INCORRECTA"),"ABS-E ","")&amp;IF(AND(E201="hecho",F201="FUERA_REF",H201="no_resp"),"NO-ABS ","")&amp;IF(AND(E201="hecho",I201="SIN-RESPALDO"),"SIN-R ","")&amp;IF(AND(E201="hecho",I201="CITA-X"),"CITA-X ","")&amp;IF(AND(E201="hecho",I201="SIN-CITA"),"SIN-C ","")))))</f>
        <v/>
      </c>
      <c r="N201" s="5">
        <f>IF(D201="","",IF(OR(A201="",B201="",E201="",F201=""),"falta qid, modo, tipo o vs_ref",IF(AND(B201="llm",I201&lt;&gt;""),"respaldo no aplica en modo LLM",IF(AND(E201="abstencion",I201&lt;&gt;""),"una abstención no se califica en citas",IF(AND(B201="rag",E201="hecho",I201=""),"falta respaldo","ok")))))</f>
        <v/>
      </c>
    </row>
    <row r="202">
      <c r="A202" s="6" t="n"/>
      <c r="B202" s="6" t="n"/>
      <c r="C202" s="5">
        <f>IF(A202="","",COUNTIFS($A$2:A202,A202,$B$2:B202,B202))</f>
        <v/>
      </c>
      <c r="D202" s="6" t="n"/>
      <c r="E202" s="6" t="n"/>
      <c r="F202" s="6" t="n"/>
      <c r="G202" s="6" t="n"/>
      <c r="H202" s="6" t="n"/>
      <c r="I202" s="6" t="n"/>
      <c r="J202" s="6" t="n"/>
      <c r="K202" s="6" t="n"/>
      <c r="L202" s="6" t="n"/>
      <c r="M202" s="5">
        <f>IF(D202="","",IF(OR(E202="",F202=""),"",IF(TRIM(IF(AND(E202="hecho",F202="INCORRECTA"),"INC ","")&amp;IF(AND(E202="abstencion",F202="INCORRECTA"),"ABS-E ","")&amp;IF(AND(E202="hecho",F202="FUERA_REF",H202="no_resp"),"NO-ABS ","")&amp;IF(AND(E202="hecho",I202="SIN-RESPALDO"),"SIN-R ","")&amp;IF(AND(E202="hecho",I202="CITA-X"),"CITA-X ","")&amp;IF(AND(E202="hecho",I202="SIN-CITA"),"SIN-C ",""))="","-",TRIM(IF(AND(E202="hecho",F202="INCORRECTA"),"INC ","")&amp;IF(AND(E202="abstencion",F202="INCORRECTA"),"ABS-E ","")&amp;IF(AND(E202="hecho",F202="FUERA_REF",H202="no_resp"),"NO-ABS ","")&amp;IF(AND(E202="hecho",I202="SIN-RESPALDO"),"SIN-R ","")&amp;IF(AND(E202="hecho",I202="CITA-X"),"CITA-X ","")&amp;IF(AND(E202="hecho",I202="SIN-CITA"),"SIN-C ","")))))</f>
        <v/>
      </c>
      <c r="N202" s="5">
        <f>IF(D202="","",IF(OR(A202="",B202="",E202="",F202=""),"falta qid, modo, tipo o vs_ref",IF(AND(B202="llm",I202&lt;&gt;""),"respaldo no aplica en modo LLM",IF(AND(E202="abstencion",I202&lt;&gt;""),"una abstención no se califica en citas",IF(AND(B202="rag",E202="hecho",I202=""),"falta respaldo","ok")))))</f>
        <v/>
      </c>
    </row>
    <row r="203">
      <c r="A203" s="6" t="n"/>
      <c r="B203" s="6" t="n"/>
      <c r="C203" s="5">
        <f>IF(A203="","",COUNTIFS($A$2:A203,A203,$B$2:B203,B203))</f>
        <v/>
      </c>
      <c r="D203" s="6" t="n"/>
      <c r="E203" s="6" t="n"/>
      <c r="F203" s="6" t="n"/>
      <c r="G203" s="6" t="n"/>
      <c r="H203" s="6" t="n"/>
      <c r="I203" s="6" t="n"/>
      <c r="J203" s="6" t="n"/>
      <c r="K203" s="6" t="n"/>
      <c r="L203" s="6" t="n"/>
      <c r="M203" s="5">
        <f>IF(D203="","",IF(OR(E203="",F203=""),"",IF(TRIM(IF(AND(E203="hecho",F203="INCORRECTA"),"INC ","")&amp;IF(AND(E203="abstencion",F203="INCORRECTA"),"ABS-E ","")&amp;IF(AND(E203="hecho",F203="FUERA_REF",H203="no_resp"),"NO-ABS ","")&amp;IF(AND(E203="hecho",I203="SIN-RESPALDO"),"SIN-R ","")&amp;IF(AND(E203="hecho",I203="CITA-X"),"CITA-X ","")&amp;IF(AND(E203="hecho",I203="SIN-CITA"),"SIN-C ",""))="","-",TRIM(IF(AND(E203="hecho",F203="INCORRECTA"),"INC ","")&amp;IF(AND(E203="abstencion",F203="INCORRECTA"),"ABS-E ","")&amp;IF(AND(E203="hecho",F203="FUERA_REF",H203="no_resp"),"NO-ABS ","")&amp;IF(AND(E203="hecho",I203="SIN-RESPALDO"),"SIN-R ","")&amp;IF(AND(E203="hecho",I203="CITA-X"),"CITA-X ","")&amp;IF(AND(E203="hecho",I203="SIN-CITA"),"SIN-C ","")))))</f>
        <v/>
      </c>
      <c r="N203" s="5">
        <f>IF(D203="","",IF(OR(A203="",B203="",E203="",F203=""),"falta qid, modo, tipo o vs_ref",IF(AND(B203="llm",I203&lt;&gt;""),"respaldo no aplica en modo LLM",IF(AND(E203="abstencion",I203&lt;&gt;""),"una abstención no se califica en citas",IF(AND(B203="rag",E203="hecho",I203=""),"falta respaldo","ok")))))</f>
        <v/>
      </c>
    </row>
    <row r="204">
      <c r="A204" s="6" t="n"/>
      <c r="B204" s="6" t="n"/>
      <c r="C204" s="5">
        <f>IF(A204="","",COUNTIFS($A$2:A204,A204,$B$2:B204,B204))</f>
        <v/>
      </c>
      <c r="D204" s="6" t="n"/>
      <c r="E204" s="6" t="n"/>
      <c r="F204" s="6" t="n"/>
      <c r="G204" s="6" t="n"/>
      <c r="H204" s="6" t="n"/>
      <c r="I204" s="6" t="n"/>
      <c r="J204" s="6" t="n"/>
      <c r="K204" s="6" t="n"/>
      <c r="L204" s="6" t="n"/>
      <c r="M204" s="5">
        <f>IF(D204="","",IF(OR(E204="",F204=""),"",IF(TRIM(IF(AND(E204="hecho",F204="INCORRECTA"),"INC ","")&amp;IF(AND(E204="abstencion",F204="INCORRECTA"),"ABS-E ","")&amp;IF(AND(E204="hecho",F204="FUERA_REF",H204="no_resp"),"NO-ABS ","")&amp;IF(AND(E204="hecho",I204="SIN-RESPALDO"),"SIN-R ","")&amp;IF(AND(E204="hecho",I204="CITA-X"),"CITA-X ","")&amp;IF(AND(E204="hecho",I204="SIN-CITA"),"SIN-C ",""))="","-",TRIM(IF(AND(E204="hecho",F204="INCORRECTA"),"INC ","")&amp;IF(AND(E204="abstencion",F204="INCORRECTA"),"ABS-E ","")&amp;IF(AND(E204="hecho",F204="FUERA_REF",H204="no_resp"),"NO-ABS ","")&amp;IF(AND(E204="hecho",I204="SIN-RESPALDO"),"SIN-R ","")&amp;IF(AND(E204="hecho",I204="CITA-X"),"CITA-X ","")&amp;IF(AND(E204="hecho",I204="SIN-CITA"),"SIN-C ","")))))</f>
        <v/>
      </c>
      <c r="N204" s="5">
        <f>IF(D204="","",IF(OR(A204="",B204="",E204="",F204=""),"falta qid, modo, tipo o vs_ref",IF(AND(B204="llm",I204&lt;&gt;""),"respaldo no aplica en modo LLM",IF(AND(E204="abstencion",I204&lt;&gt;""),"una abstención no se califica en citas",IF(AND(B204="rag",E204="hecho",I204=""),"falta respaldo","ok")))))</f>
        <v/>
      </c>
    </row>
    <row r="205">
      <c r="A205" s="6" t="n"/>
      <c r="B205" s="6" t="n"/>
      <c r="C205" s="5">
        <f>IF(A205="","",COUNTIFS($A$2:A205,A205,$B$2:B205,B205))</f>
        <v/>
      </c>
      <c r="D205" s="6" t="n"/>
      <c r="E205" s="6" t="n"/>
      <c r="F205" s="6" t="n"/>
      <c r="G205" s="6" t="n"/>
      <c r="H205" s="6" t="n"/>
      <c r="I205" s="6" t="n"/>
      <c r="J205" s="6" t="n"/>
      <c r="K205" s="6" t="n"/>
      <c r="L205" s="6" t="n"/>
      <c r="M205" s="5">
        <f>IF(D205="","",IF(OR(E205="",F205=""),"",IF(TRIM(IF(AND(E205="hecho",F205="INCORRECTA"),"INC ","")&amp;IF(AND(E205="abstencion",F205="INCORRECTA"),"ABS-E ","")&amp;IF(AND(E205="hecho",F205="FUERA_REF",H205="no_resp"),"NO-ABS ","")&amp;IF(AND(E205="hecho",I205="SIN-RESPALDO"),"SIN-R ","")&amp;IF(AND(E205="hecho",I205="CITA-X"),"CITA-X ","")&amp;IF(AND(E205="hecho",I205="SIN-CITA"),"SIN-C ",""))="","-",TRIM(IF(AND(E205="hecho",F205="INCORRECTA"),"INC ","")&amp;IF(AND(E205="abstencion",F205="INCORRECTA"),"ABS-E ","")&amp;IF(AND(E205="hecho",F205="FUERA_REF",H205="no_resp"),"NO-ABS ","")&amp;IF(AND(E205="hecho",I205="SIN-RESPALDO"),"SIN-R ","")&amp;IF(AND(E205="hecho",I205="CITA-X"),"CITA-X ","")&amp;IF(AND(E205="hecho",I205="SIN-CITA"),"SIN-C ","")))))</f>
        <v/>
      </c>
      <c r="N205" s="5">
        <f>IF(D205="","",IF(OR(A205="",B205="",E205="",F205=""),"falta qid, modo, tipo o vs_ref",IF(AND(B205="llm",I205&lt;&gt;""),"respaldo no aplica en modo LLM",IF(AND(E205="abstencion",I205&lt;&gt;""),"una abstención no se califica en citas",IF(AND(B205="rag",E205="hecho",I205=""),"falta respaldo","ok")))))</f>
        <v/>
      </c>
    </row>
    <row r="206">
      <c r="A206" s="6" t="n"/>
      <c r="B206" s="6" t="n"/>
      <c r="C206" s="5">
        <f>IF(A206="","",COUNTIFS($A$2:A206,A206,$B$2:B206,B206))</f>
        <v/>
      </c>
      <c r="D206" s="6" t="n"/>
      <c r="E206" s="6" t="n"/>
      <c r="F206" s="6" t="n"/>
      <c r="G206" s="6" t="n"/>
      <c r="H206" s="6" t="n"/>
      <c r="I206" s="6" t="n"/>
      <c r="J206" s="6" t="n"/>
      <c r="K206" s="6" t="n"/>
      <c r="L206" s="6" t="n"/>
      <c r="M206" s="5">
        <f>IF(D206="","",IF(OR(E206="",F206=""),"",IF(TRIM(IF(AND(E206="hecho",F206="INCORRECTA"),"INC ","")&amp;IF(AND(E206="abstencion",F206="INCORRECTA"),"ABS-E ","")&amp;IF(AND(E206="hecho",F206="FUERA_REF",H206="no_resp"),"NO-ABS ","")&amp;IF(AND(E206="hecho",I206="SIN-RESPALDO"),"SIN-R ","")&amp;IF(AND(E206="hecho",I206="CITA-X"),"CITA-X ","")&amp;IF(AND(E206="hecho",I206="SIN-CITA"),"SIN-C ",""))="","-",TRIM(IF(AND(E206="hecho",F206="INCORRECTA"),"INC ","")&amp;IF(AND(E206="abstencion",F206="INCORRECTA"),"ABS-E ","")&amp;IF(AND(E206="hecho",F206="FUERA_REF",H206="no_resp"),"NO-ABS ","")&amp;IF(AND(E206="hecho",I206="SIN-RESPALDO"),"SIN-R ","")&amp;IF(AND(E206="hecho",I206="CITA-X"),"CITA-X ","")&amp;IF(AND(E206="hecho",I206="SIN-CITA"),"SIN-C ","")))))</f>
        <v/>
      </c>
      <c r="N206" s="5">
        <f>IF(D206="","",IF(OR(A206="",B206="",E206="",F206=""),"falta qid, modo, tipo o vs_ref",IF(AND(B206="llm",I206&lt;&gt;""),"respaldo no aplica en modo LLM",IF(AND(E206="abstencion",I206&lt;&gt;""),"una abstención no se califica en citas",IF(AND(B206="rag",E206="hecho",I206=""),"falta respaldo","ok")))))</f>
        <v/>
      </c>
    </row>
    <row r="207">
      <c r="A207" s="6" t="n"/>
      <c r="B207" s="6" t="n"/>
      <c r="C207" s="5">
        <f>IF(A207="","",COUNTIFS($A$2:A207,A207,$B$2:B207,B207))</f>
        <v/>
      </c>
      <c r="D207" s="6" t="n"/>
      <c r="E207" s="6" t="n"/>
      <c r="F207" s="6" t="n"/>
      <c r="G207" s="6" t="n"/>
      <c r="H207" s="6" t="n"/>
      <c r="I207" s="6" t="n"/>
      <c r="J207" s="6" t="n"/>
      <c r="K207" s="6" t="n"/>
      <c r="L207" s="6" t="n"/>
      <c r="M207" s="5">
        <f>IF(D207="","",IF(OR(E207="",F207=""),"",IF(TRIM(IF(AND(E207="hecho",F207="INCORRECTA"),"INC ","")&amp;IF(AND(E207="abstencion",F207="INCORRECTA"),"ABS-E ","")&amp;IF(AND(E207="hecho",F207="FUERA_REF",H207="no_resp"),"NO-ABS ","")&amp;IF(AND(E207="hecho",I207="SIN-RESPALDO"),"SIN-R ","")&amp;IF(AND(E207="hecho",I207="CITA-X"),"CITA-X ","")&amp;IF(AND(E207="hecho",I207="SIN-CITA"),"SIN-C ",""))="","-",TRIM(IF(AND(E207="hecho",F207="INCORRECTA"),"INC ","")&amp;IF(AND(E207="abstencion",F207="INCORRECTA"),"ABS-E ","")&amp;IF(AND(E207="hecho",F207="FUERA_REF",H207="no_resp"),"NO-ABS ","")&amp;IF(AND(E207="hecho",I207="SIN-RESPALDO"),"SIN-R ","")&amp;IF(AND(E207="hecho",I207="CITA-X"),"CITA-X ","")&amp;IF(AND(E207="hecho",I207="SIN-CITA"),"SIN-C ","")))))</f>
        <v/>
      </c>
      <c r="N207" s="5">
        <f>IF(D207="","",IF(OR(A207="",B207="",E207="",F207=""),"falta qid, modo, tipo o vs_ref",IF(AND(B207="llm",I207&lt;&gt;""),"respaldo no aplica en modo LLM",IF(AND(E207="abstencion",I207&lt;&gt;""),"una abstención no se califica en citas",IF(AND(B207="rag",E207="hecho",I207=""),"falta respaldo","ok")))))</f>
        <v/>
      </c>
    </row>
    <row r="208">
      <c r="A208" s="6" t="n"/>
      <c r="B208" s="6" t="n"/>
      <c r="C208" s="5">
        <f>IF(A208="","",COUNTIFS($A$2:A208,A208,$B$2:B208,B208))</f>
        <v/>
      </c>
      <c r="D208" s="6" t="n"/>
      <c r="E208" s="6" t="n"/>
      <c r="F208" s="6" t="n"/>
      <c r="G208" s="6" t="n"/>
      <c r="H208" s="6" t="n"/>
      <c r="I208" s="6" t="n"/>
      <c r="J208" s="6" t="n"/>
      <c r="K208" s="6" t="n"/>
      <c r="L208" s="6" t="n"/>
      <c r="M208" s="5">
        <f>IF(D208="","",IF(OR(E208="",F208=""),"",IF(TRIM(IF(AND(E208="hecho",F208="INCORRECTA"),"INC ","")&amp;IF(AND(E208="abstencion",F208="INCORRECTA"),"ABS-E ","")&amp;IF(AND(E208="hecho",F208="FUERA_REF",H208="no_resp"),"NO-ABS ","")&amp;IF(AND(E208="hecho",I208="SIN-RESPALDO"),"SIN-R ","")&amp;IF(AND(E208="hecho",I208="CITA-X"),"CITA-X ","")&amp;IF(AND(E208="hecho",I208="SIN-CITA"),"SIN-C ",""))="","-",TRIM(IF(AND(E208="hecho",F208="INCORRECTA"),"INC ","")&amp;IF(AND(E208="abstencion",F208="INCORRECTA"),"ABS-E ","")&amp;IF(AND(E208="hecho",F208="FUERA_REF",H208="no_resp"),"NO-ABS ","")&amp;IF(AND(E208="hecho",I208="SIN-RESPALDO"),"SIN-R ","")&amp;IF(AND(E208="hecho",I208="CITA-X"),"CITA-X ","")&amp;IF(AND(E208="hecho",I208="SIN-CITA"),"SIN-C ","")))))</f>
        <v/>
      </c>
      <c r="N208" s="5">
        <f>IF(D208="","",IF(OR(A208="",B208="",E208="",F208=""),"falta qid, modo, tipo o vs_ref",IF(AND(B208="llm",I208&lt;&gt;""),"respaldo no aplica en modo LLM",IF(AND(E208="abstencion",I208&lt;&gt;""),"una abstención no se califica en citas",IF(AND(B208="rag",E208="hecho",I208=""),"falta respaldo","ok")))))</f>
        <v/>
      </c>
    </row>
    <row r="209">
      <c r="A209" s="6" t="n"/>
      <c r="B209" s="6" t="n"/>
      <c r="C209" s="5">
        <f>IF(A209="","",COUNTIFS($A$2:A209,A209,$B$2:B209,B209))</f>
        <v/>
      </c>
      <c r="D209" s="6" t="n"/>
      <c r="E209" s="6" t="n"/>
      <c r="F209" s="6" t="n"/>
      <c r="G209" s="6" t="n"/>
      <c r="H209" s="6" t="n"/>
      <c r="I209" s="6" t="n"/>
      <c r="J209" s="6" t="n"/>
      <c r="K209" s="6" t="n"/>
      <c r="L209" s="6" t="n"/>
      <c r="M209" s="5">
        <f>IF(D209="","",IF(OR(E209="",F209=""),"",IF(TRIM(IF(AND(E209="hecho",F209="INCORRECTA"),"INC ","")&amp;IF(AND(E209="abstencion",F209="INCORRECTA"),"ABS-E ","")&amp;IF(AND(E209="hecho",F209="FUERA_REF",H209="no_resp"),"NO-ABS ","")&amp;IF(AND(E209="hecho",I209="SIN-RESPALDO"),"SIN-R ","")&amp;IF(AND(E209="hecho",I209="CITA-X"),"CITA-X ","")&amp;IF(AND(E209="hecho",I209="SIN-CITA"),"SIN-C ",""))="","-",TRIM(IF(AND(E209="hecho",F209="INCORRECTA"),"INC ","")&amp;IF(AND(E209="abstencion",F209="INCORRECTA"),"ABS-E ","")&amp;IF(AND(E209="hecho",F209="FUERA_REF",H209="no_resp"),"NO-ABS ","")&amp;IF(AND(E209="hecho",I209="SIN-RESPALDO"),"SIN-R ","")&amp;IF(AND(E209="hecho",I209="CITA-X"),"CITA-X ","")&amp;IF(AND(E209="hecho",I209="SIN-CITA"),"SIN-C ","")))))</f>
        <v/>
      </c>
      <c r="N209" s="5">
        <f>IF(D209="","",IF(OR(A209="",B209="",E209="",F209=""),"falta qid, modo, tipo o vs_ref",IF(AND(B209="llm",I209&lt;&gt;""),"respaldo no aplica en modo LLM",IF(AND(E209="abstencion",I209&lt;&gt;""),"una abstención no se califica en citas",IF(AND(B209="rag",E209="hecho",I209=""),"falta respaldo","ok")))))</f>
        <v/>
      </c>
    </row>
    <row r="210">
      <c r="A210" s="6" t="n"/>
      <c r="B210" s="6" t="n"/>
      <c r="C210" s="5">
        <f>IF(A210="","",COUNTIFS($A$2:A210,A210,$B$2:B210,B210))</f>
        <v/>
      </c>
      <c r="D210" s="6" t="n"/>
      <c r="E210" s="6" t="n"/>
      <c r="F210" s="6" t="n"/>
      <c r="G210" s="6" t="n"/>
      <c r="H210" s="6" t="n"/>
      <c r="I210" s="6" t="n"/>
      <c r="J210" s="6" t="n"/>
      <c r="K210" s="6" t="n"/>
      <c r="L210" s="6" t="n"/>
      <c r="M210" s="5">
        <f>IF(D210="","",IF(OR(E210="",F210=""),"",IF(TRIM(IF(AND(E210="hecho",F210="INCORRECTA"),"INC ","")&amp;IF(AND(E210="abstencion",F210="INCORRECTA"),"ABS-E ","")&amp;IF(AND(E210="hecho",F210="FUERA_REF",H210="no_resp"),"NO-ABS ","")&amp;IF(AND(E210="hecho",I210="SIN-RESPALDO"),"SIN-R ","")&amp;IF(AND(E210="hecho",I210="CITA-X"),"CITA-X ","")&amp;IF(AND(E210="hecho",I210="SIN-CITA"),"SIN-C ",""))="","-",TRIM(IF(AND(E210="hecho",F210="INCORRECTA"),"INC ","")&amp;IF(AND(E210="abstencion",F210="INCORRECTA"),"ABS-E ","")&amp;IF(AND(E210="hecho",F210="FUERA_REF",H210="no_resp"),"NO-ABS ","")&amp;IF(AND(E210="hecho",I210="SIN-RESPALDO"),"SIN-R ","")&amp;IF(AND(E210="hecho",I210="CITA-X"),"CITA-X ","")&amp;IF(AND(E210="hecho",I210="SIN-CITA"),"SIN-C ","")))))</f>
        <v/>
      </c>
      <c r="N210" s="5">
        <f>IF(D210="","",IF(OR(A210="",B210="",E210="",F210=""),"falta qid, modo, tipo o vs_ref",IF(AND(B210="llm",I210&lt;&gt;""),"respaldo no aplica en modo LLM",IF(AND(E210="abstencion",I210&lt;&gt;""),"una abstención no se califica en citas",IF(AND(B210="rag",E210="hecho",I210=""),"falta respaldo","ok")))))</f>
        <v/>
      </c>
    </row>
    <row r="211">
      <c r="A211" s="6" t="n"/>
      <c r="B211" s="6" t="n"/>
      <c r="C211" s="5">
        <f>IF(A211="","",COUNTIFS($A$2:A211,A211,$B$2:B211,B211))</f>
        <v/>
      </c>
      <c r="D211" s="6" t="n"/>
      <c r="E211" s="6" t="n"/>
      <c r="F211" s="6" t="n"/>
      <c r="G211" s="6" t="n"/>
      <c r="H211" s="6" t="n"/>
      <c r="I211" s="6" t="n"/>
      <c r="J211" s="6" t="n"/>
      <c r="K211" s="6" t="n"/>
      <c r="L211" s="6" t="n"/>
      <c r="M211" s="5">
        <f>IF(D211="","",IF(OR(E211="",F211=""),"",IF(TRIM(IF(AND(E211="hecho",F211="INCORRECTA"),"INC ","")&amp;IF(AND(E211="abstencion",F211="INCORRECTA"),"ABS-E ","")&amp;IF(AND(E211="hecho",F211="FUERA_REF",H211="no_resp"),"NO-ABS ","")&amp;IF(AND(E211="hecho",I211="SIN-RESPALDO"),"SIN-R ","")&amp;IF(AND(E211="hecho",I211="CITA-X"),"CITA-X ","")&amp;IF(AND(E211="hecho",I211="SIN-CITA"),"SIN-C ",""))="","-",TRIM(IF(AND(E211="hecho",F211="INCORRECTA"),"INC ","")&amp;IF(AND(E211="abstencion",F211="INCORRECTA"),"ABS-E ","")&amp;IF(AND(E211="hecho",F211="FUERA_REF",H211="no_resp"),"NO-ABS ","")&amp;IF(AND(E211="hecho",I211="SIN-RESPALDO"),"SIN-R ","")&amp;IF(AND(E211="hecho",I211="CITA-X"),"CITA-X ","")&amp;IF(AND(E211="hecho",I211="SIN-CITA"),"SIN-C ","")))))</f>
        <v/>
      </c>
      <c r="N211" s="5">
        <f>IF(D211="","",IF(OR(A211="",B211="",E211="",F211=""),"falta qid, modo, tipo o vs_ref",IF(AND(B211="llm",I211&lt;&gt;""),"respaldo no aplica en modo LLM",IF(AND(E211="abstencion",I211&lt;&gt;""),"una abstención no se califica en citas",IF(AND(B211="rag",E211="hecho",I211=""),"falta respaldo","ok")))))</f>
        <v/>
      </c>
    </row>
    <row r="212">
      <c r="A212" s="6" t="n"/>
      <c r="B212" s="6" t="n"/>
      <c r="C212" s="5">
        <f>IF(A212="","",COUNTIFS($A$2:A212,A212,$B$2:B212,B212))</f>
        <v/>
      </c>
      <c r="D212" s="6" t="n"/>
      <c r="E212" s="6" t="n"/>
      <c r="F212" s="6" t="n"/>
      <c r="G212" s="6" t="n"/>
      <c r="H212" s="6" t="n"/>
      <c r="I212" s="6" t="n"/>
      <c r="J212" s="6" t="n"/>
      <c r="K212" s="6" t="n"/>
      <c r="L212" s="6" t="n"/>
      <c r="M212" s="5">
        <f>IF(D212="","",IF(OR(E212="",F212=""),"",IF(TRIM(IF(AND(E212="hecho",F212="INCORRECTA"),"INC ","")&amp;IF(AND(E212="abstencion",F212="INCORRECTA"),"ABS-E ","")&amp;IF(AND(E212="hecho",F212="FUERA_REF",H212="no_resp"),"NO-ABS ","")&amp;IF(AND(E212="hecho",I212="SIN-RESPALDO"),"SIN-R ","")&amp;IF(AND(E212="hecho",I212="CITA-X"),"CITA-X ","")&amp;IF(AND(E212="hecho",I212="SIN-CITA"),"SIN-C ",""))="","-",TRIM(IF(AND(E212="hecho",F212="INCORRECTA"),"INC ","")&amp;IF(AND(E212="abstencion",F212="INCORRECTA"),"ABS-E ","")&amp;IF(AND(E212="hecho",F212="FUERA_REF",H212="no_resp"),"NO-ABS ","")&amp;IF(AND(E212="hecho",I212="SIN-RESPALDO"),"SIN-R ","")&amp;IF(AND(E212="hecho",I212="CITA-X"),"CITA-X ","")&amp;IF(AND(E212="hecho",I212="SIN-CITA"),"SIN-C ","")))))</f>
        <v/>
      </c>
      <c r="N212" s="5">
        <f>IF(D212="","",IF(OR(A212="",B212="",E212="",F212=""),"falta qid, modo, tipo o vs_ref",IF(AND(B212="llm",I212&lt;&gt;""),"respaldo no aplica en modo LLM",IF(AND(E212="abstencion",I212&lt;&gt;""),"una abstención no se califica en citas",IF(AND(B212="rag",E212="hecho",I212=""),"falta respaldo","ok")))))</f>
        <v/>
      </c>
    </row>
    <row r="213">
      <c r="A213" s="6" t="n"/>
      <c r="B213" s="6" t="n"/>
      <c r="C213" s="5">
        <f>IF(A213="","",COUNTIFS($A$2:A213,A213,$B$2:B213,B213))</f>
        <v/>
      </c>
      <c r="D213" s="6" t="n"/>
      <c r="E213" s="6" t="n"/>
      <c r="F213" s="6" t="n"/>
      <c r="G213" s="6" t="n"/>
      <c r="H213" s="6" t="n"/>
      <c r="I213" s="6" t="n"/>
      <c r="J213" s="6" t="n"/>
      <c r="K213" s="6" t="n"/>
      <c r="L213" s="6" t="n"/>
      <c r="M213" s="5">
        <f>IF(D213="","",IF(OR(E213="",F213=""),"",IF(TRIM(IF(AND(E213="hecho",F213="INCORRECTA"),"INC ","")&amp;IF(AND(E213="abstencion",F213="INCORRECTA"),"ABS-E ","")&amp;IF(AND(E213="hecho",F213="FUERA_REF",H213="no_resp"),"NO-ABS ","")&amp;IF(AND(E213="hecho",I213="SIN-RESPALDO"),"SIN-R ","")&amp;IF(AND(E213="hecho",I213="CITA-X"),"CITA-X ","")&amp;IF(AND(E213="hecho",I213="SIN-CITA"),"SIN-C ",""))="","-",TRIM(IF(AND(E213="hecho",F213="INCORRECTA"),"INC ","")&amp;IF(AND(E213="abstencion",F213="INCORRECTA"),"ABS-E ","")&amp;IF(AND(E213="hecho",F213="FUERA_REF",H213="no_resp"),"NO-ABS ","")&amp;IF(AND(E213="hecho",I213="SIN-RESPALDO"),"SIN-R ","")&amp;IF(AND(E213="hecho",I213="CITA-X"),"CITA-X ","")&amp;IF(AND(E213="hecho",I213="SIN-CITA"),"SIN-C ","")))))</f>
        <v/>
      </c>
      <c r="N213" s="5">
        <f>IF(D213="","",IF(OR(A213="",B213="",E213="",F213=""),"falta qid, modo, tipo o vs_ref",IF(AND(B213="llm",I213&lt;&gt;""),"respaldo no aplica en modo LLM",IF(AND(E213="abstencion",I213&lt;&gt;""),"una abstención no se califica en citas",IF(AND(B213="rag",E213="hecho",I213=""),"falta respaldo","ok")))))</f>
        <v/>
      </c>
    </row>
    <row r="214">
      <c r="A214" s="6" t="n"/>
      <c r="B214" s="6" t="n"/>
      <c r="C214" s="5">
        <f>IF(A214="","",COUNTIFS($A$2:A214,A214,$B$2:B214,B214))</f>
        <v/>
      </c>
      <c r="D214" s="6" t="n"/>
      <c r="E214" s="6" t="n"/>
      <c r="F214" s="6" t="n"/>
      <c r="G214" s="6" t="n"/>
      <c r="H214" s="6" t="n"/>
      <c r="I214" s="6" t="n"/>
      <c r="J214" s="6" t="n"/>
      <c r="K214" s="6" t="n"/>
      <c r="L214" s="6" t="n"/>
      <c r="M214" s="5">
        <f>IF(D214="","",IF(OR(E214="",F214=""),"",IF(TRIM(IF(AND(E214="hecho",F214="INCORRECTA"),"INC ","")&amp;IF(AND(E214="abstencion",F214="INCORRECTA"),"ABS-E ","")&amp;IF(AND(E214="hecho",F214="FUERA_REF",H214="no_resp"),"NO-ABS ","")&amp;IF(AND(E214="hecho",I214="SIN-RESPALDO"),"SIN-R ","")&amp;IF(AND(E214="hecho",I214="CITA-X"),"CITA-X ","")&amp;IF(AND(E214="hecho",I214="SIN-CITA"),"SIN-C ",""))="","-",TRIM(IF(AND(E214="hecho",F214="INCORRECTA"),"INC ","")&amp;IF(AND(E214="abstencion",F214="INCORRECTA"),"ABS-E ","")&amp;IF(AND(E214="hecho",F214="FUERA_REF",H214="no_resp"),"NO-ABS ","")&amp;IF(AND(E214="hecho",I214="SIN-RESPALDO"),"SIN-R ","")&amp;IF(AND(E214="hecho",I214="CITA-X"),"CITA-X ","")&amp;IF(AND(E214="hecho",I214="SIN-CITA"),"SIN-C ","")))))</f>
        <v/>
      </c>
      <c r="N214" s="5">
        <f>IF(D214="","",IF(OR(A214="",B214="",E214="",F214=""),"falta qid, modo, tipo o vs_ref",IF(AND(B214="llm",I214&lt;&gt;""),"respaldo no aplica en modo LLM",IF(AND(E214="abstencion",I214&lt;&gt;""),"una abstención no se califica en citas",IF(AND(B214="rag",E214="hecho",I214=""),"falta respaldo","ok")))))</f>
        <v/>
      </c>
    </row>
    <row r="215">
      <c r="A215" s="6" t="n"/>
      <c r="B215" s="6" t="n"/>
      <c r="C215" s="5">
        <f>IF(A215="","",COUNTIFS($A$2:A215,A215,$B$2:B215,B215))</f>
        <v/>
      </c>
      <c r="D215" s="6" t="n"/>
      <c r="E215" s="6" t="n"/>
      <c r="F215" s="6" t="n"/>
      <c r="G215" s="6" t="n"/>
      <c r="H215" s="6" t="n"/>
      <c r="I215" s="6" t="n"/>
      <c r="J215" s="6" t="n"/>
      <c r="K215" s="6" t="n"/>
      <c r="L215" s="6" t="n"/>
      <c r="M215" s="5">
        <f>IF(D215="","",IF(OR(E215="",F215=""),"",IF(TRIM(IF(AND(E215="hecho",F215="INCORRECTA"),"INC ","")&amp;IF(AND(E215="abstencion",F215="INCORRECTA"),"ABS-E ","")&amp;IF(AND(E215="hecho",F215="FUERA_REF",H215="no_resp"),"NO-ABS ","")&amp;IF(AND(E215="hecho",I215="SIN-RESPALDO"),"SIN-R ","")&amp;IF(AND(E215="hecho",I215="CITA-X"),"CITA-X ","")&amp;IF(AND(E215="hecho",I215="SIN-CITA"),"SIN-C ",""))="","-",TRIM(IF(AND(E215="hecho",F215="INCORRECTA"),"INC ","")&amp;IF(AND(E215="abstencion",F215="INCORRECTA"),"ABS-E ","")&amp;IF(AND(E215="hecho",F215="FUERA_REF",H215="no_resp"),"NO-ABS ","")&amp;IF(AND(E215="hecho",I215="SIN-RESPALDO"),"SIN-R ","")&amp;IF(AND(E215="hecho",I215="CITA-X"),"CITA-X ","")&amp;IF(AND(E215="hecho",I215="SIN-CITA"),"SIN-C ","")))))</f>
        <v/>
      </c>
      <c r="N215" s="5">
        <f>IF(D215="","",IF(OR(A215="",B215="",E215="",F215=""),"falta qid, modo, tipo o vs_ref",IF(AND(B215="llm",I215&lt;&gt;""),"respaldo no aplica en modo LLM",IF(AND(E215="abstencion",I215&lt;&gt;""),"una abstención no se califica en citas",IF(AND(B215="rag",E215="hecho",I215=""),"falta respaldo","ok")))))</f>
        <v/>
      </c>
    </row>
    <row r="216">
      <c r="A216" s="6" t="n"/>
      <c r="B216" s="6" t="n"/>
      <c r="C216" s="5">
        <f>IF(A216="","",COUNTIFS($A$2:A216,A216,$B$2:B216,B216))</f>
        <v/>
      </c>
      <c r="D216" s="6" t="n"/>
      <c r="E216" s="6" t="n"/>
      <c r="F216" s="6" t="n"/>
      <c r="G216" s="6" t="n"/>
      <c r="H216" s="6" t="n"/>
      <c r="I216" s="6" t="n"/>
      <c r="J216" s="6" t="n"/>
      <c r="K216" s="6" t="n"/>
      <c r="L216" s="6" t="n"/>
      <c r="M216" s="5">
        <f>IF(D216="","",IF(OR(E216="",F216=""),"",IF(TRIM(IF(AND(E216="hecho",F216="INCORRECTA"),"INC ","")&amp;IF(AND(E216="abstencion",F216="INCORRECTA"),"ABS-E ","")&amp;IF(AND(E216="hecho",F216="FUERA_REF",H216="no_resp"),"NO-ABS ","")&amp;IF(AND(E216="hecho",I216="SIN-RESPALDO"),"SIN-R ","")&amp;IF(AND(E216="hecho",I216="CITA-X"),"CITA-X ","")&amp;IF(AND(E216="hecho",I216="SIN-CITA"),"SIN-C ",""))="","-",TRIM(IF(AND(E216="hecho",F216="INCORRECTA"),"INC ","")&amp;IF(AND(E216="abstencion",F216="INCORRECTA"),"ABS-E ","")&amp;IF(AND(E216="hecho",F216="FUERA_REF",H216="no_resp"),"NO-ABS ","")&amp;IF(AND(E216="hecho",I216="SIN-RESPALDO"),"SIN-R ","")&amp;IF(AND(E216="hecho",I216="CITA-X"),"CITA-X ","")&amp;IF(AND(E216="hecho",I216="SIN-CITA"),"SIN-C ","")))))</f>
        <v/>
      </c>
      <c r="N216" s="5">
        <f>IF(D216="","",IF(OR(A216="",B216="",E216="",F216=""),"falta qid, modo, tipo o vs_ref",IF(AND(B216="llm",I216&lt;&gt;""),"respaldo no aplica en modo LLM",IF(AND(E216="abstencion",I216&lt;&gt;""),"una abstención no se califica en citas",IF(AND(B216="rag",E216="hecho",I216=""),"falta respaldo","ok")))))</f>
        <v/>
      </c>
    </row>
    <row r="217">
      <c r="A217" s="6" t="n"/>
      <c r="B217" s="6" t="n"/>
      <c r="C217" s="5">
        <f>IF(A217="","",COUNTIFS($A$2:A217,A217,$B$2:B217,B217))</f>
        <v/>
      </c>
      <c r="D217" s="6" t="n"/>
      <c r="E217" s="6" t="n"/>
      <c r="F217" s="6" t="n"/>
      <c r="G217" s="6" t="n"/>
      <c r="H217" s="6" t="n"/>
      <c r="I217" s="6" t="n"/>
      <c r="J217" s="6" t="n"/>
      <c r="K217" s="6" t="n"/>
      <c r="L217" s="6" t="n"/>
      <c r="M217" s="5">
        <f>IF(D217="","",IF(OR(E217="",F217=""),"",IF(TRIM(IF(AND(E217="hecho",F217="INCORRECTA"),"INC ","")&amp;IF(AND(E217="abstencion",F217="INCORRECTA"),"ABS-E ","")&amp;IF(AND(E217="hecho",F217="FUERA_REF",H217="no_resp"),"NO-ABS ","")&amp;IF(AND(E217="hecho",I217="SIN-RESPALDO"),"SIN-R ","")&amp;IF(AND(E217="hecho",I217="CITA-X"),"CITA-X ","")&amp;IF(AND(E217="hecho",I217="SIN-CITA"),"SIN-C ",""))="","-",TRIM(IF(AND(E217="hecho",F217="INCORRECTA"),"INC ","")&amp;IF(AND(E217="abstencion",F217="INCORRECTA"),"ABS-E ","")&amp;IF(AND(E217="hecho",F217="FUERA_REF",H217="no_resp"),"NO-ABS ","")&amp;IF(AND(E217="hecho",I217="SIN-RESPALDO"),"SIN-R ","")&amp;IF(AND(E217="hecho",I217="CITA-X"),"CITA-X ","")&amp;IF(AND(E217="hecho",I217="SIN-CITA"),"SIN-C ","")))))</f>
        <v/>
      </c>
      <c r="N217" s="5">
        <f>IF(D217="","",IF(OR(A217="",B217="",E217="",F217=""),"falta qid, modo, tipo o vs_ref",IF(AND(B217="llm",I217&lt;&gt;""),"respaldo no aplica en modo LLM",IF(AND(E217="abstencion",I217&lt;&gt;""),"una abstención no se califica en citas",IF(AND(B217="rag",E217="hecho",I217=""),"falta respaldo","ok")))))</f>
        <v/>
      </c>
    </row>
    <row r="218">
      <c r="A218" s="6" t="n"/>
      <c r="B218" s="6" t="n"/>
      <c r="C218" s="5">
        <f>IF(A218="","",COUNTIFS($A$2:A218,A218,$B$2:B218,B218))</f>
        <v/>
      </c>
      <c r="D218" s="6" t="n"/>
      <c r="E218" s="6" t="n"/>
      <c r="F218" s="6" t="n"/>
      <c r="G218" s="6" t="n"/>
      <c r="H218" s="6" t="n"/>
      <c r="I218" s="6" t="n"/>
      <c r="J218" s="6" t="n"/>
      <c r="K218" s="6" t="n"/>
      <c r="L218" s="6" t="n"/>
      <c r="M218" s="5">
        <f>IF(D218="","",IF(OR(E218="",F218=""),"",IF(TRIM(IF(AND(E218="hecho",F218="INCORRECTA"),"INC ","")&amp;IF(AND(E218="abstencion",F218="INCORRECTA"),"ABS-E ","")&amp;IF(AND(E218="hecho",F218="FUERA_REF",H218="no_resp"),"NO-ABS ","")&amp;IF(AND(E218="hecho",I218="SIN-RESPALDO"),"SIN-R ","")&amp;IF(AND(E218="hecho",I218="CITA-X"),"CITA-X ","")&amp;IF(AND(E218="hecho",I218="SIN-CITA"),"SIN-C ",""))="","-",TRIM(IF(AND(E218="hecho",F218="INCORRECTA"),"INC ","")&amp;IF(AND(E218="abstencion",F218="INCORRECTA"),"ABS-E ","")&amp;IF(AND(E218="hecho",F218="FUERA_REF",H218="no_resp"),"NO-ABS ","")&amp;IF(AND(E218="hecho",I218="SIN-RESPALDO"),"SIN-R ","")&amp;IF(AND(E218="hecho",I218="CITA-X"),"CITA-X ","")&amp;IF(AND(E218="hecho",I218="SIN-CITA"),"SIN-C ","")))))</f>
        <v/>
      </c>
      <c r="N218" s="5">
        <f>IF(D218="","",IF(OR(A218="",B218="",E218="",F218=""),"falta qid, modo, tipo o vs_ref",IF(AND(B218="llm",I218&lt;&gt;""),"respaldo no aplica en modo LLM",IF(AND(E218="abstencion",I218&lt;&gt;""),"una abstención no se califica en citas",IF(AND(B218="rag",E218="hecho",I218=""),"falta respaldo","ok")))))</f>
        <v/>
      </c>
    </row>
    <row r="219">
      <c r="A219" s="6" t="n"/>
      <c r="B219" s="6" t="n"/>
      <c r="C219" s="5">
        <f>IF(A219="","",COUNTIFS($A$2:A219,A219,$B$2:B219,B219))</f>
        <v/>
      </c>
      <c r="D219" s="6" t="n"/>
      <c r="E219" s="6" t="n"/>
      <c r="F219" s="6" t="n"/>
      <c r="G219" s="6" t="n"/>
      <c r="H219" s="6" t="n"/>
      <c r="I219" s="6" t="n"/>
      <c r="J219" s="6" t="n"/>
      <c r="K219" s="6" t="n"/>
      <c r="L219" s="6" t="n"/>
      <c r="M219" s="5">
        <f>IF(D219="","",IF(OR(E219="",F219=""),"",IF(TRIM(IF(AND(E219="hecho",F219="INCORRECTA"),"INC ","")&amp;IF(AND(E219="abstencion",F219="INCORRECTA"),"ABS-E ","")&amp;IF(AND(E219="hecho",F219="FUERA_REF",H219="no_resp"),"NO-ABS ","")&amp;IF(AND(E219="hecho",I219="SIN-RESPALDO"),"SIN-R ","")&amp;IF(AND(E219="hecho",I219="CITA-X"),"CITA-X ","")&amp;IF(AND(E219="hecho",I219="SIN-CITA"),"SIN-C ",""))="","-",TRIM(IF(AND(E219="hecho",F219="INCORRECTA"),"INC ","")&amp;IF(AND(E219="abstencion",F219="INCORRECTA"),"ABS-E ","")&amp;IF(AND(E219="hecho",F219="FUERA_REF",H219="no_resp"),"NO-ABS ","")&amp;IF(AND(E219="hecho",I219="SIN-RESPALDO"),"SIN-R ","")&amp;IF(AND(E219="hecho",I219="CITA-X"),"CITA-X ","")&amp;IF(AND(E219="hecho",I219="SIN-CITA"),"SIN-C ","")))))</f>
        <v/>
      </c>
      <c r="N219" s="5">
        <f>IF(D219="","",IF(OR(A219="",B219="",E219="",F219=""),"falta qid, modo, tipo o vs_ref",IF(AND(B219="llm",I219&lt;&gt;""),"respaldo no aplica en modo LLM",IF(AND(E219="abstencion",I219&lt;&gt;""),"una abstención no se califica en citas",IF(AND(B219="rag",E219="hecho",I219=""),"falta respaldo","ok")))))</f>
        <v/>
      </c>
    </row>
    <row r="220">
      <c r="A220" s="6" t="n"/>
      <c r="B220" s="6" t="n"/>
      <c r="C220" s="5">
        <f>IF(A220="","",COUNTIFS($A$2:A220,A220,$B$2:B220,B220))</f>
        <v/>
      </c>
      <c r="D220" s="6" t="n"/>
      <c r="E220" s="6" t="n"/>
      <c r="F220" s="6" t="n"/>
      <c r="G220" s="6" t="n"/>
      <c r="H220" s="6" t="n"/>
      <c r="I220" s="6" t="n"/>
      <c r="J220" s="6" t="n"/>
      <c r="K220" s="6" t="n"/>
      <c r="L220" s="6" t="n"/>
      <c r="M220" s="5">
        <f>IF(D220="","",IF(OR(E220="",F220=""),"",IF(TRIM(IF(AND(E220="hecho",F220="INCORRECTA"),"INC ","")&amp;IF(AND(E220="abstencion",F220="INCORRECTA"),"ABS-E ","")&amp;IF(AND(E220="hecho",F220="FUERA_REF",H220="no_resp"),"NO-ABS ","")&amp;IF(AND(E220="hecho",I220="SIN-RESPALDO"),"SIN-R ","")&amp;IF(AND(E220="hecho",I220="CITA-X"),"CITA-X ","")&amp;IF(AND(E220="hecho",I220="SIN-CITA"),"SIN-C ",""))="","-",TRIM(IF(AND(E220="hecho",F220="INCORRECTA"),"INC ","")&amp;IF(AND(E220="abstencion",F220="INCORRECTA"),"ABS-E ","")&amp;IF(AND(E220="hecho",F220="FUERA_REF",H220="no_resp"),"NO-ABS ","")&amp;IF(AND(E220="hecho",I220="SIN-RESPALDO"),"SIN-R ","")&amp;IF(AND(E220="hecho",I220="CITA-X"),"CITA-X ","")&amp;IF(AND(E220="hecho",I220="SIN-CITA"),"SIN-C ","")))))</f>
        <v/>
      </c>
      <c r="N220" s="5">
        <f>IF(D220="","",IF(OR(A220="",B220="",E220="",F220=""),"falta qid, modo, tipo o vs_ref",IF(AND(B220="llm",I220&lt;&gt;""),"respaldo no aplica en modo LLM",IF(AND(E220="abstencion",I220&lt;&gt;""),"una abstención no se califica en citas",IF(AND(B220="rag",E220="hecho",I220=""),"falta respaldo","ok")))))</f>
        <v/>
      </c>
    </row>
    <row r="221">
      <c r="A221" s="6" t="n"/>
      <c r="B221" s="6" t="n"/>
      <c r="C221" s="5">
        <f>IF(A221="","",COUNTIFS($A$2:A221,A221,$B$2:B221,B221))</f>
        <v/>
      </c>
      <c r="D221" s="6" t="n"/>
      <c r="E221" s="6" t="n"/>
      <c r="F221" s="6" t="n"/>
      <c r="G221" s="6" t="n"/>
      <c r="H221" s="6" t="n"/>
      <c r="I221" s="6" t="n"/>
      <c r="J221" s="6" t="n"/>
      <c r="K221" s="6" t="n"/>
      <c r="L221" s="6" t="n"/>
      <c r="M221" s="5">
        <f>IF(D221="","",IF(OR(E221="",F221=""),"",IF(TRIM(IF(AND(E221="hecho",F221="INCORRECTA"),"INC ","")&amp;IF(AND(E221="abstencion",F221="INCORRECTA"),"ABS-E ","")&amp;IF(AND(E221="hecho",F221="FUERA_REF",H221="no_resp"),"NO-ABS ","")&amp;IF(AND(E221="hecho",I221="SIN-RESPALDO"),"SIN-R ","")&amp;IF(AND(E221="hecho",I221="CITA-X"),"CITA-X ","")&amp;IF(AND(E221="hecho",I221="SIN-CITA"),"SIN-C ",""))="","-",TRIM(IF(AND(E221="hecho",F221="INCORRECTA"),"INC ","")&amp;IF(AND(E221="abstencion",F221="INCORRECTA"),"ABS-E ","")&amp;IF(AND(E221="hecho",F221="FUERA_REF",H221="no_resp"),"NO-ABS ","")&amp;IF(AND(E221="hecho",I221="SIN-RESPALDO"),"SIN-R ","")&amp;IF(AND(E221="hecho",I221="CITA-X"),"CITA-X ","")&amp;IF(AND(E221="hecho",I221="SIN-CITA"),"SIN-C ","")))))</f>
        <v/>
      </c>
      <c r="N221" s="5">
        <f>IF(D221="","",IF(OR(A221="",B221="",E221="",F221=""),"falta qid, modo, tipo o vs_ref",IF(AND(B221="llm",I221&lt;&gt;""),"respaldo no aplica en modo LLM",IF(AND(E221="abstencion",I221&lt;&gt;""),"una abstención no se califica en citas",IF(AND(B221="rag",E221="hecho",I221=""),"falta respaldo","ok")))))</f>
        <v/>
      </c>
    </row>
    <row r="222">
      <c r="A222" s="6" t="n"/>
      <c r="B222" s="6" t="n"/>
      <c r="C222" s="5">
        <f>IF(A222="","",COUNTIFS($A$2:A222,A222,$B$2:B222,B222))</f>
        <v/>
      </c>
      <c r="D222" s="6" t="n"/>
      <c r="E222" s="6" t="n"/>
      <c r="F222" s="6" t="n"/>
      <c r="G222" s="6" t="n"/>
      <c r="H222" s="6" t="n"/>
      <c r="I222" s="6" t="n"/>
      <c r="J222" s="6" t="n"/>
      <c r="K222" s="6" t="n"/>
      <c r="L222" s="6" t="n"/>
      <c r="M222" s="5">
        <f>IF(D222="","",IF(OR(E222="",F222=""),"",IF(TRIM(IF(AND(E222="hecho",F222="INCORRECTA"),"INC ","")&amp;IF(AND(E222="abstencion",F222="INCORRECTA"),"ABS-E ","")&amp;IF(AND(E222="hecho",F222="FUERA_REF",H222="no_resp"),"NO-ABS ","")&amp;IF(AND(E222="hecho",I222="SIN-RESPALDO"),"SIN-R ","")&amp;IF(AND(E222="hecho",I222="CITA-X"),"CITA-X ","")&amp;IF(AND(E222="hecho",I222="SIN-CITA"),"SIN-C ",""))="","-",TRIM(IF(AND(E222="hecho",F222="INCORRECTA"),"INC ","")&amp;IF(AND(E222="abstencion",F222="INCORRECTA"),"ABS-E ","")&amp;IF(AND(E222="hecho",F222="FUERA_REF",H222="no_resp"),"NO-ABS ","")&amp;IF(AND(E222="hecho",I222="SIN-RESPALDO"),"SIN-R ","")&amp;IF(AND(E222="hecho",I222="CITA-X"),"CITA-X ","")&amp;IF(AND(E222="hecho",I222="SIN-CITA"),"SIN-C ","")))))</f>
        <v/>
      </c>
      <c r="N222" s="5">
        <f>IF(D222="","",IF(OR(A222="",B222="",E222="",F222=""),"falta qid, modo, tipo o vs_ref",IF(AND(B222="llm",I222&lt;&gt;""),"respaldo no aplica en modo LLM",IF(AND(E222="abstencion",I222&lt;&gt;""),"una abstención no se califica en citas",IF(AND(B222="rag",E222="hecho",I222=""),"falta respaldo","ok")))))</f>
        <v/>
      </c>
    </row>
    <row r="223">
      <c r="A223" s="6" t="n"/>
      <c r="B223" s="6" t="n"/>
      <c r="C223" s="5">
        <f>IF(A223="","",COUNTIFS($A$2:A223,A223,$B$2:B223,B223))</f>
        <v/>
      </c>
      <c r="D223" s="6" t="n"/>
      <c r="E223" s="6" t="n"/>
      <c r="F223" s="6" t="n"/>
      <c r="G223" s="6" t="n"/>
      <c r="H223" s="6" t="n"/>
      <c r="I223" s="6" t="n"/>
      <c r="J223" s="6" t="n"/>
      <c r="K223" s="6" t="n"/>
      <c r="L223" s="6" t="n"/>
      <c r="M223" s="5">
        <f>IF(D223="","",IF(OR(E223="",F223=""),"",IF(TRIM(IF(AND(E223="hecho",F223="INCORRECTA"),"INC ","")&amp;IF(AND(E223="abstencion",F223="INCORRECTA"),"ABS-E ","")&amp;IF(AND(E223="hecho",F223="FUERA_REF",H223="no_resp"),"NO-ABS ","")&amp;IF(AND(E223="hecho",I223="SIN-RESPALDO"),"SIN-R ","")&amp;IF(AND(E223="hecho",I223="CITA-X"),"CITA-X ","")&amp;IF(AND(E223="hecho",I223="SIN-CITA"),"SIN-C ",""))="","-",TRIM(IF(AND(E223="hecho",F223="INCORRECTA"),"INC ","")&amp;IF(AND(E223="abstencion",F223="INCORRECTA"),"ABS-E ","")&amp;IF(AND(E223="hecho",F223="FUERA_REF",H223="no_resp"),"NO-ABS ","")&amp;IF(AND(E223="hecho",I223="SIN-RESPALDO"),"SIN-R ","")&amp;IF(AND(E223="hecho",I223="CITA-X"),"CITA-X ","")&amp;IF(AND(E223="hecho",I223="SIN-CITA"),"SIN-C ","")))))</f>
        <v/>
      </c>
      <c r="N223" s="5">
        <f>IF(D223="","",IF(OR(A223="",B223="",E223="",F223=""),"falta qid, modo, tipo o vs_ref",IF(AND(B223="llm",I223&lt;&gt;""),"respaldo no aplica en modo LLM",IF(AND(E223="abstencion",I223&lt;&gt;""),"una abstención no se califica en citas",IF(AND(B223="rag",E223="hecho",I223=""),"falta respaldo","ok")))))</f>
        <v/>
      </c>
    </row>
    <row r="224">
      <c r="A224" s="6" t="n"/>
      <c r="B224" s="6" t="n"/>
      <c r="C224" s="5">
        <f>IF(A224="","",COUNTIFS($A$2:A224,A224,$B$2:B224,B224))</f>
        <v/>
      </c>
      <c r="D224" s="6" t="n"/>
      <c r="E224" s="6" t="n"/>
      <c r="F224" s="6" t="n"/>
      <c r="G224" s="6" t="n"/>
      <c r="H224" s="6" t="n"/>
      <c r="I224" s="6" t="n"/>
      <c r="J224" s="6" t="n"/>
      <c r="K224" s="6" t="n"/>
      <c r="L224" s="6" t="n"/>
      <c r="M224" s="5">
        <f>IF(D224="","",IF(OR(E224="",F224=""),"",IF(TRIM(IF(AND(E224="hecho",F224="INCORRECTA"),"INC ","")&amp;IF(AND(E224="abstencion",F224="INCORRECTA"),"ABS-E ","")&amp;IF(AND(E224="hecho",F224="FUERA_REF",H224="no_resp"),"NO-ABS ","")&amp;IF(AND(E224="hecho",I224="SIN-RESPALDO"),"SIN-R ","")&amp;IF(AND(E224="hecho",I224="CITA-X"),"CITA-X ","")&amp;IF(AND(E224="hecho",I224="SIN-CITA"),"SIN-C ",""))="","-",TRIM(IF(AND(E224="hecho",F224="INCORRECTA"),"INC ","")&amp;IF(AND(E224="abstencion",F224="INCORRECTA"),"ABS-E ","")&amp;IF(AND(E224="hecho",F224="FUERA_REF",H224="no_resp"),"NO-ABS ","")&amp;IF(AND(E224="hecho",I224="SIN-RESPALDO"),"SIN-R ","")&amp;IF(AND(E224="hecho",I224="CITA-X"),"CITA-X ","")&amp;IF(AND(E224="hecho",I224="SIN-CITA"),"SIN-C ","")))))</f>
        <v/>
      </c>
      <c r="N224" s="5">
        <f>IF(D224="","",IF(OR(A224="",B224="",E224="",F224=""),"falta qid, modo, tipo o vs_ref",IF(AND(B224="llm",I224&lt;&gt;""),"respaldo no aplica en modo LLM",IF(AND(E224="abstencion",I224&lt;&gt;""),"una abstención no se califica en citas",IF(AND(B224="rag",E224="hecho",I224=""),"falta respaldo","ok")))))</f>
        <v/>
      </c>
    </row>
    <row r="225">
      <c r="A225" s="6" t="n"/>
      <c r="B225" s="6" t="n"/>
      <c r="C225" s="5">
        <f>IF(A225="","",COUNTIFS($A$2:A225,A225,$B$2:B225,B225))</f>
        <v/>
      </c>
      <c r="D225" s="6" t="n"/>
      <c r="E225" s="6" t="n"/>
      <c r="F225" s="6" t="n"/>
      <c r="G225" s="6" t="n"/>
      <c r="H225" s="6" t="n"/>
      <c r="I225" s="6" t="n"/>
      <c r="J225" s="6" t="n"/>
      <c r="K225" s="6" t="n"/>
      <c r="L225" s="6" t="n"/>
      <c r="M225" s="5">
        <f>IF(D225="","",IF(OR(E225="",F225=""),"",IF(TRIM(IF(AND(E225="hecho",F225="INCORRECTA"),"INC ","")&amp;IF(AND(E225="abstencion",F225="INCORRECTA"),"ABS-E ","")&amp;IF(AND(E225="hecho",F225="FUERA_REF",H225="no_resp"),"NO-ABS ","")&amp;IF(AND(E225="hecho",I225="SIN-RESPALDO"),"SIN-R ","")&amp;IF(AND(E225="hecho",I225="CITA-X"),"CITA-X ","")&amp;IF(AND(E225="hecho",I225="SIN-CITA"),"SIN-C ",""))="","-",TRIM(IF(AND(E225="hecho",F225="INCORRECTA"),"INC ","")&amp;IF(AND(E225="abstencion",F225="INCORRECTA"),"ABS-E ","")&amp;IF(AND(E225="hecho",F225="FUERA_REF",H225="no_resp"),"NO-ABS ","")&amp;IF(AND(E225="hecho",I225="SIN-RESPALDO"),"SIN-R ","")&amp;IF(AND(E225="hecho",I225="CITA-X"),"CITA-X ","")&amp;IF(AND(E225="hecho",I225="SIN-CITA"),"SIN-C ","")))))</f>
        <v/>
      </c>
      <c r="N225" s="5">
        <f>IF(D225="","",IF(OR(A225="",B225="",E225="",F225=""),"falta qid, modo, tipo o vs_ref",IF(AND(B225="llm",I225&lt;&gt;""),"respaldo no aplica en modo LLM",IF(AND(E225="abstencion",I225&lt;&gt;""),"una abstención no se califica en citas",IF(AND(B225="rag",E225="hecho",I225=""),"falta respaldo","ok")))))</f>
        <v/>
      </c>
    </row>
    <row r="226">
      <c r="A226" s="6" t="n"/>
      <c r="B226" s="6" t="n"/>
      <c r="C226" s="5">
        <f>IF(A226="","",COUNTIFS($A$2:A226,A226,$B$2:B226,B226))</f>
        <v/>
      </c>
      <c r="D226" s="6" t="n"/>
      <c r="E226" s="6" t="n"/>
      <c r="F226" s="6" t="n"/>
      <c r="G226" s="6" t="n"/>
      <c r="H226" s="6" t="n"/>
      <c r="I226" s="6" t="n"/>
      <c r="J226" s="6" t="n"/>
      <c r="K226" s="6" t="n"/>
      <c r="L226" s="6" t="n"/>
      <c r="M226" s="5">
        <f>IF(D226="","",IF(OR(E226="",F226=""),"",IF(TRIM(IF(AND(E226="hecho",F226="INCORRECTA"),"INC ","")&amp;IF(AND(E226="abstencion",F226="INCORRECTA"),"ABS-E ","")&amp;IF(AND(E226="hecho",F226="FUERA_REF",H226="no_resp"),"NO-ABS ","")&amp;IF(AND(E226="hecho",I226="SIN-RESPALDO"),"SIN-R ","")&amp;IF(AND(E226="hecho",I226="CITA-X"),"CITA-X ","")&amp;IF(AND(E226="hecho",I226="SIN-CITA"),"SIN-C ",""))="","-",TRIM(IF(AND(E226="hecho",F226="INCORRECTA"),"INC ","")&amp;IF(AND(E226="abstencion",F226="INCORRECTA"),"ABS-E ","")&amp;IF(AND(E226="hecho",F226="FUERA_REF",H226="no_resp"),"NO-ABS ","")&amp;IF(AND(E226="hecho",I226="SIN-RESPALDO"),"SIN-R ","")&amp;IF(AND(E226="hecho",I226="CITA-X"),"CITA-X ","")&amp;IF(AND(E226="hecho",I226="SIN-CITA"),"SIN-C ","")))))</f>
        <v/>
      </c>
      <c r="N226" s="5">
        <f>IF(D226="","",IF(OR(A226="",B226="",E226="",F226=""),"falta qid, modo, tipo o vs_ref",IF(AND(B226="llm",I226&lt;&gt;""),"respaldo no aplica en modo LLM",IF(AND(E226="abstencion",I226&lt;&gt;""),"una abstención no se califica en citas",IF(AND(B226="rag",E226="hecho",I226=""),"falta respaldo","ok")))))</f>
        <v/>
      </c>
    </row>
    <row r="227">
      <c r="A227" s="6" t="n"/>
      <c r="B227" s="6" t="n"/>
      <c r="C227" s="5">
        <f>IF(A227="","",COUNTIFS($A$2:A227,A227,$B$2:B227,B227))</f>
        <v/>
      </c>
      <c r="D227" s="6" t="n"/>
      <c r="E227" s="6" t="n"/>
      <c r="F227" s="6" t="n"/>
      <c r="G227" s="6" t="n"/>
      <c r="H227" s="6" t="n"/>
      <c r="I227" s="6" t="n"/>
      <c r="J227" s="6" t="n"/>
      <c r="K227" s="6" t="n"/>
      <c r="L227" s="6" t="n"/>
      <c r="M227" s="5">
        <f>IF(D227="","",IF(OR(E227="",F227=""),"",IF(TRIM(IF(AND(E227="hecho",F227="INCORRECTA"),"INC ","")&amp;IF(AND(E227="abstencion",F227="INCORRECTA"),"ABS-E ","")&amp;IF(AND(E227="hecho",F227="FUERA_REF",H227="no_resp"),"NO-ABS ","")&amp;IF(AND(E227="hecho",I227="SIN-RESPALDO"),"SIN-R ","")&amp;IF(AND(E227="hecho",I227="CITA-X"),"CITA-X ","")&amp;IF(AND(E227="hecho",I227="SIN-CITA"),"SIN-C ",""))="","-",TRIM(IF(AND(E227="hecho",F227="INCORRECTA"),"INC ","")&amp;IF(AND(E227="abstencion",F227="INCORRECTA"),"ABS-E ","")&amp;IF(AND(E227="hecho",F227="FUERA_REF",H227="no_resp"),"NO-ABS ","")&amp;IF(AND(E227="hecho",I227="SIN-RESPALDO"),"SIN-R ","")&amp;IF(AND(E227="hecho",I227="CITA-X"),"CITA-X ","")&amp;IF(AND(E227="hecho",I227="SIN-CITA"),"SIN-C ","")))))</f>
        <v/>
      </c>
      <c r="N227" s="5">
        <f>IF(D227="","",IF(OR(A227="",B227="",E227="",F227=""),"falta qid, modo, tipo o vs_ref",IF(AND(B227="llm",I227&lt;&gt;""),"respaldo no aplica en modo LLM",IF(AND(E227="abstencion",I227&lt;&gt;""),"una abstención no se califica en citas",IF(AND(B227="rag",E227="hecho",I227=""),"falta respaldo","ok")))))</f>
        <v/>
      </c>
    </row>
    <row r="228">
      <c r="A228" s="6" t="n"/>
      <c r="B228" s="6" t="n"/>
      <c r="C228" s="5">
        <f>IF(A228="","",COUNTIFS($A$2:A228,A228,$B$2:B228,B228))</f>
        <v/>
      </c>
      <c r="D228" s="6" t="n"/>
      <c r="E228" s="6" t="n"/>
      <c r="F228" s="6" t="n"/>
      <c r="G228" s="6" t="n"/>
      <c r="H228" s="6" t="n"/>
      <c r="I228" s="6" t="n"/>
      <c r="J228" s="6" t="n"/>
      <c r="K228" s="6" t="n"/>
      <c r="L228" s="6" t="n"/>
      <c r="M228" s="5">
        <f>IF(D228="","",IF(OR(E228="",F228=""),"",IF(TRIM(IF(AND(E228="hecho",F228="INCORRECTA"),"INC ","")&amp;IF(AND(E228="abstencion",F228="INCORRECTA"),"ABS-E ","")&amp;IF(AND(E228="hecho",F228="FUERA_REF",H228="no_resp"),"NO-ABS ","")&amp;IF(AND(E228="hecho",I228="SIN-RESPALDO"),"SIN-R ","")&amp;IF(AND(E228="hecho",I228="CITA-X"),"CITA-X ","")&amp;IF(AND(E228="hecho",I228="SIN-CITA"),"SIN-C ",""))="","-",TRIM(IF(AND(E228="hecho",F228="INCORRECTA"),"INC ","")&amp;IF(AND(E228="abstencion",F228="INCORRECTA"),"ABS-E ","")&amp;IF(AND(E228="hecho",F228="FUERA_REF",H228="no_resp"),"NO-ABS ","")&amp;IF(AND(E228="hecho",I228="SIN-RESPALDO"),"SIN-R ","")&amp;IF(AND(E228="hecho",I228="CITA-X"),"CITA-X ","")&amp;IF(AND(E228="hecho",I228="SIN-CITA"),"SIN-C ","")))))</f>
        <v/>
      </c>
      <c r="N228" s="5">
        <f>IF(D228="","",IF(OR(A228="",B228="",E228="",F228=""),"falta qid, modo, tipo o vs_ref",IF(AND(B228="llm",I228&lt;&gt;""),"respaldo no aplica en modo LLM",IF(AND(E228="abstencion",I228&lt;&gt;""),"una abstención no se califica en citas",IF(AND(B228="rag",E228="hecho",I228=""),"falta respaldo","ok")))))</f>
        <v/>
      </c>
    </row>
    <row r="229">
      <c r="A229" s="6" t="n"/>
      <c r="B229" s="6" t="n"/>
      <c r="C229" s="5">
        <f>IF(A229="","",COUNTIFS($A$2:A229,A229,$B$2:B229,B229))</f>
        <v/>
      </c>
      <c r="D229" s="6" t="n"/>
      <c r="E229" s="6" t="n"/>
      <c r="F229" s="6" t="n"/>
      <c r="G229" s="6" t="n"/>
      <c r="H229" s="6" t="n"/>
      <c r="I229" s="6" t="n"/>
      <c r="J229" s="6" t="n"/>
      <c r="K229" s="6" t="n"/>
      <c r="L229" s="6" t="n"/>
      <c r="M229" s="5">
        <f>IF(D229="","",IF(OR(E229="",F229=""),"",IF(TRIM(IF(AND(E229="hecho",F229="INCORRECTA"),"INC ","")&amp;IF(AND(E229="abstencion",F229="INCORRECTA"),"ABS-E ","")&amp;IF(AND(E229="hecho",F229="FUERA_REF",H229="no_resp"),"NO-ABS ","")&amp;IF(AND(E229="hecho",I229="SIN-RESPALDO"),"SIN-R ","")&amp;IF(AND(E229="hecho",I229="CITA-X"),"CITA-X ","")&amp;IF(AND(E229="hecho",I229="SIN-CITA"),"SIN-C ",""))="","-",TRIM(IF(AND(E229="hecho",F229="INCORRECTA"),"INC ","")&amp;IF(AND(E229="abstencion",F229="INCORRECTA"),"ABS-E ","")&amp;IF(AND(E229="hecho",F229="FUERA_REF",H229="no_resp"),"NO-ABS ","")&amp;IF(AND(E229="hecho",I229="SIN-RESPALDO"),"SIN-R ","")&amp;IF(AND(E229="hecho",I229="CITA-X"),"CITA-X ","")&amp;IF(AND(E229="hecho",I229="SIN-CITA"),"SIN-C ","")))))</f>
        <v/>
      </c>
      <c r="N229" s="5">
        <f>IF(D229="","",IF(OR(A229="",B229="",E229="",F229=""),"falta qid, modo, tipo o vs_ref",IF(AND(B229="llm",I229&lt;&gt;""),"respaldo no aplica en modo LLM",IF(AND(E229="abstencion",I229&lt;&gt;""),"una abstención no se califica en citas",IF(AND(B229="rag",E229="hecho",I229=""),"falta respaldo","ok")))))</f>
        <v/>
      </c>
    </row>
    <row r="230">
      <c r="A230" s="6" t="n"/>
      <c r="B230" s="6" t="n"/>
      <c r="C230" s="5">
        <f>IF(A230="","",COUNTIFS($A$2:A230,A230,$B$2:B230,B230))</f>
        <v/>
      </c>
      <c r="D230" s="6" t="n"/>
      <c r="E230" s="6" t="n"/>
      <c r="F230" s="6" t="n"/>
      <c r="G230" s="6" t="n"/>
      <c r="H230" s="6" t="n"/>
      <c r="I230" s="6" t="n"/>
      <c r="J230" s="6" t="n"/>
      <c r="K230" s="6" t="n"/>
      <c r="L230" s="6" t="n"/>
      <c r="M230" s="5">
        <f>IF(D230="","",IF(OR(E230="",F230=""),"",IF(TRIM(IF(AND(E230="hecho",F230="INCORRECTA"),"INC ","")&amp;IF(AND(E230="abstencion",F230="INCORRECTA"),"ABS-E ","")&amp;IF(AND(E230="hecho",F230="FUERA_REF",H230="no_resp"),"NO-ABS ","")&amp;IF(AND(E230="hecho",I230="SIN-RESPALDO"),"SIN-R ","")&amp;IF(AND(E230="hecho",I230="CITA-X"),"CITA-X ","")&amp;IF(AND(E230="hecho",I230="SIN-CITA"),"SIN-C ",""))="","-",TRIM(IF(AND(E230="hecho",F230="INCORRECTA"),"INC ","")&amp;IF(AND(E230="abstencion",F230="INCORRECTA"),"ABS-E ","")&amp;IF(AND(E230="hecho",F230="FUERA_REF",H230="no_resp"),"NO-ABS ","")&amp;IF(AND(E230="hecho",I230="SIN-RESPALDO"),"SIN-R ","")&amp;IF(AND(E230="hecho",I230="CITA-X"),"CITA-X ","")&amp;IF(AND(E230="hecho",I230="SIN-CITA"),"SIN-C ","")))))</f>
        <v/>
      </c>
      <c r="N230" s="5">
        <f>IF(D230="","",IF(OR(A230="",B230="",E230="",F230=""),"falta qid, modo, tipo o vs_ref",IF(AND(B230="llm",I230&lt;&gt;""),"respaldo no aplica en modo LLM",IF(AND(E230="abstencion",I230&lt;&gt;""),"una abstención no se califica en citas",IF(AND(B230="rag",E230="hecho",I230=""),"falta respaldo","ok")))))</f>
        <v/>
      </c>
    </row>
    <row r="231">
      <c r="A231" s="6" t="n"/>
      <c r="B231" s="6" t="n"/>
      <c r="C231" s="5">
        <f>IF(A231="","",COUNTIFS($A$2:A231,A231,$B$2:B231,B231))</f>
        <v/>
      </c>
      <c r="D231" s="6" t="n"/>
      <c r="E231" s="6" t="n"/>
      <c r="F231" s="6" t="n"/>
      <c r="G231" s="6" t="n"/>
      <c r="H231" s="6" t="n"/>
      <c r="I231" s="6" t="n"/>
      <c r="J231" s="6" t="n"/>
      <c r="K231" s="6" t="n"/>
      <c r="L231" s="6" t="n"/>
      <c r="M231" s="5">
        <f>IF(D231="","",IF(OR(E231="",F231=""),"",IF(TRIM(IF(AND(E231="hecho",F231="INCORRECTA"),"INC ","")&amp;IF(AND(E231="abstencion",F231="INCORRECTA"),"ABS-E ","")&amp;IF(AND(E231="hecho",F231="FUERA_REF",H231="no_resp"),"NO-ABS ","")&amp;IF(AND(E231="hecho",I231="SIN-RESPALDO"),"SIN-R ","")&amp;IF(AND(E231="hecho",I231="CITA-X"),"CITA-X ","")&amp;IF(AND(E231="hecho",I231="SIN-CITA"),"SIN-C ",""))="","-",TRIM(IF(AND(E231="hecho",F231="INCORRECTA"),"INC ","")&amp;IF(AND(E231="abstencion",F231="INCORRECTA"),"ABS-E ","")&amp;IF(AND(E231="hecho",F231="FUERA_REF",H231="no_resp"),"NO-ABS ","")&amp;IF(AND(E231="hecho",I231="SIN-RESPALDO"),"SIN-R ","")&amp;IF(AND(E231="hecho",I231="CITA-X"),"CITA-X ","")&amp;IF(AND(E231="hecho",I231="SIN-CITA"),"SIN-C ","")))))</f>
        <v/>
      </c>
      <c r="N231" s="5">
        <f>IF(D231="","",IF(OR(A231="",B231="",E231="",F231=""),"falta qid, modo, tipo o vs_ref",IF(AND(B231="llm",I231&lt;&gt;""),"respaldo no aplica en modo LLM",IF(AND(E231="abstencion",I231&lt;&gt;""),"una abstención no se califica en citas",IF(AND(B231="rag",E231="hecho",I231=""),"falta respaldo","ok")))))</f>
        <v/>
      </c>
    </row>
    <row r="232">
      <c r="A232" s="6" t="n"/>
      <c r="B232" s="6" t="n"/>
      <c r="C232" s="5">
        <f>IF(A232="","",COUNTIFS($A$2:A232,A232,$B$2:B232,B232))</f>
        <v/>
      </c>
      <c r="D232" s="6" t="n"/>
      <c r="E232" s="6" t="n"/>
      <c r="F232" s="6" t="n"/>
      <c r="G232" s="6" t="n"/>
      <c r="H232" s="6" t="n"/>
      <c r="I232" s="6" t="n"/>
      <c r="J232" s="6" t="n"/>
      <c r="K232" s="6" t="n"/>
      <c r="L232" s="6" t="n"/>
      <c r="M232" s="5">
        <f>IF(D232="","",IF(OR(E232="",F232=""),"",IF(TRIM(IF(AND(E232="hecho",F232="INCORRECTA"),"INC ","")&amp;IF(AND(E232="abstencion",F232="INCORRECTA"),"ABS-E ","")&amp;IF(AND(E232="hecho",F232="FUERA_REF",H232="no_resp"),"NO-ABS ","")&amp;IF(AND(E232="hecho",I232="SIN-RESPALDO"),"SIN-R ","")&amp;IF(AND(E232="hecho",I232="CITA-X"),"CITA-X ","")&amp;IF(AND(E232="hecho",I232="SIN-CITA"),"SIN-C ",""))="","-",TRIM(IF(AND(E232="hecho",F232="INCORRECTA"),"INC ","")&amp;IF(AND(E232="abstencion",F232="INCORRECTA"),"ABS-E ","")&amp;IF(AND(E232="hecho",F232="FUERA_REF",H232="no_resp"),"NO-ABS ","")&amp;IF(AND(E232="hecho",I232="SIN-RESPALDO"),"SIN-R ","")&amp;IF(AND(E232="hecho",I232="CITA-X"),"CITA-X ","")&amp;IF(AND(E232="hecho",I232="SIN-CITA"),"SIN-C ","")))))</f>
        <v/>
      </c>
      <c r="N232" s="5">
        <f>IF(D232="","",IF(OR(A232="",B232="",E232="",F232=""),"falta qid, modo, tipo o vs_ref",IF(AND(B232="llm",I232&lt;&gt;""),"respaldo no aplica en modo LLM",IF(AND(E232="abstencion",I232&lt;&gt;""),"una abstención no se califica en citas",IF(AND(B232="rag",E232="hecho",I232=""),"falta respaldo","ok")))))</f>
        <v/>
      </c>
    </row>
    <row r="233">
      <c r="A233" s="6" t="n"/>
      <c r="B233" s="6" t="n"/>
      <c r="C233" s="5">
        <f>IF(A233="","",COUNTIFS($A$2:A233,A233,$B$2:B233,B233))</f>
        <v/>
      </c>
      <c r="D233" s="6" t="n"/>
      <c r="E233" s="6" t="n"/>
      <c r="F233" s="6" t="n"/>
      <c r="G233" s="6" t="n"/>
      <c r="H233" s="6" t="n"/>
      <c r="I233" s="6" t="n"/>
      <c r="J233" s="6" t="n"/>
      <c r="K233" s="6" t="n"/>
      <c r="L233" s="6" t="n"/>
      <c r="M233" s="5">
        <f>IF(D233="","",IF(OR(E233="",F233=""),"",IF(TRIM(IF(AND(E233="hecho",F233="INCORRECTA"),"INC ","")&amp;IF(AND(E233="abstencion",F233="INCORRECTA"),"ABS-E ","")&amp;IF(AND(E233="hecho",F233="FUERA_REF",H233="no_resp"),"NO-ABS ","")&amp;IF(AND(E233="hecho",I233="SIN-RESPALDO"),"SIN-R ","")&amp;IF(AND(E233="hecho",I233="CITA-X"),"CITA-X ","")&amp;IF(AND(E233="hecho",I233="SIN-CITA"),"SIN-C ",""))="","-",TRIM(IF(AND(E233="hecho",F233="INCORRECTA"),"INC ","")&amp;IF(AND(E233="abstencion",F233="INCORRECTA"),"ABS-E ","")&amp;IF(AND(E233="hecho",F233="FUERA_REF",H233="no_resp"),"NO-ABS ","")&amp;IF(AND(E233="hecho",I233="SIN-RESPALDO"),"SIN-R ","")&amp;IF(AND(E233="hecho",I233="CITA-X"),"CITA-X ","")&amp;IF(AND(E233="hecho",I233="SIN-CITA"),"SIN-C ","")))))</f>
        <v/>
      </c>
      <c r="N233" s="5">
        <f>IF(D233="","",IF(OR(A233="",B233="",E233="",F233=""),"falta qid, modo, tipo o vs_ref",IF(AND(B233="llm",I233&lt;&gt;""),"respaldo no aplica en modo LLM",IF(AND(E233="abstencion",I233&lt;&gt;""),"una abstención no se califica en citas",IF(AND(B233="rag",E233="hecho",I233=""),"falta respaldo","ok")))))</f>
        <v/>
      </c>
    </row>
    <row r="234">
      <c r="A234" s="6" t="n"/>
      <c r="B234" s="6" t="n"/>
      <c r="C234" s="5">
        <f>IF(A234="","",COUNTIFS($A$2:A234,A234,$B$2:B234,B234))</f>
        <v/>
      </c>
      <c r="D234" s="6" t="n"/>
      <c r="E234" s="6" t="n"/>
      <c r="F234" s="6" t="n"/>
      <c r="G234" s="6" t="n"/>
      <c r="H234" s="6" t="n"/>
      <c r="I234" s="6" t="n"/>
      <c r="J234" s="6" t="n"/>
      <c r="K234" s="6" t="n"/>
      <c r="L234" s="6" t="n"/>
      <c r="M234" s="5">
        <f>IF(D234="","",IF(OR(E234="",F234=""),"",IF(TRIM(IF(AND(E234="hecho",F234="INCORRECTA"),"INC ","")&amp;IF(AND(E234="abstencion",F234="INCORRECTA"),"ABS-E ","")&amp;IF(AND(E234="hecho",F234="FUERA_REF",H234="no_resp"),"NO-ABS ","")&amp;IF(AND(E234="hecho",I234="SIN-RESPALDO"),"SIN-R ","")&amp;IF(AND(E234="hecho",I234="CITA-X"),"CITA-X ","")&amp;IF(AND(E234="hecho",I234="SIN-CITA"),"SIN-C ",""))="","-",TRIM(IF(AND(E234="hecho",F234="INCORRECTA"),"INC ","")&amp;IF(AND(E234="abstencion",F234="INCORRECTA"),"ABS-E ","")&amp;IF(AND(E234="hecho",F234="FUERA_REF",H234="no_resp"),"NO-ABS ","")&amp;IF(AND(E234="hecho",I234="SIN-RESPALDO"),"SIN-R ","")&amp;IF(AND(E234="hecho",I234="CITA-X"),"CITA-X ","")&amp;IF(AND(E234="hecho",I234="SIN-CITA"),"SIN-C ","")))))</f>
        <v/>
      </c>
      <c r="N234" s="5">
        <f>IF(D234="","",IF(OR(A234="",B234="",E234="",F234=""),"falta qid, modo, tipo o vs_ref",IF(AND(B234="llm",I234&lt;&gt;""),"respaldo no aplica en modo LLM",IF(AND(E234="abstencion",I234&lt;&gt;""),"una abstención no se califica en citas",IF(AND(B234="rag",E234="hecho",I234=""),"falta respaldo","ok")))))</f>
        <v/>
      </c>
    </row>
    <row r="235">
      <c r="A235" s="6" t="n"/>
      <c r="B235" s="6" t="n"/>
      <c r="C235" s="5">
        <f>IF(A235="","",COUNTIFS($A$2:A235,A235,$B$2:B235,B235))</f>
        <v/>
      </c>
      <c r="D235" s="6" t="n"/>
      <c r="E235" s="6" t="n"/>
      <c r="F235" s="6" t="n"/>
      <c r="G235" s="6" t="n"/>
      <c r="H235" s="6" t="n"/>
      <c r="I235" s="6" t="n"/>
      <c r="J235" s="6" t="n"/>
      <c r="K235" s="6" t="n"/>
      <c r="L235" s="6" t="n"/>
      <c r="M235" s="5">
        <f>IF(D235="","",IF(OR(E235="",F235=""),"",IF(TRIM(IF(AND(E235="hecho",F235="INCORRECTA"),"INC ","")&amp;IF(AND(E235="abstencion",F235="INCORRECTA"),"ABS-E ","")&amp;IF(AND(E235="hecho",F235="FUERA_REF",H235="no_resp"),"NO-ABS ","")&amp;IF(AND(E235="hecho",I235="SIN-RESPALDO"),"SIN-R ","")&amp;IF(AND(E235="hecho",I235="CITA-X"),"CITA-X ","")&amp;IF(AND(E235="hecho",I235="SIN-CITA"),"SIN-C ",""))="","-",TRIM(IF(AND(E235="hecho",F235="INCORRECTA"),"INC ","")&amp;IF(AND(E235="abstencion",F235="INCORRECTA"),"ABS-E ","")&amp;IF(AND(E235="hecho",F235="FUERA_REF",H235="no_resp"),"NO-ABS ","")&amp;IF(AND(E235="hecho",I235="SIN-RESPALDO"),"SIN-R ","")&amp;IF(AND(E235="hecho",I235="CITA-X"),"CITA-X ","")&amp;IF(AND(E235="hecho",I235="SIN-CITA"),"SIN-C ","")))))</f>
        <v/>
      </c>
      <c r="N235" s="5">
        <f>IF(D235="","",IF(OR(A235="",B235="",E235="",F235=""),"falta qid, modo, tipo o vs_ref",IF(AND(B235="llm",I235&lt;&gt;""),"respaldo no aplica en modo LLM",IF(AND(E235="abstencion",I235&lt;&gt;""),"una abstención no se califica en citas",IF(AND(B235="rag",E235="hecho",I235=""),"falta respaldo","ok")))))</f>
        <v/>
      </c>
    </row>
    <row r="236">
      <c r="A236" s="6" t="n"/>
      <c r="B236" s="6" t="n"/>
      <c r="C236" s="5">
        <f>IF(A236="","",COUNTIFS($A$2:A236,A236,$B$2:B236,B236))</f>
        <v/>
      </c>
      <c r="D236" s="6" t="n"/>
      <c r="E236" s="6" t="n"/>
      <c r="F236" s="6" t="n"/>
      <c r="G236" s="6" t="n"/>
      <c r="H236" s="6" t="n"/>
      <c r="I236" s="6" t="n"/>
      <c r="J236" s="6" t="n"/>
      <c r="K236" s="6" t="n"/>
      <c r="L236" s="6" t="n"/>
      <c r="M236" s="5">
        <f>IF(D236="","",IF(OR(E236="",F236=""),"",IF(TRIM(IF(AND(E236="hecho",F236="INCORRECTA"),"INC ","")&amp;IF(AND(E236="abstencion",F236="INCORRECTA"),"ABS-E ","")&amp;IF(AND(E236="hecho",F236="FUERA_REF",H236="no_resp"),"NO-ABS ","")&amp;IF(AND(E236="hecho",I236="SIN-RESPALDO"),"SIN-R ","")&amp;IF(AND(E236="hecho",I236="CITA-X"),"CITA-X ","")&amp;IF(AND(E236="hecho",I236="SIN-CITA"),"SIN-C ",""))="","-",TRIM(IF(AND(E236="hecho",F236="INCORRECTA"),"INC ","")&amp;IF(AND(E236="abstencion",F236="INCORRECTA"),"ABS-E ","")&amp;IF(AND(E236="hecho",F236="FUERA_REF",H236="no_resp"),"NO-ABS ","")&amp;IF(AND(E236="hecho",I236="SIN-RESPALDO"),"SIN-R ","")&amp;IF(AND(E236="hecho",I236="CITA-X"),"CITA-X ","")&amp;IF(AND(E236="hecho",I236="SIN-CITA"),"SIN-C ","")))))</f>
        <v/>
      </c>
      <c r="N236" s="5">
        <f>IF(D236="","",IF(OR(A236="",B236="",E236="",F236=""),"falta qid, modo, tipo o vs_ref",IF(AND(B236="llm",I236&lt;&gt;""),"respaldo no aplica en modo LLM",IF(AND(E236="abstencion",I236&lt;&gt;""),"una abstención no se califica en citas",IF(AND(B236="rag",E236="hecho",I236=""),"falta respaldo","ok")))))</f>
        <v/>
      </c>
    </row>
    <row r="237">
      <c r="A237" s="6" t="n"/>
      <c r="B237" s="6" t="n"/>
      <c r="C237" s="5">
        <f>IF(A237="","",COUNTIFS($A$2:A237,A237,$B$2:B237,B237))</f>
        <v/>
      </c>
      <c r="D237" s="6" t="n"/>
      <c r="E237" s="6" t="n"/>
      <c r="F237" s="6" t="n"/>
      <c r="G237" s="6" t="n"/>
      <c r="H237" s="6" t="n"/>
      <c r="I237" s="6" t="n"/>
      <c r="J237" s="6" t="n"/>
      <c r="K237" s="6" t="n"/>
      <c r="L237" s="6" t="n"/>
      <c r="M237" s="5">
        <f>IF(D237="","",IF(OR(E237="",F237=""),"",IF(TRIM(IF(AND(E237="hecho",F237="INCORRECTA"),"INC ","")&amp;IF(AND(E237="abstencion",F237="INCORRECTA"),"ABS-E ","")&amp;IF(AND(E237="hecho",F237="FUERA_REF",H237="no_resp"),"NO-ABS ","")&amp;IF(AND(E237="hecho",I237="SIN-RESPALDO"),"SIN-R ","")&amp;IF(AND(E237="hecho",I237="CITA-X"),"CITA-X ","")&amp;IF(AND(E237="hecho",I237="SIN-CITA"),"SIN-C ",""))="","-",TRIM(IF(AND(E237="hecho",F237="INCORRECTA"),"INC ","")&amp;IF(AND(E237="abstencion",F237="INCORRECTA"),"ABS-E ","")&amp;IF(AND(E237="hecho",F237="FUERA_REF",H237="no_resp"),"NO-ABS ","")&amp;IF(AND(E237="hecho",I237="SIN-RESPALDO"),"SIN-R ","")&amp;IF(AND(E237="hecho",I237="CITA-X"),"CITA-X ","")&amp;IF(AND(E237="hecho",I237="SIN-CITA"),"SIN-C ","")))))</f>
        <v/>
      </c>
      <c r="N237" s="5">
        <f>IF(D237="","",IF(OR(A237="",B237="",E237="",F237=""),"falta qid, modo, tipo o vs_ref",IF(AND(B237="llm",I237&lt;&gt;""),"respaldo no aplica en modo LLM",IF(AND(E237="abstencion",I237&lt;&gt;""),"una abstención no se califica en citas",IF(AND(B237="rag",E237="hecho",I237=""),"falta respaldo","ok")))))</f>
        <v/>
      </c>
    </row>
    <row r="238">
      <c r="A238" s="6" t="n"/>
      <c r="B238" s="6" t="n"/>
      <c r="C238" s="5">
        <f>IF(A238="","",COUNTIFS($A$2:A238,A238,$B$2:B238,B238))</f>
        <v/>
      </c>
      <c r="D238" s="6" t="n"/>
      <c r="E238" s="6" t="n"/>
      <c r="F238" s="6" t="n"/>
      <c r="G238" s="6" t="n"/>
      <c r="H238" s="6" t="n"/>
      <c r="I238" s="6" t="n"/>
      <c r="J238" s="6" t="n"/>
      <c r="K238" s="6" t="n"/>
      <c r="L238" s="6" t="n"/>
      <c r="M238" s="5">
        <f>IF(D238="","",IF(OR(E238="",F238=""),"",IF(TRIM(IF(AND(E238="hecho",F238="INCORRECTA"),"INC ","")&amp;IF(AND(E238="abstencion",F238="INCORRECTA"),"ABS-E ","")&amp;IF(AND(E238="hecho",F238="FUERA_REF",H238="no_resp"),"NO-ABS ","")&amp;IF(AND(E238="hecho",I238="SIN-RESPALDO"),"SIN-R ","")&amp;IF(AND(E238="hecho",I238="CITA-X"),"CITA-X ","")&amp;IF(AND(E238="hecho",I238="SIN-CITA"),"SIN-C ",""))="","-",TRIM(IF(AND(E238="hecho",F238="INCORRECTA"),"INC ","")&amp;IF(AND(E238="abstencion",F238="INCORRECTA"),"ABS-E ","")&amp;IF(AND(E238="hecho",F238="FUERA_REF",H238="no_resp"),"NO-ABS ","")&amp;IF(AND(E238="hecho",I238="SIN-RESPALDO"),"SIN-R ","")&amp;IF(AND(E238="hecho",I238="CITA-X"),"CITA-X ","")&amp;IF(AND(E238="hecho",I238="SIN-CITA"),"SIN-C ","")))))</f>
        <v/>
      </c>
      <c r="N238" s="5">
        <f>IF(D238="","",IF(OR(A238="",B238="",E238="",F238=""),"falta qid, modo, tipo o vs_ref",IF(AND(B238="llm",I238&lt;&gt;""),"respaldo no aplica en modo LLM",IF(AND(E238="abstencion",I238&lt;&gt;""),"una abstención no se califica en citas",IF(AND(B238="rag",E238="hecho",I238=""),"falta respaldo","ok")))))</f>
        <v/>
      </c>
    </row>
    <row r="239">
      <c r="A239" s="6" t="n"/>
      <c r="B239" s="6" t="n"/>
      <c r="C239" s="5">
        <f>IF(A239="","",COUNTIFS($A$2:A239,A239,$B$2:B239,B239))</f>
        <v/>
      </c>
      <c r="D239" s="6" t="n"/>
      <c r="E239" s="6" t="n"/>
      <c r="F239" s="6" t="n"/>
      <c r="G239" s="6" t="n"/>
      <c r="H239" s="6" t="n"/>
      <c r="I239" s="6" t="n"/>
      <c r="J239" s="6" t="n"/>
      <c r="K239" s="6" t="n"/>
      <c r="L239" s="6" t="n"/>
      <c r="M239" s="5">
        <f>IF(D239="","",IF(OR(E239="",F239=""),"",IF(TRIM(IF(AND(E239="hecho",F239="INCORRECTA"),"INC ","")&amp;IF(AND(E239="abstencion",F239="INCORRECTA"),"ABS-E ","")&amp;IF(AND(E239="hecho",F239="FUERA_REF",H239="no_resp"),"NO-ABS ","")&amp;IF(AND(E239="hecho",I239="SIN-RESPALDO"),"SIN-R ","")&amp;IF(AND(E239="hecho",I239="CITA-X"),"CITA-X ","")&amp;IF(AND(E239="hecho",I239="SIN-CITA"),"SIN-C ",""))="","-",TRIM(IF(AND(E239="hecho",F239="INCORRECTA"),"INC ","")&amp;IF(AND(E239="abstencion",F239="INCORRECTA"),"ABS-E ","")&amp;IF(AND(E239="hecho",F239="FUERA_REF",H239="no_resp"),"NO-ABS ","")&amp;IF(AND(E239="hecho",I239="SIN-RESPALDO"),"SIN-R ","")&amp;IF(AND(E239="hecho",I239="CITA-X"),"CITA-X ","")&amp;IF(AND(E239="hecho",I239="SIN-CITA"),"SIN-C ","")))))</f>
        <v/>
      </c>
      <c r="N239" s="5">
        <f>IF(D239="","",IF(OR(A239="",B239="",E239="",F239=""),"falta qid, modo, tipo o vs_ref",IF(AND(B239="llm",I239&lt;&gt;""),"respaldo no aplica en modo LLM",IF(AND(E239="abstencion",I239&lt;&gt;""),"una abstención no se califica en citas",IF(AND(B239="rag",E239="hecho",I239=""),"falta respaldo","ok")))))</f>
        <v/>
      </c>
    </row>
    <row r="240">
      <c r="A240" s="6" t="n"/>
      <c r="B240" s="6" t="n"/>
      <c r="C240" s="5">
        <f>IF(A240="","",COUNTIFS($A$2:A240,A240,$B$2:B240,B240))</f>
        <v/>
      </c>
      <c r="D240" s="6" t="n"/>
      <c r="E240" s="6" t="n"/>
      <c r="F240" s="6" t="n"/>
      <c r="G240" s="6" t="n"/>
      <c r="H240" s="6" t="n"/>
      <c r="I240" s="6" t="n"/>
      <c r="J240" s="6" t="n"/>
      <c r="K240" s="6" t="n"/>
      <c r="L240" s="6" t="n"/>
      <c r="M240" s="5">
        <f>IF(D240="","",IF(OR(E240="",F240=""),"",IF(TRIM(IF(AND(E240="hecho",F240="INCORRECTA"),"INC ","")&amp;IF(AND(E240="abstencion",F240="INCORRECTA"),"ABS-E ","")&amp;IF(AND(E240="hecho",F240="FUERA_REF",H240="no_resp"),"NO-ABS ","")&amp;IF(AND(E240="hecho",I240="SIN-RESPALDO"),"SIN-R ","")&amp;IF(AND(E240="hecho",I240="CITA-X"),"CITA-X ","")&amp;IF(AND(E240="hecho",I240="SIN-CITA"),"SIN-C ",""))="","-",TRIM(IF(AND(E240="hecho",F240="INCORRECTA"),"INC ","")&amp;IF(AND(E240="abstencion",F240="INCORRECTA"),"ABS-E ","")&amp;IF(AND(E240="hecho",F240="FUERA_REF",H240="no_resp"),"NO-ABS ","")&amp;IF(AND(E240="hecho",I240="SIN-RESPALDO"),"SIN-R ","")&amp;IF(AND(E240="hecho",I240="CITA-X"),"CITA-X ","")&amp;IF(AND(E240="hecho",I240="SIN-CITA"),"SIN-C ","")))))</f>
        <v/>
      </c>
      <c r="N240" s="5">
        <f>IF(D240="","",IF(OR(A240="",B240="",E240="",F240=""),"falta qid, modo, tipo o vs_ref",IF(AND(B240="llm",I240&lt;&gt;""),"respaldo no aplica en modo LLM",IF(AND(E240="abstencion",I240&lt;&gt;""),"una abstención no se califica en citas",IF(AND(B240="rag",E240="hecho",I240=""),"falta respaldo","ok")))))</f>
        <v/>
      </c>
    </row>
    <row r="241">
      <c r="A241" s="6" t="n"/>
      <c r="B241" s="6" t="n"/>
      <c r="C241" s="5">
        <f>IF(A241="","",COUNTIFS($A$2:A241,A241,$B$2:B241,B241))</f>
        <v/>
      </c>
      <c r="D241" s="6" t="n"/>
      <c r="E241" s="6" t="n"/>
      <c r="F241" s="6" t="n"/>
      <c r="G241" s="6" t="n"/>
      <c r="H241" s="6" t="n"/>
      <c r="I241" s="6" t="n"/>
      <c r="J241" s="6" t="n"/>
      <c r="K241" s="6" t="n"/>
      <c r="L241" s="6" t="n"/>
      <c r="M241" s="5">
        <f>IF(D241="","",IF(OR(E241="",F241=""),"",IF(TRIM(IF(AND(E241="hecho",F241="INCORRECTA"),"INC ","")&amp;IF(AND(E241="abstencion",F241="INCORRECTA"),"ABS-E ","")&amp;IF(AND(E241="hecho",F241="FUERA_REF",H241="no_resp"),"NO-ABS ","")&amp;IF(AND(E241="hecho",I241="SIN-RESPALDO"),"SIN-R ","")&amp;IF(AND(E241="hecho",I241="CITA-X"),"CITA-X ","")&amp;IF(AND(E241="hecho",I241="SIN-CITA"),"SIN-C ",""))="","-",TRIM(IF(AND(E241="hecho",F241="INCORRECTA"),"INC ","")&amp;IF(AND(E241="abstencion",F241="INCORRECTA"),"ABS-E ","")&amp;IF(AND(E241="hecho",F241="FUERA_REF",H241="no_resp"),"NO-ABS ","")&amp;IF(AND(E241="hecho",I241="SIN-RESPALDO"),"SIN-R ","")&amp;IF(AND(E241="hecho",I241="CITA-X"),"CITA-X ","")&amp;IF(AND(E241="hecho",I241="SIN-CITA"),"SIN-C ","")))))</f>
        <v/>
      </c>
      <c r="N241" s="5">
        <f>IF(D241="","",IF(OR(A241="",B241="",E241="",F241=""),"falta qid, modo, tipo o vs_ref",IF(AND(B241="llm",I241&lt;&gt;""),"respaldo no aplica en modo LLM",IF(AND(E241="abstencion",I241&lt;&gt;""),"una abstención no se califica en citas",IF(AND(B241="rag",E241="hecho",I241=""),"falta respaldo","ok")))))</f>
        <v/>
      </c>
    </row>
    <row r="242">
      <c r="A242" s="6" t="n"/>
      <c r="B242" s="6" t="n"/>
      <c r="C242" s="5">
        <f>IF(A242="","",COUNTIFS($A$2:A242,A242,$B$2:B242,B242))</f>
        <v/>
      </c>
      <c r="D242" s="6" t="n"/>
      <c r="E242" s="6" t="n"/>
      <c r="F242" s="6" t="n"/>
      <c r="G242" s="6" t="n"/>
      <c r="H242" s="6" t="n"/>
      <c r="I242" s="6" t="n"/>
      <c r="J242" s="6" t="n"/>
      <c r="K242" s="6" t="n"/>
      <c r="L242" s="6" t="n"/>
      <c r="M242" s="5">
        <f>IF(D242="","",IF(OR(E242="",F242=""),"",IF(TRIM(IF(AND(E242="hecho",F242="INCORRECTA"),"INC ","")&amp;IF(AND(E242="abstencion",F242="INCORRECTA"),"ABS-E ","")&amp;IF(AND(E242="hecho",F242="FUERA_REF",H242="no_resp"),"NO-ABS ","")&amp;IF(AND(E242="hecho",I242="SIN-RESPALDO"),"SIN-R ","")&amp;IF(AND(E242="hecho",I242="CITA-X"),"CITA-X ","")&amp;IF(AND(E242="hecho",I242="SIN-CITA"),"SIN-C ",""))="","-",TRIM(IF(AND(E242="hecho",F242="INCORRECTA"),"INC ","")&amp;IF(AND(E242="abstencion",F242="INCORRECTA"),"ABS-E ","")&amp;IF(AND(E242="hecho",F242="FUERA_REF",H242="no_resp"),"NO-ABS ","")&amp;IF(AND(E242="hecho",I242="SIN-RESPALDO"),"SIN-R ","")&amp;IF(AND(E242="hecho",I242="CITA-X"),"CITA-X ","")&amp;IF(AND(E242="hecho",I242="SIN-CITA"),"SIN-C ","")))))</f>
        <v/>
      </c>
      <c r="N242" s="5">
        <f>IF(D242="","",IF(OR(A242="",B242="",E242="",F242=""),"falta qid, modo, tipo o vs_ref",IF(AND(B242="llm",I242&lt;&gt;""),"respaldo no aplica en modo LLM",IF(AND(E242="abstencion",I242&lt;&gt;""),"una abstención no se califica en citas",IF(AND(B242="rag",E242="hecho",I242=""),"falta respaldo","ok")))))</f>
        <v/>
      </c>
    </row>
    <row r="243">
      <c r="A243" s="6" t="n"/>
      <c r="B243" s="6" t="n"/>
      <c r="C243" s="5">
        <f>IF(A243="","",COUNTIFS($A$2:A243,A243,$B$2:B243,B243))</f>
        <v/>
      </c>
      <c r="D243" s="6" t="n"/>
      <c r="E243" s="6" t="n"/>
      <c r="F243" s="6" t="n"/>
      <c r="G243" s="6" t="n"/>
      <c r="H243" s="6" t="n"/>
      <c r="I243" s="6" t="n"/>
      <c r="J243" s="6" t="n"/>
      <c r="K243" s="6" t="n"/>
      <c r="L243" s="6" t="n"/>
      <c r="M243" s="5">
        <f>IF(D243="","",IF(OR(E243="",F243=""),"",IF(TRIM(IF(AND(E243="hecho",F243="INCORRECTA"),"INC ","")&amp;IF(AND(E243="abstencion",F243="INCORRECTA"),"ABS-E ","")&amp;IF(AND(E243="hecho",F243="FUERA_REF",H243="no_resp"),"NO-ABS ","")&amp;IF(AND(E243="hecho",I243="SIN-RESPALDO"),"SIN-R ","")&amp;IF(AND(E243="hecho",I243="CITA-X"),"CITA-X ","")&amp;IF(AND(E243="hecho",I243="SIN-CITA"),"SIN-C ",""))="","-",TRIM(IF(AND(E243="hecho",F243="INCORRECTA"),"INC ","")&amp;IF(AND(E243="abstencion",F243="INCORRECTA"),"ABS-E ","")&amp;IF(AND(E243="hecho",F243="FUERA_REF",H243="no_resp"),"NO-ABS ","")&amp;IF(AND(E243="hecho",I243="SIN-RESPALDO"),"SIN-R ","")&amp;IF(AND(E243="hecho",I243="CITA-X"),"CITA-X ","")&amp;IF(AND(E243="hecho",I243="SIN-CITA"),"SIN-C ","")))))</f>
        <v/>
      </c>
      <c r="N243" s="5">
        <f>IF(D243="","",IF(OR(A243="",B243="",E243="",F243=""),"falta qid, modo, tipo o vs_ref",IF(AND(B243="llm",I243&lt;&gt;""),"respaldo no aplica en modo LLM",IF(AND(E243="abstencion",I243&lt;&gt;""),"una abstención no se califica en citas",IF(AND(B243="rag",E243="hecho",I243=""),"falta respaldo","ok")))))</f>
        <v/>
      </c>
    </row>
    <row r="244">
      <c r="A244" s="6" t="n"/>
      <c r="B244" s="6" t="n"/>
      <c r="C244" s="5">
        <f>IF(A244="","",COUNTIFS($A$2:A244,A244,$B$2:B244,B244))</f>
        <v/>
      </c>
      <c r="D244" s="6" t="n"/>
      <c r="E244" s="6" t="n"/>
      <c r="F244" s="6" t="n"/>
      <c r="G244" s="6" t="n"/>
      <c r="H244" s="6" t="n"/>
      <c r="I244" s="6" t="n"/>
      <c r="J244" s="6" t="n"/>
      <c r="K244" s="6" t="n"/>
      <c r="L244" s="6" t="n"/>
      <c r="M244" s="5">
        <f>IF(D244="","",IF(OR(E244="",F244=""),"",IF(TRIM(IF(AND(E244="hecho",F244="INCORRECTA"),"INC ","")&amp;IF(AND(E244="abstencion",F244="INCORRECTA"),"ABS-E ","")&amp;IF(AND(E244="hecho",F244="FUERA_REF",H244="no_resp"),"NO-ABS ","")&amp;IF(AND(E244="hecho",I244="SIN-RESPALDO"),"SIN-R ","")&amp;IF(AND(E244="hecho",I244="CITA-X"),"CITA-X ","")&amp;IF(AND(E244="hecho",I244="SIN-CITA"),"SIN-C ",""))="","-",TRIM(IF(AND(E244="hecho",F244="INCORRECTA"),"INC ","")&amp;IF(AND(E244="abstencion",F244="INCORRECTA"),"ABS-E ","")&amp;IF(AND(E244="hecho",F244="FUERA_REF",H244="no_resp"),"NO-ABS ","")&amp;IF(AND(E244="hecho",I244="SIN-RESPALDO"),"SIN-R ","")&amp;IF(AND(E244="hecho",I244="CITA-X"),"CITA-X ","")&amp;IF(AND(E244="hecho",I244="SIN-CITA"),"SIN-C ","")))))</f>
        <v/>
      </c>
      <c r="N244" s="5">
        <f>IF(D244="","",IF(OR(A244="",B244="",E244="",F244=""),"falta qid, modo, tipo o vs_ref",IF(AND(B244="llm",I244&lt;&gt;""),"respaldo no aplica en modo LLM",IF(AND(E244="abstencion",I244&lt;&gt;""),"una abstención no se califica en citas",IF(AND(B244="rag",E244="hecho",I244=""),"falta respaldo","ok")))))</f>
        <v/>
      </c>
    </row>
    <row r="245">
      <c r="A245" s="6" t="n"/>
      <c r="B245" s="6" t="n"/>
      <c r="C245" s="5">
        <f>IF(A245="","",COUNTIFS($A$2:A245,A245,$B$2:B245,B245))</f>
        <v/>
      </c>
      <c r="D245" s="6" t="n"/>
      <c r="E245" s="6" t="n"/>
      <c r="F245" s="6" t="n"/>
      <c r="G245" s="6" t="n"/>
      <c r="H245" s="6" t="n"/>
      <c r="I245" s="6" t="n"/>
      <c r="J245" s="6" t="n"/>
      <c r="K245" s="6" t="n"/>
      <c r="L245" s="6" t="n"/>
      <c r="M245" s="5">
        <f>IF(D245="","",IF(OR(E245="",F245=""),"",IF(TRIM(IF(AND(E245="hecho",F245="INCORRECTA"),"INC ","")&amp;IF(AND(E245="abstencion",F245="INCORRECTA"),"ABS-E ","")&amp;IF(AND(E245="hecho",F245="FUERA_REF",H245="no_resp"),"NO-ABS ","")&amp;IF(AND(E245="hecho",I245="SIN-RESPALDO"),"SIN-R ","")&amp;IF(AND(E245="hecho",I245="CITA-X"),"CITA-X ","")&amp;IF(AND(E245="hecho",I245="SIN-CITA"),"SIN-C ",""))="","-",TRIM(IF(AND(E245="hecho",F245="INCORRECTA"),"INC ","")&amp;IF(AND(E245="abstencion",F245="INCORRECTA"),"ABS-E ","")&amp;IF(AND(E245="hecho",F245="FUERA_REF",H245="no_resp"),"NO-ABS ","")&amp;IF(AND(E245="hecho",I245="SIN-RESPALDO"),"SIN-R ","")&amp;IF(AND(E245="hecho",I245="CITA-X"),"CITA-X ","")&amp;IF(AND(E245="hecho",I245="SIN-CITA"),"SIN-C ","")))))</f>
        <v/>
      </c>
      <c r="N245" s="5">
        <f>IF(D245="","",IF(OR(A245="",B245="",E245="",F245=""),"falta qid, modo, tipo o vs_ref",IF(AND(B245="llm",I245&lt;&gt;""),"respaldo no aplica en modo LLM",IF(AND(E245="abstencion",I245&lt;&gt;""),"una abstención no se califica en citas",IF(AND(B245="rag",E245="hecho",I245=""),"falta respaldo","ok")))))</f>
        <v/>
      </c>
    </row>
    <row r="246">
      <c r="A246" s="6" t="n"/>
      <c r="B246" s="6" t="n"/>
      <c r="C246" s="5">
        <f>IF(A246="","",COUNTIFS($A$2:A246,A246,$B$2:B246,B246))</f>
        <v/>
      </c>
      <c r="D246" s="6" t="n"/>
      <c r="E246" s="6" t="n"/>
      <c r="F246" s="6" t="n"/>
      <c r="G246" s="6" t="n"/>
      <c r="H246" s="6" t="n"/>
      <c r="I246" s="6" t="n"/>
      <c r="J246" s="6" t="n"/>
      <c r="K246" s="6" t="n"/>
      <c r="L246" s="6" t="n"/>
      <c r="M246" s="5">
        <f>IF(D246="","",IF(OR(E246="",F246=""),"",IF(TRIM(IF(AND(E246="hecho",F246="INCORRECTA"),"INC ","")&amp;IF(AND(E246="abstencion",F246="INCORRECTA"),"ABS-E ","")&amp;IF(AND(E246="hecho",F246="FUERA_REF",H246="no_resp"),"NO-ABS ","")&amp;IF(AND(E246="hecho",I246="SIN-RESPALDO"),"SIN-R ","")&amp;IF(AND(E246="hecho",I246="CITA-X"),"CITA-X ","")&amp;IF(AND(E246="hecho",I246="SIN-CITA"),"SIN-C ",""))="","-",TRIM(IF(AND(E246="hecho",F246="INCORRECTA"),"INC ","")&amp;IF(AND(E246="abstencion",F246="INCORRECTA"),"ABS-E ","")&amp;IF(AND(E246="hecho",F246="FUERA_REF",H246="no_resp"),"NO-ABS ","")&amp;IF(AND(E246="hecho",I246="SIN-RESPALDO"),"SIN-R ","")&amp;IF(AND(E246="hecho",I246="CITA-X"),"CITA-X ","")&amp;IF(AND(E246="hecho",I246="SIN-CITA"),"SIN-C ","")))))</f>
        <v/>
      </c>
      <c r="N246" s="5">
        <f>IF(D246="","",IF(OR(A246="",B246="",E246="",F246=""),"falta qid, modo, tipo o vs_ref",IF(AND(B246="llm",I246&lt;&gt;""),"respaldo no aplica en modo LLM",IF(AND(E246="abstencion",I246&lt;&gt;""),"una abstención no se califica en citas",IF(AND(B246="rag",E246="hecho",I246=""),"falta respaldo","ok")))))</f>
        <v/>
      </c>
    </row>
    <row r="247">
      <c r="A247" s="6" t="n"/>
      <c r="B247" s="6" t="n"/>
      <c r="C247" s="5">
        <f>IF(A247="","",COUNTIFS($A$2:A247,A247,$B$2:B247,B247))</f>
        <v/>
      </c>
      <c r="D247" s="6" t="n"/>
      <c r="E247" s="6" t="n"/>
      <c r="F247" s="6" t="n"/>
      <c r="G247" s="6" t="n"/>
      <c r="H247" s="6" t="n"/>
      <c r="I247" s="6" t="n"/>
      <c r="J247" s="6" t="n"/>
      <c r="K247" s="6" t="n"/>
      <c r="L247" s="6" t="n"/>
      <c r="M247" s="5">
        <f>IF(D247="","",IF(OR(E247="",F247=""),"",IF(TRIM(IF(AND(E247="hecho",F247="INCORRECTA"),"INC ","")&amp;IF(AND(E247="abstencion",F247="INCORRECTA"),"ABS-E ","")&amp;IF(AND(E247="hecho",F247="FUERA_REF",H247="no_resp"),"NO-ABS ","")&amp;IF(AND(E247="hecho",I247="SIN-RESPALDO"),"SIN-R ","")&amp;IF(AND(E247="hecho",I247="CITA-X"),"CITA-X ","")&amp;IF(AND(E247="hecho",I247="SIN-CITA"),"SIN-C ",""))="","-",TRIM(IF(AND(E247="hecho",F247="INCORRECTA"),"INC ","")&amp;IF(AND(E247="abstencion",F247="INCORRECTA"),"ABS-E ","")&amp;IF(AND(E247="hecho",F247="FUERA_REF",H247="no_resp"),"NO-ABS ","")&amp;IF(AND(E247="hecho",I247="SIN-RESPALDO"),"SIN-R ","")&amp;IF(AND(E247="hecho",I247="CITA-X"),"CITA-X ","")&amp;IF(AND(E247="hecho",I247="SIN-CITA"),"SIN-C ","")))))</f>
        <v/>
      </c>
      <c r="N247" s="5">
        <f>IF(D247="","",IF(OR(A247="",B247="",E247="",F247=""),"falta qid, modo, tipo o vs_ref",IF(AND(B247="llm",I247&lt;&gt;""),"respaldo no aplica en modo LLM",IF(AND(E247="abstencion",I247&lt;&gt;""),"una abstención no se califica en citas",IF(AND(B247="rag",E247="hecho",I247=""),"falta respaldo","ok")))))</f>
        <v/>
      </c>
    </row>
    <row r="248">
      <c r="A248" s="6" t="n"/>
      <c r="B248" s="6" t="n"/>
      <c r="C248" s="5">
        <f>IF(A248="","",COUNTIFS($A$2:A248,A248,$B$2:B248,B248))</f>
        <v/>
      </c>
      <c r="D248" s="6" t="n"/>
      <c r="E248" s="6" t="n"/>
      <c r="F248" s="6" t="n"/>
      <c r="G248" s="6" t="n"/>
      <c r="H248" s="6" t="n"/>
      <c r="I248" s="6" t="n"/>
      <c r="J248" s="6" t="n"/>
      <c r="K248" s="6" t="n"/>
      <c r="L248" s="6" t="n"/>
      <c r="M248" s="5">
        <f>IF(D248="","",IF(OR(E248="",F248=""),"",IF(TRIM(IF(AND(E248="hecho",F248="INCORRECTA"),"INC ","")&amp;IF(AND(E248="abstencion",F248="INCORRECTA"),"ABS-E ","")&amp;IF(AND(E248="hecho",F248="FUERA_REF",H248="no_resp"),"NO-ABS ","")&amp;IF(AND(E248="hecho",I248="SIN-RESPALDO"),"SIN-R ","")&amp;IF(AND(E248="hecho",I248="CITA-X"),"CITA-X ","")&amp;IF(AND(E248="hecho",I248="SIN-CITA"),"SIN-C ",""))="","-",TRIM(IF(AND(E248="hecho",F248="INCORRECTA"),"INC ","")&amp;IF(AND(E248="abstencion",F248="INCORRECTA"),"ABS-E ","")&amp;IF(AND(E248="hecho",F248="FUERA_REF",H248="no_resp"),"NO-ABS ","")&amp;IF(AND(E248="hecho",I248="SIN-RESPALDO"),"SIN-R ","")&amp;IF(AND(E248="hecho",I248="CITA-X"),"CITA-X ","")&amp;IF(AND(E248="hecho",I248="SIN-CITA"),"SIN-C ","")))))</f>
        <v/>
      </c>
      <c r="N248" s="5">
        <f>IF(D248="","",IF(OR(A248="",B248="",E248="",F248=""),"falta qid, modo, tipo o vs_ref",IF(AND(B248="llm",I248&lt;&gt;""),"respaldo no aplica en modo LLM",IF(AND(E248="abstencion",I248&lt;&gt;""),"una abstención no se califica en citas",IF(AND(B248="rag",E248="hecho",I248=""),"falta respaldo","ok")))))</f>
        <v/>
      </c>
    </row>
    <row r="249">
      <c r="A249" s="6" t="n"/>
      <c r="B249" s="6" t="n"/>
      <c r="C249" s="5">
        <f>IF(A249="","",COUNTIFS($A$2:A249,A249,$B$2:B249,B249))</f>
        <v/>
      </c>
      <c r="D249" s="6" t="n"/>
      <c r="E249" s="6" t="n"/>
      <c r="F249" s="6" t="n"/>
      <c r="G249" s="6" t="n"/>
      <c r="H249" s="6" t="n"/>
      <c r="I249" s="6" t="n"/>
      <c r="J249" s="6" t="n"/>
      <c r="K249" s="6" t="n"/>
      <c r="L249" s="6" t="n"/>
      <c r="M249" s="5">
        <f>IF(D249="","",IF(OR(E249="",F249=""),"",IF(TRIM(IF(AND(E249="hecho",F249="INCORRECTA"),"INC ","")&amp;IF(AND(E249="abstencion",F249="INCORRECTA"),"ABS-E ","")&amp;IF(AND(E249="hecho",F249="FUERA_REF",H249="no_resp"),"NO-ABS ","")&amp;IF(AND(E249="hecho",I249="SIN-RESPALDO"),"SIN-R ","")&amp;IF(AND(E249="hecho",I249="CITA-X"),"CITA-X ","")&amp;IF(AND(E249="hecho",I249="SIN-CITA"),"SIN-C ",""))="","-",TRIM(IF(AND(E249="hecho",F249="INCORRECTA"),"INC ","")&amp;IF(AND(E249="abstencion",F249="INCORRECTA"),"ABS-E ","")&amp;IF(AND(E249="hecho",F249="FUERA_REF",H249="no_resp"),"NO-ABS ","")&amp;IF(AND(E249="hecho",I249="SIN-RESPALDO"),"SIN-R ","")&amp;IF(AND(E249="hecho",I249="CITA-X"),"CITA-X ","")&amp;IF(AND(E249="hecho",I249="SIN-CITA"),"SIN-C ","")))))</f>
        <v/>
      </c>
      <c r="N249" s="5">
        <f>IF(D249="","",IF(OR(A249="",B249="",E249="",F249=""),"falta qid, modo, tipo o vs_ref",IF(AND(B249="llm",I249&lt;&gt;""),"respaldo no aplica en modo LLM",IF(AND(E249="abstencion",I249&lt;&gt;""),"una abstención no se califica en citas",IF(AND(B249="rag",E249="hecho",I249=""),"falta respaldo","ok")))))</f>
        <v/>
      </c>
    </row>
    <row r="250">
      <c r="A250" s="6" t="n"/>
      <c r="B250" s="6" t="n"/>
      <c r="C250" s="5">
        <f>IF(A250="","",COUNTIFS($A$2:A250,A250,$B$2:B250,B250))</f>
        <v/>
      </c>
      <c r="D250" s="6" t="n"/>
      <c r="E250" s="6" t="n"/>
      <c r="F250" s="6" t="n"/>
      <c r="G250" s="6" t="n"/>
      <c r="H250" s="6" t="n"/>
      <c r="I250" s="6" t="n"/>
      <c r="J250" s="6" t="n"/>
      <c r="K250" s="6" t="n"/>
      <c r="L250" s="6" t="n"/>
      <c r="M250" s="5">
        <f>IF(D250="","",IF(OR(E250="",F250=""),"",IF(TRIM(IF(AND(E250="hecho",F250="INCORRECTA"),"INC ","")&amp;IF(AND(E250="abstencion",F250="INCORRECTA"),"ABS-E ","")&amp;IF(AND(E250="hecho",F250="FUERA_REF",H250="no_resp"),"NO-ABS ","")&amp;IF(AND(E250="hecho",I250="SIN-RESPALDO"),"SIN-R ","")&amp;IF(AND(E250="hecho",I250="CITA-X"),"CITA-X ","")&amp;IF(AND(E250="hecho",I250="SIN-CITA"),"SIN-C ",""))="","-",TRIM(IF(AND(E250="hecho",F250="INCORRECTA"),"INC ","")&amp;IF(AND(E250="abstencion",F250="INCORRECTA"),"ABS-E ","")&amp;IF(AND(E250="hecho",F250="FUERA_REF",H250="no_resp"),"NO-ABS ","")&amp;IF(AND(E250="hecho",I250="SIN-RESPALDO"),"SIN-R ","")&amp;IF(AND(E250="hecho",I250="CITA-X"),"CITA-X ","")&amp;IF(AND(E250="hecho",I250="SIN-CITA"),"SIN-C ","")))))</f>
        <v/>
      </c>
      <c r="N250" s="5">
        <f>IF(D250="","",IF(OR(A250="",B250="",E250="",F250=""),"falta qid, modo, tipo o vs_ref",IF(AND(B250="llm",I250&lt;&gt;""),"respaldo no aplica en modo LLM",IF(AND(E250="abstencion",I250&lt;&gt;""),"una abstención no se califica en citas",IF(AND(B250="rag",E250="hecho",I250=""),"falta respaldo","ok")))))</f>
        <v/>
      </c>
    </row>
    <row r="251">
      <c r="A251" s="6" t="n"/>
      <c r="B251" s="6" t="n"/>
      <c r="C251" s="5">
        <f>IF(A251="","",COUNTIFS($A$2:A251,A251,$B$2:B251,B251))</f>
        <v/>
      </c>
      <c r="D251" s="6" t="n"/>
      <c r="E251" s="6" t="n"/>
      <c r="F251" s="6" t="n"/>
      <c r="G251" s="6" t="n"/>
      <c r="H251" s="6" t="n"/>
      <c r="I251" s="6" t="n"/>
      <c r="J251" s="6" t="n"/>
      <c r="K251" s="6" t="n"/>
      <c r="L251" s="6" t="n"/>
      <c r="M251" s="5">
        <f>IF(D251="","",IF(OR(E251="",F251=""),"",IF(TRIM(IF(AND(E251="hecho",F251="INCORRECTA"),"INC ","")&amp;IF(AND(E251="abstencion",F251="INCORRECTA"),"ABS-E ","")&amp;IF(AND(E251="hecho",F251="FUERA_REF",H251="no_resp"),"NO-ABS ","")&amp;IF(AND(E251="hecho",I251="SIN-RESPALDO"),"SIN-R ","")&amp;IF(AND(E251="hecho",I251="CITA-X"),"CITA-X ","")&amp;IF(AND(E251="hecho",I251="SIN-CITA"),"SIN-C ",""))="","-",TRIM(IF(AND(E251="hecho",F251="INCORRECTA"),"INC ","")&amp;IF(AND(E251="abstencion",F251="INCORRECTA"),"ABS-E ","")&amp;IF(AND(E251="hecho",F251="FUERA_REF",H251="no_resp"),"NO-ABS ","")&amp;IF(AND(E251="hecho",I251="SIN-RESPALDO"),"SIN-R ","")&amp;IF(AND(E251="hecho",I251="CITA-X"),"CITA-X ","")&amp;IF(AND(E251="hecho",I251="SIN-CITA"),"SIN-C ","")))))</f>
        <v/>
      </c>
      <c r="N251" s="5">
        <f>IF(D251="","",IF(OR(A251="",B251="",E251="",F251=""),"falta qid, modo, tipo o vs_ref",IF(AND(B251="llm",I251&lt;&gt;""),"respaldo no aplica en modo LLM",IF(AND(E251="abstencion",I251&lt;&gt;""),"una abstención no se califica en citas",IF(AND(B251="rag",E251="hecho",I251=""),"falta respaldo","ok")))))</f>
        <v/>
      </c>
    </row>
    <row r="252">
      <c r="A252" s="6" t="n"/>
      <c r="B252" s="6" t="n"/>
      <c r="C252" s="5">
        <f>IF(A252="","",COUNTIFS($A$2:A252,A252,$B$2:B252,B252))</f>
        <v/>
      </c>
      <c r="D252" s="6" t="n"/>
      <c r="E252" s="6" t="n"/>
      <c r="F252" s="6" t="n"/>
      <c r="G252" s="6" t="n"/>
      <c r="H252" s="6" t="n"/>
      <c r="I252" s="6" t="n"/>
      <c r="J252" s="6" t="n"/>
      <c r="K252" s="6" t="n"/>
      <c r="L252" s="6" t="n"/>
      <c r="M252" s="5">
        <f>IF(D252="","",IF(OR(E252="",F252=""),"",IF(TRIM(IF(AND(E252="hecho",F252="INCORRECTA"),"INC ","")&amp;IF(AND(E252="abstencion",F252="INCORRECTA"),"ABS-E ","")&amp;IF(AND(E252="hecho",F252="FUERA_REF",H252="no_resp"),"NO-ABS ","")&amp;IF(AND(E252="hecho",I252="SIN-RESPALDO"),"SIN-R ","")&amp;IF(AND(E252="hecho",I252="CITA-X"),"CITA-X ","")&amp;IF(AND(E252="hecho",I252="SIN-CITA"),"SIN-C ",""))="","-",TRIM(IF(AND(E252="hecho",F252="INCORRECTA"),"INC ","")&amp;IF(AND(E252="abstencion",F252="INCORRECTA"),"ABS-E ","")&amp;IF(AND(E252="hecho",F252="FUERA_REF",H252="no_resp"),"NO-ABS ","")&amp;IF(AND(E252="hecho",I252="SIN-RESPALDO"),"SIN-R ","")&amp;IF(AND(E252="hecho",I252="CITA-X"),"CITA-X ","")&amp;IF(AND(E252="hecho",I252="SIN-CITA"),"SIN-C ","")))))</f>
        <v/>
      </c>
      <c r="N252" s="5">
        <f>IF(D252="","",IF(OR(A252="",B252="",E252="",F252=""),"falta qid, modo, tipo o vs_ref",IF(AND(B252="llm",I252&lt;&gt;""),"respaldo no aplica en modo LLM",IF(AND(E252="abstencion",I252&lt;&gt;""),"una abstención no se califica en citas",IF(AND(B252="rag",E252="hecho",I252=""),"falta respaldo","ok")))))</f>
        <v/>
      </c>
    </row>
    <row r="253">
      <c r="A253" s="6" t="n"/>
      <c r="B253" s="6" t="n"/>
      <c r="C253" s="5">
        <f>IF(A253="","",COUNTIFS($A$2:A253,A253,$B$2:B253,B253))</f>
        <v/>
      </c>
      <c r="D253" s="6" t="n"/>
      <c r="E253" s="6" t="n"/>
      <c r="F253" s="6" t="n"/>
      <c r="G253" s="6" t="n"/>
      <c r="H253" s="6" t="n"/>
      <c r="I253" s="6" t="n"/>
      <c r="J253" s="6" t="n"/>
      <c r="K253" s="6" t="n"/>
      <c r="L253" s="6" t="n"/>
      <c r="M253" s="5">
        <f>IF(D253="","",IF(OR(E253="",F253=""),"",IF(TRIM(IF(AND(E253="hecho",F253="INCORRECTA"),"INC ","")&amp;IF(AND(E253="abstencion",F253="INCORRECTA"),"ABS-E ","")&amp;IF(AND(E253="hecho",F253="FUERA_REF",H253="no_resp"),"NO-ABS ","")&amp;IF(AND(E253="hecho",I253="SIN-RESPALDO"),"SIN-R ","")&amp;IF(AND(E253="hecho",I253="CITA-X"),"CITA-X ","")&amp;IF(AND(E253="hecho",I253="SIN-CITA"),"SIN-C ",""))="","-",TRIM(IF(AND(E253="hecho",F253="INCORRECTA"),"INC ","")&amp;IF(AND(E253="abstencion",F253="INCORRECTA"),"ABS-E ","")&amp;IF(AND(E253="hecho",F253="FUERA_REF",H253="no_resp"),"NO-ABS ","")&amp;IF(AND(E253="hecho",I253="SIN-RESPALDO"),"SIN-R ","")&amp;IF(AND(E253="hecho",I253="CITA-X"),"CITA-X ","")&amp;IF(AND(E253="hecho",I253="SIN-CITA"),"SIN-C ","")))))</f>
        <v/>
      </c>
      <c r="N253" s="5">
        <f>IF(D253="","",IF(OR(A253="",B253="",E253="",F253=""),"falta qid, modo, tipo o vs_ref",IF(AND(B253="llm",I253&lt;&gt;""),"respaldo no aplica en modo LLM",IF(AND(E253="abstencion",I253&lt;&gt;""),"una abstención no se califica en citas",IF(AND(B253="rag",E253="hecho",I253=""),"falta respaldo","ok")))))</f>
        <v/>
      </c>
    </row>
    <row r="254">
      <c r="A254" s="6" t="n"/>
      <c r="B254" s="6" t="n"/>
      <c r="C254" s="5">
        <f>IF(A254="","",COUNTIFS($A$2:A254,A254,$B$2:B254,B254))</f>
        <v/>
      </c>
      <c r="D254" s="6" t="n"/>
      <c r="E254" s="6" t="n"/>
      <c r="F254" s="6" t="n"/>
      <c r="G254" s="6" t="n"/>
      <c r="H254" s="6" t="n"/>
      <c r="I254" s="6" t="n"/>
      <c r="J254" s="6" t="n"/>
      <c r="K254" s="6" t="n"/>
      <c r="L254" s="6" t="n"/>
      <c r="M254" s="5">
        <f>IF(D254="","",IF(OR(E254="",F254=""),"",IF(TRIM(IF(AND(E254="hecho",F254="INCORRECTA"),"INC ","")&amp;IF(AND(E254="abstencion",F254="INCORRECTA"),"ABS-E ","")&amp;IF(AND(E254="hecho",F254="FUERA_REF",H254="no_resp"),"NO-ABS ","")&amp;IF(AND(E254="hecho",I254="SIN-RESPALDO"),"SIN-R ","")&amp;IF(AND(E254="hecho",I254="CITA-X"),"CITA-X ","")&amp;IF(AND(E254="hecho",I254="SIN-CITA"),"SIN-C ",""))="","-",TRIM(IF(AND(E254="hecho",F254="INCORRECTA"),"INC ","")&amp;IF(AND(E254="abstencion",F254="INCORRECTA"),"ABS-E ","")&amp;IF(AND(E254="hecho",F254="FUERA_REF",H254="no_resp"),"NO-ABS ","")&amp;IF(AND(E254="hecho",I254="SIN-RESPALDO"),"SIN-R ","")&amp;IF(AND(E254="hecho",I254="CITA-X"),"CITA-X ","")&amp;IF(AND(E254="hecho",I254="SIN-CITA"),"SIN-C ","")))))</f>
        <v/>
      </c>
      <c r="N254" s="5">
        <f>IF(D254="","",IF(OR(A254="",B254="",E254="",F254=""),"falta qid, modo, tipo o vs_ref",IF(AND(B254="llm",I254&lt;&gt;""),"respaldo no aplica en modo LLM",IF(AND(E254="abstencion",I254&lt;&gt;""),"una abstención no se califica en citas",IF(AND(B254="rag",E254="hecho",I254=""),"falta respaldo","ok")))))</f>
        <v/>
      </c>
    </row>
    <row r="255">
      <c r="A255" s="6" t="n"/>
      <c r="B255" s="6" t="n"/>
      <c r="C255" s="5">
        <f>IF(A255="","",COUNTIFS($A$2:A255,A255,$B$2:B255,B255))</f>
        <v/>
      </c>
      <c r="D255" s="6" t="n"/>
      <c r="E255" s="6" t="n"/>
      <c r="F255" s="6" t="n"/>
      <c r="G255" s="6" t="n"/>
      <c r="H255" s="6" t="n"/>
      <c r="I255" s="6" t="n"/>
      <c r="J255" s="6" t="n"/>
      <c r="K255" s="6" t="n"/>
      <c r="L255" s="6" t="n"/>
      <c r="M255" s="5">
        <f>IF(D255="","",IF(OR(E255="",F255=""),"",IF(TRIM(IF(AND(E255="hecho",F255="INCORRECTA"),"INC ","")&amp;IF(AND(E255="abstencion",F255="INCORRECTA"),"ABS-E ","")&amp;IF(AND(E255="hecho",F255="FUERA_REF",H255="no_resp"),"NO-ABS ","")&amp;IF(AND(E255="hecho",I255="SIN-RESPALDO"),"SIN-R ","")&amp;IF(AND(E255="hecho",I255="CITA-X"),"CITA-X ","")&amp;IF(AND(E255="hecho",I255="SIN-CITA"),"SIN-C ",""))="","-",TRIM(IF(AND(E255="hecho",F255="INCORRECTA"),"INC ","")&amp;IF(AND(E255="abstencion",F255="INCORRECTA"),"ABS-E ","")&amp;IF(AND(E255="hecho",F255="FUERA_REF",H255="no_resp"),"NO-ABS ","")&amp;IF(AND(E255="hecho",I255="SIN-RESPALDO"),"SIN-R ","")&amp;IF(AND(E255="hecho",I255="CITA-X"),"CITA-X ","")&amp;IF(AND(E255="hecho",I255="SIN-CITA"),"SIN-C ","")))))</f>
        <v/>
      </c>
      <c r="N255" s="5">
        <f>IF(D255="","",IF(OR(A255="",B255="",E255="",F255=""),"falta qid, modo, tipo o vs_ref",IF(AND(B255="llm",I255&lt;&gt;""),"respaldo no aplica en modo LLM",IF(AND(E255="abstencion",I255&lt;&gt;""),"una abstención no se califica en citas",IF(AND(B255="rag",E255="hecho",I255=""),"falta respaldo","ok")))))</f>
        <v/>
      </c>
    </row>
    <row r="256">
      <c r="A256" s="6" t="n"/>
      <c r="B256" s="6" t="n"/>
      <c r="C256" s="5">
        <f>IF(A256="","",COUNTIFS($A$2:A256,A256,$B$2:B256,B256))</f>
        <v/>
      </c>
      <c r="D256" s="6" t="n"/>
      <c r="E256" s="6" t="n"/>
      <c r="F256" s="6" t="n"/>
      <c r="G256" s="6" t="n"/>
      <c r="H256" s="6" t="n"/>
      <c r="I256" s="6" t="n"/>
      <c r="J256" s="6" t="n"/>
      <c r="K256" s="6" t="n"/>
      <c r="L256" s="6" t="n"/>
      <c r="M256" s="5">
        <f>IF(D256="","",IF(OR(E256="",F256=""),"",IF(TRIM(IF(AND(E256="hecho",F256="INCORRECTA"),"INC ","")&amp;IF(AND(E256="abstencion",F256="INCORRECTA"),"ABS-E ","")&amp;IF(AND(E256="hecho",F256="FUERA_REF",H256="no_resp"),"NO-ABS ","")&amp;IF(AND(E256="hecho",I256="SIN-RESPALDO"),"SIN-R ","")&amp;IF(AND(E256="hecho",I256="CITA-X"),"CITA-X ","")&amp;IF(AND(E256="hecho",I256="SIN-CITA"),"SIN-C ",""))="","-",TRIM(IF(AND(E256="hecho",F256="INCORRECTA"),"INC ","")&amp;IF(AND(E256="abstencion",F256="INCORRECTA"),"ABS-E ","")&amp;IF(AND(E256="hecho",F256="FUERA_REF",H256="no_resp"),"NO-ABS ","")&amp;IF(AND(E256="hecho",I256="SIN-RESPALDO"),"SIN-R ","")&amp;IF(AND(E256="hecho",I256="CITA-X"),"CITA-X ","")&amp;IF(AND(E256="hecho",I256="SIN-CITA"),"SIN-C ","")))))</f>
        <v/>
      </c>
      <c r="N256" s="5">
        <f>IF(D256="","",IF(OR(A256="",B256="",E256="",F256=""),"falta qid, modo, tipo o vs_ref",IF(AND(B256="llm",I256&lt;&gt;""),"respaldo no aplica en modo LLM",IF(AND(E256="abstencion",I256&lt;&gt;""),"una abstención no se califica en citas",IF(AND(B256="rag",E256="hecho",I256=""),"falta respaldo","ok")))))</f>
        <v/>
      </c>
    </row>
    <row r="257">
      <c r="A257" s="6" t="n"/>
      <c r="B257" s="6" t="n"/>
      <c r="C257" s="5">
        <f>IF(A257="","",COUNTIFS($A$2:A257,A257,$B$2:B257,B257))</f>
        <v/>
      </c>
      <c r="D257" s="6" t="n"/>
      <c r="E257" s="6" t="n"/>
      <c r="F257" s="6" t="n"/>
      <c r="G257" s="6" t="n"/>
      <c r="H257" s="6" t="n"/>
      <c r="I257" s="6" t="n"/>
      <c r="J257" s="6" t="n"/>
      <c r="K257" s="6" t="n"/>
      <c r="L257" s="6" t="n"/>
      <c r="M257" s="5">
        <f>IF(D257="","",IF(OR(E257="",F257=""),"",IF(TRIM(IF(AND(E257="hecho",F257="INCORRECTA"),"INC ","")&amp;IF(AND(E257="abstencion",F257="INCORRECTA"),"ABS-E ","")&amp;IF(AND(E257="hecho",F257="FUERA_REF",H257="no_resp"),"NO-ABS ","")&amp;IF(AND(E257="hecho",I257="SIN-RESPALDO"),"SIN-R ","")&amp;IF(AND(E257="hecho",I257="CITA-X"),"CITA-X ","")&amp;IF(AND(E257="hecho",I257="SIN-CITA"),"SIN-C ",""))="","-",TRIM(IF(AND(E257="hecho",F257="INCORRECTA"),"INC ","")&amp;IF(AND(E257="abstencion",F257="INCORRECTA"),"ABS-E ","")&amp;IF(AND(E257="hecho",F257="FUERA_REF",H257="no_resp"),"NO-ABS ","")&amp;IF(AND(E257="hecho",I257="SIN-RESPALDO"),"SIN-R ","")&amp;IF(AND(E257="hecho",I257="CITA-X"),"CITA-X ","")&amp;IF(AND(E257="hecho",I257="SIN-CITA"),"SIN-C ","")))))</f>
        <v/>
      </c>
      <c r="N257" s="5">
        <f>IF(D257="","",IF(OR(A257="",B257="",E257="",F257=""),"falta qid, modo, tipo o vs_ref",IF(AND(B257="llm",I257&lt;&gt;""),"respaldo no aplica en modo LLM",IF(AND(E257="abstencion",I257&lt;&gt;""),"una abstención no se califica en citas",IF(AND(B257="rag",E257="hecho",I257=""),"falta respaldo","ok")))))</f>
        <v/>
      </c>
    </row>
    <row r="258">
      <c r="A258" s="6" t="n"/>
      <c r="B258" s="6" t="n"/>
      <c r="C258" s="5">
        <f>IF(A258="","",COUNTIFS($A$2:A258,A258,$B$2:B258,B258))</f>
        <v/>
      </c>
      <c r="D258" s="6" t="n"/>
      <c r="E258" s="6" t="n"/>
      <c r="F258" s="6" t="n"/>
      <c r="G258" s="6" t="n"/>
      <c r="H258" s="6" t="n"/>
      <c r="I258" s="6" t="n"/>
      <c r="J258" s="6" t="n"/>
      <c r="K258" s="6" t="n"/>
      <c r="L258" s="6" t="n"/>
      <c r="M258" s="5">
        <f>IF(D258="","",IF(OR(E258="",F258=""),"",IF(TRIM(IF(AND(E258="hecho",F258="INCORRECTA"),"INC ","")&amp;IF(AND(E258="abstencion",F258="INCORRECTA"),"ABS-E ","")&amp;IF(AND(E258="hecho",F258="FUERA_REF",H258="no_resp"),"NO-ABS ","")&amp;IF(AND(E258="hecho",I258="SIN-RESPALDO"),"SIN-R ","")&amp;IF(AND(E258="hecho",I258="CITA-X"),"CITA-X ","")&amp;IF(AND(E258="hecho",I258="SIN-CITA"),"SIN-C ",""))="","-",TRIM(IF(AND(E258="hecho",F258="INCORRECTA"),"INC ","")&amp;IF(AND(E258="abstencion",F258="INCORRECTA"),"ABS-E ","")&amp;IF(AND(E258="hecho",F258="FUERA_REF",H258="no_resp"),"NO-ABS ","")&amp;IF(AND(E258="hecho",I258="SIN-RESPALDO"),"SIN-R ","")&amp;IF(AND(E258="hecho",I258="CITA-X"),"CITA-X ","")&amp;IF(AND(E258="hecho",I258="SIN-CITA"),"SIN-C ","")))))</f>
        <v/>
      </c>
      <c r="N258" s="5">
        <f>IF(D258="","",IF(OR(A258="",B258="",E258="",F258=""),"falta qid, modo, tipo o vs_ref",IF(AND(B258="llm",I258&lt;&gt;""),"respaldo no aplica en modo LLM",IF(AND(E258="abstencion",I258&lt;&gt;""),"una abstención no se califica en citas",IF(AND(B258="rag",E258="hecho",I258=""),"falta respaldo","ok")))))</f>
        <v/>
      </c>
    </row>
    <row r="259">
      <c r="A259" s="6" t="n"/>
      <c r="B259" s="6" t="n"/>
      <c r="C259" s="5">
        <f>IF(A259="","",COUNTIFS($A$2:A259,A259,$B$2:B259,B259))</f>
        <v/>
      </c>
      <c r="D259" s="6" t="n"/>
      <c r="E259" s="6" t="n"/>
      <c r="F259" s="6" t="n"/>
      <c r="G259" s="6" t="n"/>
      <c r="H259" s="6" t="n"/>
      <c r="I259" s="6" t="n"/>
      <c r="J259" s="6" t="n"/>
      <c r="K259" s="6" t="n"/>
      <c r="L259" s="6" t="n"/>
      <c r="M259" s="5">
        <f>IF(D259="","",IF(OR(E259="",F259=""),"",IF(TRIM(IF(AND(E259="hecho",F259="INCORRECTA"),"INC ","")&amp;IF(AND(E259="abstencion",F259="INCORRECTA"),"ABS-E ","")&amp;IF(AND(E259="hecho",F259="FUERA_REF",H259="no_resp"),"NO-ABS ","")&amp;IF(AND(E259="hecho",I259="SIN-RESPALDO"),"SIN-R ","")&amp;IF(AND(E259="hecho",I259="CITA-X"),"CITA-X ","")&amp;IF(AND(E259="hecho",I259="SIN-CITA"),"SIN-C ",""))="","-",TRIM(IF(AND(E259="hecho",F259="INCORRECTA"),"INC ","")&amp;IF(AND(E259="abstencion",F259="INCORRECTA"),"ABS-E ","")&amp;IF(AND(E259="hecho",F259="FUERA_REF",H259="no_resp"),"NO-ABS ","")&amp;IF(AND(E259="hecho",I259="SIN-RESPALDO"),"SIN-R ","")&amp;IF(AND(E259="hecho",I259="CITA-X"),"CITA-X ","")&amp;IF(AND(E259="hecho",I259="SIN-CITA"),"SIN-C ","")))))</f>
        <v/>
      </c>
      <c r="N259" s="5">
        <f>IF(D259="","",IF(OR(A259="",B259="",E259="",F259=""),"falta qid, modo, tipo o vs_ref",IF(AND(B259="llm",I259&lt;&gt;""),"respaldo no aplica en modo LLM",IF(AND(E259="abstencion",I259&lt;&gt;""),"una abstención no se califica en citas",IF(AND(B259="rag",E259="hecho",I259=""),"falta respaldo","ok")))))</f>
        <v/>
      </c>
    </row>
    <row r="260">
      <c r="A260" s="6" t="n"/>
      <c r="B260" s="6" t="n"/>
      <c r="C260" s="5">
        <f>IF(A260="","",COUNTIFS($A$2:A260,A260,$B$2:B260,B260))</f>
        <v/>
      </c>
      <c r="D260" s="6" t="n"/>
      <c r="E260" s="6" t="n"/>
      <c r="F260" s="6" t="n"/>
      <c r="G260" s="6" t="n"/>
      <c r="H260" s="6" t="n"/>
      <c r="I260" s="6" t="n"/>
      <c r="J260" s="6" t="n"/>
      <c r="K260" s="6" t="n"/>
      <c r="L260" s="6" t="n"/>
      <c r="M260" s="5">
        <f>IF(D260="","",IF(OR(E260="",F260=""),"",IF(TRIM(IF(AND(E260="hecho",F260="INCORRECTA"),"INC ","")&amp;IF(AND(E260="abstencion",F260="INCORRECTA"),"ABS-E ","")&amp;IF(AND(E260="hecho",F260="FUERA_REF",H260="no_resp"),"NO-ABS ","")&amp;IF(AND(E260="hecho",I260="SIN-RESPALDO"),"SIN-R ","")&amp;IF(AND(E260="hecho",I260="CITA-X"),"CITA-X ","")&amp;IF(AND(E260="hecho",I260="SIN-CITA"),"SIN-C ",""))="","-",TRIM(IF(AND(E260="hecho",F260="INCORRECTA"),"INC ","")&amp;IF(AND(E260="abstencion",F260="INCORRECTA"),"ABS-E ","")&amp;IF(AND(E260="hecho",F260="FUERA_REF",H260="no_resp"),"NO-ABS ","")&amp;IF(AND(E260="hecho",I260="SIN-RESPALDO"),"SIN-R ","")&amp;IF(AND(E260="hecho",I260="CITA-X"),"CITA-X ","")&amp;IF(AND(E260="hecho",I260="SIN-CITA"),"SIN-C ","")))))</f>
        <v/>
      </c>
      <c r="N260" s="5">
        <f>IF(D260="","",IF(OR(A260="",B260="",E260="",F260=""),"falta qid, modo, tipo o vs_ref",IF(AND(B260="llm",I260&lt;&gt;""),"respaldo no aplica en modo LLM",IF(AND(E260="abstencion",I260&lt;&gt;""),"una abstención no se califica en citas",IF(AND(B260="rag",E260="hecho",I260=""),"falta respaldo","ok")))))</f>
        <v/>
      </c>
    </row>
    <row r="261">
      <c r="A261" s="6" t="n"/>
      <c r="B261" s="6" t="n"/>
      <c r="C261" s="5">
        <f>IF(A261="","",COUNTIFS($A$2:A261,A261,$B$2:B261,B261))</f>
        <v/>
      </c>
      <c r="D261" s="6" t="n"/>
      <c r="E261" s="6" t="n"/>
      <c r="F261" s="6" t="n"/>
      <c r="G261" s="6" t="n"/>
      <c r="H261" s="6" t="n"/>
      <c r="I261" s="6" t="n"/>
      <c r="J261" s="6" t="n"/>
      <c r="K261" s="6" t="n"/>
      <c r="L261" s="6" t="n"/>
      <c r="M261" s="5">
        <f>IF(D261="","",IF(OR(E261="",F261=""),"",IF(TRIM(IF(AND(E261="hecho",F261="INCORRECTA"),"INC ","")&amp;IF(AND(E261="abstencion",F261="INCORRECTA"),"ABS-E ","")&amp;IF(AND(E261="hecho",F261="FUERA_REF",H261="no_resp"),"NO-ABS ","")&amp;IF(AND(E261="hecho",I261="SIN-RESPALDO"),"SIN-R ","")&amp;IF(AND(E261="hecho",I261="CITA-X"),"CITA-X ","")&amp;IF(AND(E261="hecho",I261="SIN-CITA"),"SIN-C ",""))="","-",TRIM(IF(AND(E261="hecho",F261="INCORRECTA"),"INC ","")&amp;IF(AND(E261="abstencion",F261="INCORRECTA"),"ABS-E ","")&amp;IF(AND(E261="hecho",F261="FUERA_REF",H261="no_resp"),"NO-ABS ","")&amp;IF(AND(E261="hecho",I261="SIN-RESPALDO"),"SIN-R ","")&amp;IF(AND(E261="hecho",I261="CITA-X"),"CITA-X ","")&amp;IF(AND(E261="hecho",I261="SIN-CITA"),"SIN-C ","")))))</f>
        <v/>
      </c>
      <c r="N261" s="5">
        <f>IF(D261="","",IF(OR(A261="",B261="",E261="",F261=""),"falta qid, modo, tipo o vs_ref",IF(AND(B261="llm",I261&lt;&gt;""),"respaldo no aplica en modo LLM",IF(AND(E261="abstencion",I261&lt;&gt;""),"una abstención no se califica en citas",IF(AND(B261="rag",E261="hecho",I261=""),"falta respaldo","ok")))))</f>
        <v/>
      </c>
    </row>
    <row r="262">
      <c r="A262" s="6" t="n"/>
      <c r="B262" s="6" t="n"/>
      <c r="C262" s="5">
        <f>IF(A262="","",COUNTIFS($A$2:A262,A262,$B$2:B262,B262))</f>
        <v/>
      </c>
      <c r="D262" s="6" t="n"/>
      <c r="E262" s="6" t="n"/>
      <c r="F262" s="6" t="n"/>
      <c r="G262" s="6" t="n"/>
      <c r="H262" s="6" t="n"/>
      <c r="I262" s="6" t="n"/>
      <c r="J262" s="6" t="n"/>
      <c r="K262" s="6" t="n"/>
      <c r="L262" s="6" t="n"/>
      <c r="M262" s="5">
        <f>IF(D262="","",IF(OR(E262="",F262=""),"",IF(TRIM(IF(AND(E262="hecho",F262="INCORRECTA"),"INC ","")&amp;IF(AND(E262="abstencion",F262="INCORRECTA"),"ABS-E ","")&amp;IF(AND(E262="hecho",F262="FUERA_REF",H262="no_resp"),"NO-ABS ","")&amp;IF(AND(E262="hecho",I262="SIN-RESPALDO"),"SIN-R ","")&amp;IF(AND(E262="hecho",I262="CITA-X"),"CITA-X ","")&amp;IF(AND(E262="hecho",I262="SIN-CITA"),"SIN-C ",""))="","-",TRIM(IF(AND(E262="hecho",F262="INCORRECTA"),"INC ","")&amp;IF(AND(E262="abstencion",F262="INCORRECTA"),"ABS-E ","")&amp;IF(AND(E262="hecho",F262="FUERA_REF",H262="no_resp"),"NO-ABS ","")&amp;IF(AND(E262="hecho",I262="SIN-RESPALDO"),"SIN-R ","")&amp;IF(AND(E262="hecho",I262="CITA-X"),"CITA-X ","")&amp;IF(AND(E262="hecho",I262="SIN-CITA"),"SIN-C ","")))))</f>
        <v/>
      </c>
      <c r="N262" s="5">
        <f>IF(D262="","",IF(OR(A262="",B262="",E262="",F262=""),"falta qid, modo, tipo o vs_ref",IF(AND(B262="llm",I262&lt;&gt;""),"respaldo no aplica en modo LLM",IF(AND(E262="abstencion",I262&lt;&gt;""),"una abstención no se califica en citas",IF(AND(B262="rag",E262="hecho",I262=""),"falta respaldo","ok")))))</f>
        <v/>
      </c>
    </row>
    <row r="263">
      <c r="A263" s="6" t="n"/>
      <c r="B263" s="6" t="n"/>
      <c r="C263" s="5">
        <f>IF(A263="","",COUNTIFS($A$2:A263,A263,$B$2:B263,B263))</f>
        <v/>
      </c>
      <c r="D263" s="6" t="n"/>
      <c r="E263" s="6" t="n"/>
      <c r="F263" s="6" t="n"/>
      <c r="G263" s="6" t="n"/>
      <c r="H263" s="6" t="n"/>
      <c r="I263" s="6" t="n"/>
      <c r="J263" s="6" t="n"/>
      <c r="K263" s="6" t="n"/>
      <c r="L263" s="6" t="n"/>
      <c r="M263" s="5">
        <f>IF(D263="","",IF(OR(E263="",F263=""),"",IF(TRIM(IF(AND(E263="hecho",F263="INCORRECTA"),"INC ","")&amp;IF(AND(E263="abstencion",F263="INCORRECTA"),"ABS-E ","")&amp;IF(AND(E263="hecho",F263="FUERA_REF",H263="no_resp"),"NO-ABS ","")&amp;IF(AND(E263="hecho",I263="SIN-RESPALDO"),"SIN-R ","")&amp;IF(AND(E263="hecho",I263="CITA-X"),"CITA-X ","")&amp;IF(AND(E263="hecho",I263="SIN-CITA"),"SIN-C ",""))="","-",TRIM(IF(AND(E263="hecho",F263="INCORRECTA"),"INC ","")&amp;IF(AND(E263="abstencion",F263="INCORRECTA"),"ABS-E ","")&amp;IF(AND(E263="hecho",F263="FUERA_REF",H263="no_resp"),"NO-ABS ","")&amp;IF(AND(E263="hecho",I263="SIN-RESPALDO"),"SIN-R ","")&amp;IF(AND(E263="hecho",I263="CITA-X"),"CITA-X ","")&amp;IF(AND(E263="hecho",I263="SIN-CITA"),"SIN-C ","")))))</f>
        <v/>
      </c>
      <c r="N263" s="5">
        <f>IF(D263="","",IF(OR(A263="",B263="",E263="",F263=""),"falta qid, modo, tipo o vs_ref",IF(AND(B263="llm",I263&lt;&gt;""),"respaldo no aplica en modo LLM",IF(AND(E263="abstencion",I263&lt;&gt;""),"una abstención no se califica en citas",IF(AND(B263="rag",E263="hecho",I263=""),"falta respaldo","ok")))))</f>
        <v/>
      </c>
    </row>
    <row r="264">
      <c r="A264" s="6" t="n"/>
      <c r="B264" s="6" t="n"/>
      <c r="C264" s="5">
        <f>IF(A264="","",COUNTIFS($A$2:A264,A264,$B$2:B264,B264))</f>
        <v/>
      </c>
      <c r="D264" s="6" t="n"/>
      <c r="E264" s="6" t="n"/>
      <c r="F264" s="6" t="n"/>
      <c r="G264" s="6" t="n"/>
      <c r="H264" s="6" t="n"/>
      <c r="I264" s="6" t="n"/>
      <c r="J264" s="6" t="n"/>
      <c r="K264" s="6" t="n"/>
      <c r="L264" s="6" t="n"/>
      <c r="M264" s="5">
        <f>IF(D264="","",IF(OR(E264="",F264=""),"",IF(TRIM(IF(AND(E264="hecho",F264="INCORRECTA"),"INC ","")&amp;IF(AND(E264="abstencion",F264="INCORRECTA"),"ABS-E ","")&amp;IF(AND(E264="hecho",F264="FUERA_REF",H264="no_resp"),"NO-ABS ","")&amp;IF(AND(E264="hecho",I264="SIN-RESPALDO"),"SIN-R ","")&amp;IF(AND(E264="hecho",I264="CITA-X"),"CITA-X ","")&amp;IF(AND(E264="hecho",I264="SIN-CITA"),"SIN-C ",""))="","-",TRIM(IF(AND(E264="hecho",F264="INCORRECTA"),"INC ","")&amp;IF(AND(E264="abstencion",F264="INCORRECTA"),"ABS-E ","")&amp;IF(AND(E264="hecho",F264="FUERA_REF",H264="no_resp"),"NO-ABS ","")&amp;IF(AND(E264="hecho",I264="SIN-RESPALDO"),"SIN-R ","")&amp;IF(AND(E264="hecho",I264="CITA-X"),"CITA-X ","")&amp;IF(AND(E264="hecho",I264="SIN-CITA"),"SIN-C ","")))))</f>
        <v/>
      </c>
      <c r="N264" s="5">
        <f>IF(D264="","",IF(OR(A264="",B264="",E264="",F264=""),"falta qid, modo, tipo o vs_ref",IF(AND(B264="llm",I264&lt;&gt;""),"respaldo no aplica en modo LLM",IF(AND(E264="abstencion",I264&lt;&gt;""),"una abstención no se califica en citas",IF(AND(B264="rag",E264="hecho",I264=""),"falta respaldo","ok")))))</f>
        <v/>
      </c>
    </row>
    <row r="265">
      <c r="A265" s="6" t="n"/>
      <c r="B265" s="6" t="n"/>
      <c r="C265" s="5">
        <f>IF(A265="","",COUNTIFS($A$2:A265,A265,$B$2:B265,B265))</f>
        <v/>
      </c>
      <c r="D265" s="6" t="n"/>
      <c r="E265" s="6" t="n"/>
      <c r="F265" s="6" t="n"/>
      <c r="G265" s="6" t="n"/>
      <c r="H265" s="6" t="n"/>
      <c r="I265" s="6" t="n"/>
      <c r="J265" s="6" t="n"/>
      <c r="K265" s="6" t="n"/>
      <c r="L265" s="6" t="n"/>
      <c r="M265" s="5">
        <f>IF(D265="","",IF(OR(E265="",F265=""),"",IF(TRIM(IF(AND(E265="hecho",F265="INCORRECTA"),"INC ","")&amp;IF(AND(E265="abstencion",F265="INCORRECTA"),"ABS-E ","")&amp;IF(AND(E265="hecho",F265="FUERA_REF",H265="no_resp"),"NO-ABS ","")&amp;IF(AND(E265="hecho",I265="SIN-RESPALDO"),"SIN-R ","")&amp;IF(AND(E265="hecho",I265="CITA-X"),"CITA-X ","")&amp;IF(AND(E265="hecho",I265="SIN-CITA"),"SIN-C ",""))="","-",TRIM(IF(AND(E265="hecho",F265="INCORRECTA"),"INC ","")&amp;IF(AND(E265="abstencion",F265="INCORRECTA"),"ABS-E ","")&amp;IF(AND(E265="hecho",F265="FUERA_REF",H265="no_resp"),"NO-ABS ","")&amp;IF(AND(E265="hecho",I265="SIN-RESPALDO"),"SIN-R ","")&amp;IF(AND(E265="hecho",I265="CITA-X"),"CITA-X ","")&amp;IF(AND(E265="hecho",I265="SIN-CITA"),"SIN-C ","")))))</f>
        <v/>
      </c>
      <c r="N265" s="5">
        <f>IF(D265="","",IF(OR(A265="",B265="",E265="",F265=""),"falta qid, modo, tipo o vs_ref",IF(AND(B265="llm",I265&lt;&gt;""),"respaldo no aplica en modo LLM",IF(AND(E265="abstencion",I265&lt;&gt;""),"una abstención no se califica en citas",IF(AND(B265="rag",E265="hecho",I265=""),"falta respaldo","ok")))))</f>
        <v/>
      </c>
    </row>
    <row r="266">
      <c r="A266" s="6" t="n"/>
      <c r="B266" s="6" t="n"/>
      <c r="C266" s="5">
        <f>IF(A266="","",COUNTIFS($A$2:A266,A266,$B$2:B266,B266))</f>
        <v/>
      </c>
      <c r="D266" s="6" t="n"/>
      <c r="E266" s="6" t="n"/>
      <c r="F266" s="6" t="n"/>
      <c r="G266" s="6" t="n"/>
      <c r="H266" s="6" t="n"/>
      <c r="I266" s="6" t="n"/>
      <c r="J266" s="6" t="n"/>
      <c r="K266" s="6" t="n"/>
      <c r="L266" s="6" t="n"/>
      <c r="M266" s="5">
        <f>IF(D266="","",IF(OR(E266="",F266=""),"",IF(TRIM(IF(AND(E266="hecho",F266="INCORRECTA"),"INC ","")&amp;IF(AND(E266="abstencion",F266="INCORRECTA"),"ABS-E ","")&amp;IF(AND(E266="hecho",F266="FUERA_REF",H266="no_resp"),"NO-ABS ","")&amp;IF(AND(E266="hecho",I266="SIN-RESPALDO"),"SIN-R ","")&amp;IF(AND(E266="hecho",I266="CITA-X"),"CITA-X ","")&amp;IF(AND(E266="hecho",I266="SIN-CITA"),"SIN-C ",""))="","-",TRIM(IF(AND(E266="hecho",F266="INCORRECTA"),"INC ","")&amp;IF(AND(E266="abstencion",F266="INCORRECTA"),"ABS-E ","")&amp;IF(AND(E266="hecho",F266="FUERA_REF",H266="no_resp"),"NO-ABS ","")&amp;IF(AND(E266="hecho",I266="SIN-RESPALDO"),"SIN-R ","")&amp;IF(AND(E266="hecho",I266="CITA-X"),"CITA-X ","")&amp;IF(AND(E266="hecho",I266="SIN-CITA"),"SIN-C ","")))))</f>
        <v/>
      </c>
      <c r="N266" s="5">
        <f>IF(D266="","",IF(OR(A266="",B266="",E266="",F266=""),"falta qid, modo, tipo o vs_ref",IF(AND(B266="llm",I266&lt;&gt;""),"respaldo no aplica en modo LLM",IF(AND(E266="abstencion",I266&lt;&gt;""),"una abstención no se califica en citas",IF(AND(B266="rag",E266="hecho",I266=""),"falta respaldo","ok")))))</f>
        <v/>
      </c>
    </row>
    <row r="267">
      <c r="A267" s="6" t="n"/>
      <c r="B267" s="6" t="n"/>
      <c r="C267" s="5">
        <f>IF(A267="","",COUNTIFS($A$2:A267,A267,$B$2:B267,B267))</f>
        <v/>
      </c>
      <c r="D267" s="6" t="n"/>
      <c r="E267" s="6" t="n"/>
      <c r="F267" s="6" t="n"/>
      <c r="G267" s="6" t="n"/>
      <c r="H267" s="6" t="n"/>
      <c r="I267" s="6" t="n"/>
      <c r="J267" s="6" t="n"/>
      <c r="K267" s="6" t="n"/>
      <c r="L267" s="6" t="n"/>
      <c r="M267" s="5">
        <f>IF(D267="","",IF(OR(E267="",F267=""),"",IF(TRIM(IF(AND(E267="hecho",F267="INCORRECTA"),"INC ","")&amp;IF(AND(E267="abstencion",F267="INCORRECTA"),"ABS-E ","")&amp;IF(AND(E267="hecho",F267="FUERA_REF",H267="no_resp"),"NO-ABS ","")&amp;IF(AND(E267="hecho",I267="SIN-RESPALDO"),"SIN-R ","")&amp;IF(AND(E267="hecho",I267="CITA-X"),"CITA-X ","")&amp;IF(AND(E267="hecho",I267="SIN-CITA"),"SIN-C ",""))="","-",TRIM(IF(AND(E267="hecho",F267="INCORRECTA"),"INC ","")&amp;IF(AND(E267="abstencion",F267="INCORRECTA"),"ABS-E ","")&amp;IF(AND(E267="hecho",F267="FUERA_REF",H267="no_resp"),"NO-ABS ","")&amp;IF(AND(E267="hecho",I267="SIN-RESPALDO"),"SIN-R ","")&amp;IF(AND(E267="hecho",I267="CITA-X"),"CITA-X ","")&amp;IF(AND(E267="hecho",I267="SIN-CITA"),"SIN-C ","")))))</f>
        <v/>
      </c>
      <c r="N267" s="5">
        <f>IF(D267="","",IF(OR(A267="",B267="",E267="",F267=""),"falta qid, modo, tipo o vs_ref",IF(AND(B267="llm",I267&lt;&gt;""),"respaldo no aplica en modo LLM",IF(AND(E267="abstencion",I267&lt;&gt;""),"una abstención no se califica en citas",IF(AND(B267="rag",E267="hecho",I267=""),"falta respaldo","ok")))))</f>
        <v/>
      </c>
    </row>
    <row r="268">
      <c r="A268" s="6" t="n"/>
      <c r="B268" s="6" t="n"/>
      <c r="C268" s="5">
        <f>IF(A268="","",COUNTIFS($A$2:A268,A268,$B$2:B268,B268))</f>
        <v/>
      </c>
      <c r="D268" s="6" t="n"/>
      <c r="E268" s="6" t="n"/>
      <c r="F268" s="6" t="n"/>
      <c r="G268" s="6" t="n"/>
      <c r="H268" s="6" t="n"/>
      <c r="I268" s="6" t="n"/>
      <c r="J268" s="6" t="n"/>
      <c r="K268" s="6" t="n"/>
      <c r="L268" s="6" t="n"/>
      <c r="M268" s="5">
        <f>IF(D268="","",IF(OR(E268="",F268=""),"",IF(TRIM(IF(AND(E268="hecho",F268="INCORRECTA"),"INC ","")&amp;IF(AND(E268="abstencion",F268="INCORRECTA"),"ABS-E ","")&amp;IF(AND(E268="hecho",F268="FUERA_REF",H268="no_resp"),"NO-ABS ","")&amp;IF(AND(E268="hecho",I268="SIN-RESPALDO"),"SIN-R ","")&amp;IF(AND(E268="hecho",I268="CITA-X"),"CITA-X ","")&amp;IF(AND(E268="hecho",I268="SIN-CITA"),"SIN-C ",""))="","-",TRIM(IF(AND(E268="hecho",F268="INCORRECTA"),"INC ","")&amp;IF(AND(E268="abstencion",F268="INCORRECTA"),"ABS-E ","")&amp;IF(AND(E268="hecho",F268="FUERA_REF",H268="no_resp"),"NO-ABS ","")&amp;IF(AND(E268="hecho",I268="SIN-RESPALDO"),"SIN-R ","")&amp;IF(AND(E268="hecho",I268="CITA-X"),"CITA-X ","")&amp;IF(AND(E268="hecho",I268="SIN-CITA"),"SIN-C ","")))))</f>
        <v/>
      </c>
      <c r="N268" s="5">
        <f>IF(D268="","",IF(OR(A268="",B268="",E268="",F268=""),"falta qid, modo, tipo o vs_ref",IF(AND(B268="llm",I268&lt;&gt;""),"respaldo no aplica en modo LLM",IF(AND(E268="abstencion",I268&lt;&gt;""),"una abstención no se califica en citas",IF(AND(B268="rag",E268="hecho",I268=""),"falta respaldo","ok")))))</f>
        <v/>
      </c>
    </row>
    <row r="269">
      <c r="A269" s="6" t="n"/>
      <c r="B269" s="6" t="n"/>
      <c r="C269" s="5">
        <f>IF(A269="","",COUNTIFS($A$2:A269,A269,$B$2:B269,B269))</f>
        <v/>
      </c>
      <c r="D269" s="6" t="n"/>
      <c r="E269" s="6" t="n"/>
      <c r="F269" s="6" t="n"/>
      <c r="G269" s="6" t="n"/>
      <c r="H269" s="6" t="n"/>
      <c r="I269" s="6" t="n"/>
      <c r="J269" s="6" t="n"/>
      <c r="K269" s="6" t="n"/>
      <c r="L269" s="6" t="n"/>
      <c r="M269" s="5">
        <f>IF(D269="","",IF(OR(E269="",F269=""),"",IF(TRIM(IF(AND(E269="hecho",F269="INCORRECTA"),"INC ","")&amp;IF(AND(E269="abstencion",F269="INCORRECTA"),"ABS-E ","")&amp;IF(AND(E269="hecho",F269="FUERA_REF",H269="no_resp"),"NO-ABS ","")&amp;IF(AND(E269="hecho",I269="SIN-RESPALDO"),"SIN-R ","")&amp;IF(AND(E269="hecho",I269="CITA-X"),"CITA-X ","")&amp;IF(AND(E269="hecho",I269="SIN-CITA"),"SIN-C ",""))="","-",TRIM(IF(AND(E269="hecho",F269="INCORRECTA"),"INC ","")&amp;IF(AND(E269="abstencion",F269="INCORRECTA"),"ABS-E ","")&amp;IF(AND(E269="hecho",F269="FUERA_REF",H269="no_resp"),"NO-ABS ","")&amp;IF(AND(E269="hecho",I269="SIN-RESPALDO"),"SIN-R ","")&amp;IF(AND(E269="hecho",I269="CITA-X"),"CITA-X ","")&amp;IF(AND(E269="hecho",I269="SIN-CITA"),"SIN-C ","")))))</f>
        <v/>
      </c>
      <c r="N269" s="5">
        <f>IF(D269="","",IF(OR(A269="",B269="",E269="",F269=""),"falta qid, modo, tipo o vs_ref",IF(AND(B269="llm",I269&lt;&gt;""),"respaldo no aplica en modo LLM",IF(AND(E269="abstencion",I269&lt;&gt;""),"una abstención no se califica en citas",IF(AND(B269="rag",E269="hecho",I269=""),"falta respaldo","ok")))))</f>
        <v/>
      </c>
    </row>
    <row r="270">
      <c r="A270" s="6" t="n"/>
      <c r="B270" s="6" t="n"/>
      <c r="C270" s="5">
        <f>IF(A270="","",COUNTIFS($A$2:A270,A270,$B$2:B270,B270))</f>
        <v/>
      </c>
      <c r="D270" s="6" t="n"/>
      <c r="E270" s="6" t="n"/>
      <c r="F270" s="6" t="n"/>
      <c r="G270" s="6" t="n"/>
      <c r="H270" s="6" t="n"/>
      <c r="I270" s="6" t="n"/>
      <c r="J270" s="6" t="n"/>
      <c r="K270" s="6" t="n"/>
      <c r="L270" s="6" t="n"/>
      <c r="M270" s="5">
        <f>IF(D270="","",IF(OR(E270="",F270=""),"",IF(TRIM(IF(AND(E270="hecho",F270="INCORRECTA"),"INC ","")&amp;IF(AND(E270="abstencion",F270="INCORRECTA"),"ABS-E ","")&amp;IF(AND(E270="hecho",F270="FUERA_REF",H270="no_resp"),"NO-ABS ","")&amp;IF(AND(E270="hecho",I270="SIN-RESPALDO"),"SIN-R ","")&amp;IF(AND(E270="hecho",I270="CITA-X"),"CITA-X ","")&amp;IF(AND(E270="hecho",I270="SIN-CITA"),"SIN-C ",""))="","-",TRIM(IF(AND(E270="hecho",F270="INCORRECTA"),"INC ","")&amp;IF(AND(E270="abstencion",F270="INCORRECTA"),"ABS-E ","")&amp;IF(AND(E270="hecho",F270="FUERA_REF",H270="no_resp"),"NO-ABS ","")&amp;IF(AND(E270="hecho",I270="SIN-RESPALDO"),"SIN-R ","")&amp;IF(AND(E270="hecho",I270="CITA-X"),"CITA-X ","")&amp;IF(AND(E270="hecho",I270="SIN-CITA"),"SIN-C ","")))))</f>
        <v/>
      </c>
      <c r="N270" s="5">
        <f>IF(D270="","",IF(OR(A270="",B270="",E270="",F270=""),"falta qid, modo, tipo o vs_ref",IF(AND(B270="llm",I270&lt;&gt;""),"respaldo no aplica en modo LLM",IF(AND(E270="abstencion",I270&lt;&gt;""),"una abstención no se califica en citas",IF(AND(B270="rag",E270="hecho",I270=""),"falta respaldo","ok")))))</f>
        <v/>
      </c>
    </row>
    <row r="271">
      <c r="A271" s="6" t="n"/>
      <c r="B271" s="6" t="n"/>
      <c r="C271" s="5">
        <f>IF(A271="","",COUNTIFS($A$2:A271,A271,$B$2:B271,B271))</f>
        <v/>
      </c>
      <c r="D271" s="6" t="n"/>
      <c r="E271" s="6" t="n"/>
      <c r="F271" s="6" t="n"/>
      <c r="G271" s="6" t="n"/>
      <c r="H271" s="6" t="n"/>
      <c r="I271" s="6" t="n"/>
      <c r="J271" s="6" t="n"/>
      <c r="K271" s="6" t="n"/>
      <c r="L271" s="6" t="n"/>
      <c r="M271" s="5">
        <f>IF(D271="","",IF(OR(E271="",F271=""),"",IF(TRIM(IF(AND(E271="hecho",F271="INCORRECTA"),"INC ","")&amp;IF(AND(E271="abstencion",F271="INCORRECTA"),"ABS-E ","")&amp;IF(AND(E271="hecho",F271="FUERA_REF",H271="no_resp"),"NO-ABS ","")&amp;IF(AND(E271="hecho",I271="SIN-RESPALDO"),"SIN-R ","")&amp;IF(AND(E271="hecho",I271="CITA-X"),"CITA-X ","")&amp;IF(AND(E271="hecho",I271="SIN-CITA"),"SIN-C ",""))="","-",TRIM(IF(AND(E271="hecho",F271="INCORRECTA"),"INC ","")&amp;IF(AND(E271="abstencion",F271="INCORRECTA"),"ABS-E ","")&amp;IF(AND(E271="hecho",F271="FUERA_REF",H271="no_resp"),"NO-ABS ","")&amp;IF(AND(E271="hecho",I271="SIN-RESPALDO"),"SIN-R ","")&amp;IF(AND(E271="hecho",I271="CITA-X"),"CITA-X ","")&amp;IF(AND(E271="hecho",I271="SIN-CITA"),"SIN-C ","")))))</f>
        <v/>
      </c>
      <c r="N271" s="5">
        <f>IF(D271="","",IF(OR(A271="",B271="",E271="",F271=""),"falta qid, modo, tipo o vs_ref",IF(AND(B271="llm",I271&lt;&gt;""),"respaldo no aplica en modo LLM",IF(AND(E271="abstencion",I271&lt;&gt;""),"una abstención no se califica en citas",IF(AND(B271="rag",E271="hecho",I271=""),"falta respaldo","ok")))))</f>
        <v/>
      </c>
    </row>
    <row r="272">
      <c r="A272" s="6" t="n"/>
      <c r="B272" s="6" t="n"/>
      <c r="C272" s="5">
        <f>IF(A272="","",COUNTIFS($A$2:A272,A272,$B$2:B272,B272))</f>
        <v/>
      </c>
      <c r="D272" s="6" t="n"/>
      <c r="E272" s="6" t="n"/>
      <c r="F272" s="6" t="n"/>
      <c r="G272" s="6" t="n"/>
      <c r="H272" s="6" t="n"/>
      <c r="I272" s="6" t="n"/>
      <c r="J272" s="6" t="n"/>
      <c r="K272" s="6" t="n"/>
      <c r="L272" s="6" t="n"/>
      <c r="M272" s="5">
        <f>IF(D272="","",IF(OR(E272="",F272=""),"",IF(TRIM(IF(AND(E272="hecho",F272="INCORRECTA"),"INC ","")&amp;IF(AND(E272="abstencion",F272="INCORRECTA"),"ABS-E ","")&amp;IF(AND(E272="hecho",F272="FUERA_REF",H272="no_resp"),"NO-ABS ","")&amp;IF(AND(E272="hecho",I272="SIN-RESPALDO"),"SIN-R ","")&amp;IF(AND(E272="hecho",I272="CITA-X"),"CITA-X ","")&amp;IF(AND(E272="hecho",I272="SIN-CITA"),"SIN-C ",""))="","-",TRIM(IF(AND(E272="hecho",F272="INCORRECTA"),"INC ","")&amp;IF(AND(E272="abstencion",F272="INCORRECTA"),"ABS-E ","")&amp;IF(AND(E272="hecho",F272="FUERA_REF",H272="no_resp"),"NO-ABS ","")&amp;IF(AND(E272="hecho",I272="SIN-RESPALDO"),"SIN-R ","")&amp;IF(AND(E272="hecho",I272="CITA-X"),"CITA-X ","")&amp;IF(AND(E272="hecho",I272="SIN-CITA"),"SIN-C ","")))))</f>
        <v/>
      </c>
      <c r="N272" s="5">
        <f>IF(D272="","",IF(OR(A272="",B272="",E272="",F272=""),"falta qid, modo, tipo o vs_ref",IF(AND(B272="llm",I272&lt;&gt;""),"respaldo no aplica en modo LLM",IF(AND(E272="abstencion",I272&lt;&gt;""),"una abstención no se califica en citas",IF(AND(B272="rag",E272="hecho",I272=""),"falta respaldo","ok")))))</f>
        <v/>
      </c>
    </row>
    <row r="273">
      <c r="A273" s="6" t="n"/>
      <c r="B273" s="6" t="n"/>
      <c r="C273" s="5">
        <f>IF(A273="","",COUNTIFS($A$2:A273,A273,$B$2:B273,B273))</f>
        <v/>
      </c>
      <c r="D273" s="6" t="n"/>
      <c r="E273" s="6" t="n"/>
      <c r="F273" s="6" t="n"/>
      <c r="G273" s="6" t="n"/>
      <c r="H273" s="6" t="n"/>
      <c r="I273" s="6" t="n"/>
      <c r="J273" s="6" t="n"/>
      <c r="K273" s="6" t="n"/>
      <c r="L273" s="6" t="n"/>
      <c r="M273" s="5">
        <f>IF(D273="","",IF(OR(E273="",F273=""),"",IF(TRIM(IF(AND(E273="hecho",F273="INCORRECTA"),"INC ","")&amp;IF(AND(E273="abstencion",F273="INCORRECTA"),"ABS-E ","")&amp;IF(AND(E273="hecho",F273="FUERA_REF",H273="no_resp"),"NO-ABS ","")&amp;IF(AND(E273="hecho",I273="SIN-RESPALDO"),"SIN-R ","")&amp;IF(AND(E273="hecho",I273="CITA-X"),"CITA-X ","")&amp;IF(AND(E273="hecho",I273="SIN-CITA"),"SIN-C ",""))="","-",TRIM(IF(AND(E273="hecho",F273="INCORRECTA"),"INC ","")&amp;IF(AND(E273="abstencion",F273="INCORRECTA"),"ABS-E ","")&amp;IF(AND(E273="hecho",F273="FUERA_REF",H273="no_resp"),"NO-ABS ","")&amp;IF(AND(E273="hecho",I273="SIN-RESPALDO"),"SIN-R ","")&amp;IF(AND(E273="hecho",I273="CITA-X"),"CITA-X ","")&amp;IF(AND(E273="hecho",I273="SIN-CITA"),"SIN-C ","")))))</f>
        <v/>
      </c>
      <c r="N273" s="5">
        <f>IF(D273="","",IF(OR(A273="",B273="",E273="",F273=""),"falta qid, modo, tipo o vs_ref",IF(AND(B273="llm",I273&lt;&gt;""),"respaldo no aplica en modo LLM",IF(AND(E273="abstencion",I273&lt;&gt;""),"una abstención no se califica en citas",IF(AND(B273="rag",E273="hecho",I273=""),"falta respaldo","ok")))))</f>
        <v/>
      </c>
    </row>
    <row r="274">
      <c r="A274" s="6" t="n"/>
      <c r="B274" s="6" t="n"/>
      <c r="C274" s="5">
        <f>IF(A274="","",COUNTIFS($A$2:A274,A274,$B$2:B274,B274))</f>
        <v/>
      </c>
      <c r="D274" s="6" t="n"/>
      <c r="E274" s="6" t="n"/>
      <c r="F274" s="6" t="n"/>
      <c r="G274" s="6" t="n"/>
      <c r="H274" s="6" t="n"/>
      <c r="I274" s="6" t="n"/>
      <c r="J274" s="6" t="n"/>
      <c r="K274" s="6" t="n"/>
      <c r="L274" s="6" t="n"/>
      <c r="M274" s="5">
        <f>IF(D274="","",IF(OR(E274="",F274=""),"",IF(TRIM(IF(AND(E274="hecho",F274="INCORRECTA"),"INC ","")&amp;IF(AND(E274="abstencion",F274="INCORRECTA"),"ABS-E ","")&amp;IF(AND(E274="hecho",F274="FUERA_REF",H274="no_resp"),"NO-ABS ","")&amp;IF(AND(E274="hecho",I274="SIN-RESPALDO"),"SIN-R ","")&amp;IF(AND(E274="hecho",I274="CITA-X"),"CITA-X ","")&amp;IF(AND(E274="hecho",I274="SIN-CITA"),"SIN-C ",""))="","-",TRIM(IF(AND(E274="hecho",F274="INCORRECTA"),"INC ","")&amp;IF(AND(E274="abstencion",F274="INCORRECTA"),"ABS-E ","")&amp;IF(AND(E274="hecho",F274="FUERA_REF",H274="no_resp"),"NO-ABS ","")&amp;IF(AND(E274="hecho",I274="SIN-RESPALDO"),"SIN-R ","")&amp;IF(AND(E274="hecho",I274="CITA-X"),"CITA-X ","")&amp;IF(AND(E274="hecho",I274="SIN-CITA"),"SIN-C ","")))))</f>
        <v/>
      </c>
      <c r="N274" s="5">
        <f>IF(D274="","",IF(OR(A274="",B274="",E274="",F274=""),"falta qid, modo, tipo o vs_ref",IF(AND(B274="llm",I274&lt;&gt;""),"respaldo no aplica en modo LLM",IF(AND(E274="abstencion",I274&lt;&gt;""),"una abstención no se califica en citas",IF(AND(B274="rag",E274="hecho",I274=""),"falta respaldo","ok")))))</f>
        <v/>
      </c>
    </row>
    <row r="275">
      <c r="A275" s="6" t="n"/>
      <c r="B275" s="6" t="n"/>
      <c r="C275" s="5">
        <f>IF(A275="","",COUNTIFS($A$2:A275,A275,$B$2:B275,B275))</f>
        <v/>
      </c>
      <c r="D275" s="6" t="n"/>
      <c r="E275" s="6" t="n"/>
      <c r="F275" s="6" t="n"/>
      <c r="G275" s="6" t="n"/>
      <c r="H275" s="6" t="n"/>
      <c r="I275" s="6" t="n"/>
      <c r="J275" s="6" t="n"/>
      <c r="K275" s="6" t="n"/>
      <c r="L275" s="6" t="n"/>
      <c r="M275" s="5">
        <f>IF(D275="","",IF(OR(E275="",F275=""),"",IF(TRIM(IF(AND(E275="hecho",F275="INCORRECTA"),"INC ","")&amp;IF(AND(E275="abstencion",F275="INCORRECTA"),"ABS-E ","")&amp;IF(AND(E275="hecho",F275="FUERA_REF",H275="no_resp"),"NO-ABS ","")&amp;IF(AND(E275="hecho",I275="SIN-RESPALDO"),"SIN-R ","")&amp;IF(AND(E275="hecho",I275="CITA-X"),"CITA-X ","")&amp;IF(AND(E275="hecho",I275="SIN-CITA"),"SIN-C ",""))="","-",TRIM(IF(AND(E275="hecho",F275="INCORRECTA"),"INC ","")&amp;IF(AND(E275="abstencion",F275="INCORRECTA"),"ABS-E ","")&amp;IF(AND(E275="hecho",F275="FUERA_REF",H275="no_resp"),"NO-ABS ","")&amp;IF(AND(E275="hecho",I275="SIN-RESPALDO"),"SIN-R ","")&amp;IF(AND(E275="hecho",I275="CITA-X"),"CITA-X ","")&amp;IF(AND(E275="hecho",I275="SIN-CITA"),"SIN-C ","")))))</f>
        <v/>
      </c>
      <c r="N275" s="5">
        <f>IF(D275="","",IF(OR(A275="",B275="",E275="",F275=""),"falta qid, modo, tipo o vs_ref",IF(AND(B275="llm",I275&lt;&gt;""),"respaldo no aplica en modo LLM",IF(AND(E275="abstencion",I275&lt;&gt;""),"una abstención no se califica en citas",IF(AND(B275="rag",E275="hecho",I275=""),"falta respaldo","ok")))))</f>
        <v/>
      </c>
    </row>
    <row r="276">
      <c r="A276" s="6" t="n"/>
      <c r="B276" s="6" t="n"/>
      <c r="C276" s="5">
        <f>IF(A276="","",COUNTIFS($A$2:A276,A276,$B$2:B276,B276))</f>
        <v/>
      </c>
      <c r="D276" s="6" t="n"/>
      <c r="E276" s="6" t="n"/>
      <c r="F276" s="6" t="n"/>
      <c r="G276" s="6" t="n"/>
      <c r="H276" s="6" t="n"/>
      <c r="I276" s="6" t="n"/>
      <c r="J276" s="6" t="n"/>
      <c r="K276" s="6" t="n"/>
      <c r="L276" s="6" t="n"/>
      <c r="M276" s="5">
        <f>IF(D276="","",IF(OR(E276="",F276=""),"",IF(TRIM(IF(AND(E276="hecho",F276="INCORRECTA"),"INC ","")&amp;IF(AND(E276="abstencion",F276="INCORRECTA"),"ABS-E ","")&amp;IF(AND(E276="hecho",F276="FUERA_REF",H276="no_resp"),"NO-ABS ","")&amp;IF(AND(E276="hecho",I276="SIN-RESPALDO"),"SIN-R ","")&amp;IF(AND(E276="hecho",I276="CITA-X"),"CITA-X ","")&amp;IF(AND(E276="hecho",I276="SIN-CITA"),"SIN-C ",""))="","-",TRIM(IF(AND(E276="hecho",F276="INCORRECTA"),"INC ","")&amp;IF(AND(E276="abstencion",F276="INCORRECTA"),"ABS-E ","")&amp;IF(AND(E276="hecho",F276="FUERA_REF",H276="no_resp"),"NO-ABS ","")&amp;IF(AND(E276="hecho",I276="SIN-RESPALDO"),"SIN-R ","")&amp;IF(AND(E276="hecho",I276="CITA-X"),"CITA-X ","")&amp;IF(AND(E276="hecho",I276="SIN-CITA"),"SIN-C ","")))))</f>
        <v/>
      </c>
      <c r="N276" s="5">
        <f>IF(D276="","",IF(OR(A276="",B276="",E276="",F276=""),"falta qid, modo, tipo o vs_ref",IF(AND(B276="llm",I276&lt;&gt;""),"respaldo no aplica en modo LLM",IF(AND(E276="abstencion",I276&lt;&gt;""),"una abstención no se califica en citas",IF(AND(B276="rag",E276="hecho",I276=""),"falta respaldo","ok")))))</f>
        <v/>
      </c>
    </row>
    <row r="277">
      <c r="A277" s="6" t="n"/>
      <c r="B277" s="6" t="n"/>
      <c r="C277" s="5">
        <f>IF(A277="","",COUNTIFS($A$2:A277,A277,$B$2:B277,B277))</f>
        <v/>
      </c>
      <c r="D277" s="6" t="n"/>
      <c r="E277" s="6" t="n"/>
      <c r="F277" s="6" t="n"/>
      <c r="G277" s="6" t="n"/>
      <c r="H277" s="6" t="n"/>
      <c r="I277" s="6" t="n"/>
      <c r="J277" s="6" t="n"/>
      <c r="K277" s="6" t="n"/>
      <c r="L277" s="6" t="n"/>
      <c r="M277" s="5">
        <f>IF(D277="","",IF(OR(E277="",F277=""),"",IF(TRIM(IF(AND(E277="hecho",F277="INCORRECTA"),"INC ","")&amp;IF(AND(E277="abstencion",F277="INCORRECTA"),"ABS-E ","")&amp;IF(AND(E277="hecho",F277="FUERA_REF",H277="no_resp"),"NO-ABS ","")&amp;IF(AND(E277="hecho",I277="SIN-RESPALDO"),"SIN-R ","")&amp;IF(AND(E277="hecho",I277="CITA-X"),"CITA-X ","")&amp;IF(AND(E277="hecho",I277="SIN-CITA"),"SIN-C ",""))="","-",TRIM(IF(AND(E277="hecho",F277="INCORRECTA"),"INC ","")&amp;IF(AND(E277="abstencion",F277="INCORRECTA"),"ABS-E ","")&amp;IF(AND(E277="hecho",F277="FUERA_REF",H277="no_resp"),"NO-ABS ","")&amp;IF(AND(E277="hecho",I277="SIN-RESPALDO"),"SIN-R ","")&amp;IF(AND(E277="hecho",I277="CITA-X"),"CITA-X ","")&amp;IF(AND(E277="hecho",I277="SIN-CITA"),"SIN-C ","")))))</f>
        <v/>
      </c>
      <c r="N277" s="5">
        <f>IF(D277="","",IF(OR(A277="",B277="",E277="",F277=""),"falta qid, modo, tipo o vs_ref",IF(AND(B277="llm",I277&lt;&gt;""),"respaldo no aplica en modo LLM",IF(AND(E277="abstencion",I277&lt;&gt;""),"una abstención no se califica en citas",IF(AND(B277="rag",E277="hecho",I277=""),"falta respaldo","ok")))))</f>
        <v/>
      </c>
    </row>
    <row r="278">
      <c r="A278" s="6" t="n"/>
      <c r="B278" s="6" t="n"/>
      <c r="C278" s="5">
        <f>IF(A278="","",COUNTIFS($A$2:A278,A278,$B$2:B278,B278))</f>
        <v/>
      </c>
      <c r="D278" s="6" t="n"/>
      <c r="E278" s="6" t="n"/>
      <c r="F278" s="6" t="n"/>
      <c r="G278" s="6" t="n"/>
      <c r="H278" s="6" t="n"/>
      <c r="I278" s="6" t="n"/>
      <c r="J278" s="6" t="n"/>
      <c r="K278" s="6" t="n"/>
      <c r="L278" s="6" t="n"/>
      <c r="M278" s="5">
        <f>IF(D278="","",IF(OR(E278="",F278=""),"",IF(TRIM(IF(AND(E278="hecho",F278="INCORRECTA"),"INC ","")&amp;IF(AND(E278="abstencion",F278="INCORRECTA"),"ABS-E ","")&amp;IF(AND(E278="hecho",F278="FUERA_REF",H278="no_resp"),"NO-ABS ","")&amp;IF(AND(E278="hecho",I278="SIN-RESPALDO"),"SIN-R ","")&amp;IF(AND(E278="hecho",I278="CITA-X"),"CITA-X ","")&amp;IF(AND(E278="hecho",I278="SIN-CITA"),"SIN-C ",""))="","-",TRIM(IF(AND(E278="hecho",F278="INCORRECTA"),"INC ","")&amp;IF(AND(E278="abstencion",F278="INCORRECTA"),"ABS-E ","")&amp;IF(AND(E278="hecho",F278="FUERA_REF",H278="no_resp"),"NO-ABS ","")&amp;IF(AND(E278="hecho",I278="SIN-RESPALDO"),"SIN-R ","")&amp;IF(AND(E278="hecho",I278="CITA-X"),"CITA-X ","")&amp;IF(AND(E278="hecho",I278="SIN-CITA"),"SIN-C ","")))))</f>
        <v/>
      </c>
      <c r="N278" s="5">
        <f>IF(D278="","",IF(OR(A278="",B278="",E278="",F278=""),"falta qid, modo, tipo o vs_ref",IF(AND(B278="llm",I278&lt;&gt;""),"respaldo no aplica en modo LLM",IF(AND(E278="abstencion",I278&lt;&gt;""),"una abstención no se califica en citas",IF(AND(B278="rag",E278="hecho",I278=""),"falta respaldo","ok")))))</f>
        <v/>
      </c>
    </row>
    <row r="279">
      <c r="A279" s="6" t="n"/>
      <c r="B279" s="6" t="n"/>
      <c r="C279" s="5">
        <f>IF(A279="","",COUNTIFS($A$2:A279,A279,$B$2:B279,B279))</f>
        <v/>
      </c>
      <c r="D279" s="6" t="n"/>
      <c r="E279" s="6" t="n"/>
      <c r="F279" s="6" t="n"/>
      <c r="G279" s="6" t="n"/>
      <c r="H279" s="6" t="n"/>
      <c r="I279" s="6" t="n"/>
      <c r="J279" s="6" t="n"/>
      <c r="K279" s="6" t="n"/>
      <c r="L279" s="6" t="n"/>
      <c r="M279" s="5">
        <f>IF(D279="","",IF(OR(E279="",F279=""),"",IF(TRIM(IF(AND(E279="hecho",F279="INCORRECTA"),"INC ","")&amp;IF(AND(E279="abstencion",F279="INCORRECTA"),"ABS-E ","")&amp;IF(AND(E279="hecho",F279="FUERA_REF",H279="no_resp"),"NO-ABS ","")&amp;IF(AND(E279="hecho",I279="SIN-RESPALDO"),"SIN-R ","")&amp;IF(AND(E279="hecho",I279="CITA-X"),"CITA-X ","")&amp;IF(AND(E279="hecho",I279="SIN-CITA"),"SIN-C ",""))="","-",TRIM(IF(AND(E279="hecho",F279="INCORRECTA"),"INC ","")&amp;IF(AND(E279="abstencion",F279="INCORRECTA"),"ABS-E ","")&amp;IF(AND(E279="hecho",F279="FUERA_REF",H279="no_resp"),"NO-ABS ","")&amp;IF(AND(E279="hecho",I279="SIN-RESPALDO"),"SIN-R ","")&amp;IF(AND(E279="hecho",I279="CITA-X"),"CITA-X ","")&amp;IF(AND(E279="hecho",I279="SIN-CITA"),"SIN-C ","")))))</f>
        <v/>
      </c>
      <c r="N279" s="5">
        <f>IF(D279="","",IF(OR(A279="",B279="",E279="",F279=""),"falta qid, modo, tipo o vs_ref",IF(AND(B279="llm",I279&lt;&gt;""),"respaldo no aplica en modo LLM",IF(AND(E279="abstencion",I279&lt;&gt;""),"una abstención no se califica en citas",IF(AND(B279="rag",E279="hecho",I279=""),"falta respaldo","ok")))))</f>
        <v/>
      </c>
    </row>
    <row r="280">
      <c r="A280" s="6" t="n"/>
      <c r="B280" s="6" t="n"/>
      <c r="C280" s="5">
        <f>IF(A280="","",COUNTIFS($A$2:A280,A280,$B$2:B280,B280))</f>
        <v/>
      </c>
      <c r="D280" s="6" t="n"/>
      <c r="E280" s="6" t="n"/>
      <c r="F280" s="6" t="n"/>
      <c r="G280" s="6" t="n"/>
      <c r="H280" s="6" t="n"/>
      <c r="I280" s="6" t="n"/>
      <c r="J280" s="6" t="n"/>
      <c r="K280" s="6" t="n"/>
      <c r="L280" s="6" t="n"/>
      <c r="M280" s="5">
        <f>IF(D280="","",IF(OR(E280="",F280=""),"",IF(TRIM(IF(AND(E280="hecho",F280="INCORRECTA"),"INC ","")&amp;IF(AND(E280="abstencion",F280="INCORRECTA"),"ABS-E ","")&amp;IF(AND(E280="hecho",F280="FUERA_REF",H280="no_resp"),"NO-ABS ","")&amp;IF(AND(E280="hecho",I280="SIN-RESPALDO"),"SIN-R ","")&amp;IF(AND(E280="hecho",I280="CITA-X"),"CITA-X ","")&amp;IF(AND(E280="hecho",I280="SIN-CITA"),"SIN-C ",""))="","-",TRIM(IF(AND(E280="hecho",F280="INCORRECTA"),"INC ","")&amp;IF(AND(E280="abstencion",F280="INCORRECTA"),"ABS-E ","")&amp;IF(AND(E280="hecho",F280="FUERA_REF",H280="no_resp"),"NO-ABS ","")&amp;IF(AND(E280="hecho",I280="SIN-RESPALDO"),"SIN-R ","")&amp;IF(AND(E280="hecho",I280="CITA-X"),"CITA-X ","")&amp;IF(AND(E280="hecho",I280="SIN-CITA"),"SIN-C ","")))))</f>
        <v/>
      </c>
      <c r="N280" s="5">
        <f>IF(D280="","",IF(OR(A280="",B280="",E280="",F280=""),"falta qid, modo, tipo o vs_ref",IF(AND(B280="llm",I280&lt;&gt;""),"respaldo no aplica en modo LLM",IF(AND(E280="abstencion",I280&lt;&gt;""),"una abstención no se califica en citas",IF(AND(B280="rag",E280="hecho",I280=""),"falta respaldo","ok")))))</f>
        <v/>
      </c>
    </row>
    <row r="281">
      <c r="A281" s="6" t="n"/>
      <c r="B281" s="6" t="n"/>
      <c r="C281" s="5">
        <f>IF(A281="","",COUNTIFS($A$2:A281,A281,$B$2:B281,B281))</f>
        <v/>
      </c>
      <c r="D281" s="6" t="n"/>
      <c r="E281" s="6" t="n"/>
      <c r="F281" s="6" t="n"/>
      <c r="G281" s="6" t="n"/>
      <c r="H281" s="6" t="n"/>
      <c r="I281" s="6" t="n"/>
      <c r="J281" s="6" t="n"/>
      <c r="K281" s="6" t="n"/>
      <c r="L281" s="6" t="n"/>
      <c r="M281" s="5">
        <f>IF(D281="","",IF(OR(E281="",F281=""),"",IF(TRIM(IF(AND(E281="hecho",F281="INCORRECTA"),"INC ","")&amp;IF(AND(E281="abstencion",F281="INCORRECTA"),"ABS-E ","")&amp;IF(AND(E281="hecho",F281="FUERA_REF",H281="no_resp"),"NO-ABS ","")&amp;IF(AND(E281="hecho",I281="SIN-RESPALDO"),"SIN-R ","")&amp;IF(AND(E281="hecho",I281="CITA-X"),"CITA-X ","")&amp;IF(AND(E281="hecho",I281="SIN-CITA"),"SIN-C ",""))="","-",TRIM(IF(AND(E281="hecho",F281="INCORRECTA"),"INC ","")&amp;IF(AND(E281="abstencion",F281="INCORRECTA"),"ABS-E ","")&amp;IF(AND(E281="hecho",F281="FUERA_REF",H281="no_resp"),"NO-ABS ","")&amp;IF(AND(E281="hecho",I281="SIN-RESPALDO"),"SIN-R ","")&amp;IF(AND(E281="hecho",I281="CITA-X"),"CITA-X ","")&amp;IF(AND(E281="hecho",I281="SIN-CITA"),"SIN-C ","")))))</f>
        <v/>
      </c>
      <c r="N281" s="5">
        <f>IF(D281="","",IF(OR(A281="",B281="",E281="",F281=""),"falta qid, modo, tipo o vs_ref",IF(AND(B281="llm",I281&lt;&gt;""),"respaldo no aplica en modo LLM",IF(AND(E281="abstencion",I281&lt;&gt;""),"una abstención no se califica en citas",IF(AND(B281="rag",E281="hecho",I281=""),"falta respaldo","ok")))))</f>
        <v/>
      </c>
    </row>
    <row r="282">
      <c r="A282" s="6" t="n"/>
      <c r="B282" s="6" t="n"/>
      <c r="C282" s="5">
        <f>IF(A282="","",COUNTIFS($A$2:A282,A282,$B$2:B282,B282))</f>
        <v/>
      </c>
      <c r="D282" s="6" t="n"/>
      <c r="E282" s="6" t="n"/>
      <c r="F282" s="6" t="n"/>
      <c r="G282" s="6" t="n"/>
      <c r="H282" s="6" t="n"/>
      <c r="I282" s="6" t="n"/>
      <c r="J282" s="6" t="n"/>
      <c r="K282" s="6" t="n"/>
      <c r="L282" s="6" t="n"/>
      <c r="M282" s="5">
        <f>IF(D282="","",IF(OR(E282="",F282=""),"",IF(TRIM(IF(AND(E282="hecho",F282="INCORRECTA"),"INC ","")&amp;IF(AND(E282="abstencion",F282="INCORRECTA"),"ABS-E ","")&amp;IF(AND(E282="hecho",F282="FUERA_REF",H282="no_resp"),"NO-ABS ","")&amp;IF(AND(E282="hecho",I282="SIN-RESPALDO"),"SIN-R ","")&amp;IF(AND(E282="hecho",I282="CITA-X"),"CITA-X ","")&amp;IF(AND(E282="hecho",I282="SIN-CITA"),"SIN-C ",""))="","-",TRIM(IF(AND(E282="hecho",F282="INCORRECTA"),"INC ","")&amp;IF(AND(E282="abstencion",F282="INCORRECTA"),"ABS-E ","")&amp;IF(AND(E282="hecho",F282="FUERA_REF",H282="no_resp"),"NO-ABS ","")&amp;IF(AND(E282="hecho",I282="SIN-RESPALDO"),"SIN-R ","")&amp;IF(AND(E282="hecho",I282="CITA-X"),"CITA-X ","")&amp;IF(AND(E282="hecho",I282="SIN-CITA"),"SIN-C ","")))))</f>
        <v/>
      </c>
      <c r="N282" s="5">
        <f>IF(D282="","",IF(OR(A282="",B282="",E282="",F282=""),"falta qid, modo, tipo o vs_ref",IF(AND(B282="llm",I282&lt;&gt;""),"respaldo no aplica en modo LLM",IF(AND(E282="abstencion",I282&lt;&gt;""),"una abstención no se califica en citas",IF(AND(B282="rag",E282="hecho",I282=""),"falta respaldo","ok")))))</f>
        <v/>
      </c>
    </row>
    <row r="283">
      <c r="A283" s="6" t="n"/>
      <c r="B283" s="6" t="n"/>
      <c r="C283" s="5">
        <f>IF(A283="","",COUNTIFS($A$2:A283,A283,$B$2:B283,B283))</f>
        <v/>
      </c>
      <c r="D283" s="6" t="n"/>
      <c r="E283" s="6" t="n"/>
      <c r="F283" s="6" t="n"/>
      <c r="G283" s="6" t="n"/>
      <c r="H283" s="6" t="n"/>
      <c r="I283" s="6" t="n"/>
      <c r="J283" s="6" t="n"/>
      <c r="K283" s="6" t="n"/>
      <c r="L283" s="6" t="n"/>
      <c r="M283" s="5">
        <f>IF(D283="","",IF(OR(E283="",F283=""),"",IF(TRIM(IF(AND(E283="hecho",F283="INCORRECTA"),"INC ","")&amp;IF(AND(E283="abstencion",F283="INCORRECTA"),"ABS-E ","")&amp;IF(AND(E283="hecho",F283="FUERA_REF",H283="no_resp"),"NO-ABS ","")&amp;IF(AND(E283="hecho",I283="SIN-RESPALDO"),"SIN-R ","")&amp;IF(AND(E283="hecho",I283="CITA-X"),"CITA-X ","")&amp;IF(AND(E283="hecho",I283="SIN-CITA"),"SIN-C ",""))="","-",TRIM(IF(AND(E283="hecho",F283="INCORRECTA"),"INC ","")&amp;IF(AND(E283="abstencion",F283="INCORRECTA"),"ABS-E ","")&amp;IF(AND(E283="hecho",F283="FUERA_REF",H283="no_resp"),"NO-ABS ","")&amp;IF(AND(E283="hecho",I283="SIN-RESPALDO"),"SIN-R ","")&amp;IF(AND(E283="hecho",I283="CITA-X"),"CITA-X ","")&amp;IF(AND(E283="hecho",I283="SIN-CITA"),"SIN-C ","")))))</f>
        <v/>
      </c>
      <c r="N283" s="5">
        <f>IF(D283="","",IF(OR(A283="",B283="",E283="",F283=""),"falta qid, modo, tipo o vs_ref",IF(AND(B283="llm",I283&lt;&gt;""),"respaldo no aplica en modo LLM",IF(AND(E283="abstencion",I283&lt;&gt;""),"una abstención no se califica en citas",IF(AND(B283="rag",E283="hecho",I283=""),"falta respaldo","ok")))))</f>
        <v/>
      </c>
    </row>
    <row r="284">
      <c r="A284" s="6" t="n"/>
      <c r="B284" s="6" t="n"/>
      <c r="C284" s="5">
        <f>IF(A284="","",COUNTIFS($A$2:A284,A284,$B$2:B284,B284))</f>
        <v/>
      </c>
      <c r="D284" s="6" t="n"/>
      <c r="E284" s="6" t="n"/>
      <c r="F284" s="6" t="n"/>
      <c r="G284" s="6" t="n"/>
      <c r="H284" s="6" t="n"/>
      <c r="I284" s="6" t="n"/>
      <c r="J284" s="6" t="n"/>
      <c r="K284" s="6" t="n"/>
      <c r="L284" s="6" t="n"/>
      <c r="M284" s="5">
        <f>IF(D284="","",IF(OR(E284="",F284=""),"",IF(TRIM(IF(AND(E284="hecho",F284="INCORRECTA"),"INC ","")&amp;IF(AND(E284="abstencion",F284="INCORRECTA"),"ABS-E ","")&amp;IF(AND(E284="hecho",F284="FUERA_REF",H284="no_resp"),"NO-ABS ","")&amp;IF(AND(E284="hecho",I284="SIN-RESPALDO"),"SIN-R ","")&amp;IF(AND(E284="hecho",I284="CITA-X"),"CITA-X ","")&amp;IF(AND(E284="hecho",I284="SIN-CITA"),"SIN-C ",""))="","-",TRIM(IF(AND(E284="hecho",F284="INCORRECTA"),"INC ","")&amp;IF(AND(E284="abstencion",F284="INCORRECTA"),"ABS-E ","")&amp;IF(AND(E284="hecho",F284="FUERA_REF",H284="no_resp"),"NO-ABS ","")&amp;IF(AND(E284="hecho",I284="SIN-RESPALDO"),"SIN-R ","")&amp;IF(AND(E284="hecho",I284="CITA-X"),"CITA-X ","")&amp;IF(AND(E284="hecho",I284="SIN-CITA"),"SIN-C ","")))))</f>
        <v/>
      </c>
      <c r="N284" s="5">
        <f>IF(D284="","",IF(OR(A284="",B284="",E284="",F284=""),"falta qid, modo, tipo o vs_ref",IF(AND(B284="llm",I284&lt;&gt;""),"respaldo no aplica en modo LLM",IF(AND(E284="abstencion",I284&lt;&gt;""),"una abstención no se califica en citas",IF(AND(B284="rag",E284="hecho",I284=""),"falta respaldo","ok")))))</f>
        <v/>
      </c>
    </row>
    <row r="285">
      <c r="A285" s="6" t="n"/>
      <c r="B285" s="6" t="n"/>
      <c r="C285" s="5">
        <f>IF(A285="","",COUNTIFS($A$2:A285,A285,$B$2:B285,B285))</f>
        <v/>
      </c>
      <c r="D285" s="6" t="n"/>
      <c r="E285" s="6" t="n"/>
      <c r="F285" s="6" t="n"/>
      <c r="G285" s="6" t="n"/>
      <c r="H285" s="6" t="n"/>
      <c r="I285" s="6" t="n"/>
      <c r="J285" s="6" t="n"/>
      <c r="K285" s="6" t="n"/>
      <c r="L285" s="6" t="n"/>
      <c r="M285" s="5">
        <f>IF(D285="","",IF(OR(E285="",F285=""),"",IF(TRIM(IF(AND(E285="hecho",F285="INCORRECTA"),"INC ","")&amp;IF(AND(E285="abstencion",F285="INCORRECTA"),"ABS-E ","")&amp;IF(AND(E285="hecho",F285="FUERA_REF",H285="no_resp"),"NO-ABS ","")&amp;IF(AND(E285="hecho",I285="SIN-RESPALDO"),"SIN-R ","")&amp;IF(AND(E285="hecho",I285="CITA-X"),"CITA-X ","")&amp;IF(AND(E285="hecho",I285="SIN-CITA"),"SIN-C ",""))="","-",TRIM(IF(AND(E285="hecho",F285="INCORRECTA"),"INC ","")&amp;IF(AND(E285="abstencion",F285="INCORRECTA"),"ABS-E ","")&amp;IF(AND(E285="hecho",F285="FUERA_REF",H285="no_resp"),"NO-ABS ","")&amp;IF(AND(E285="hecho",I285="SIN-RESPALDO"),"SIN-R ","")&amp;IF(AND(E285="hecho",I285="CITA-X"),"CITA-X ","")&amp;IF(AND(E285="hecho",I285="SIN-CITA"),"SIN-C ","")))))</f>
        <v/>
      </c>
      <c r="N285" s="5">
        <f>IF(D285="","",IF(OR(A285="",B285="",E285="",F285=""),"falta qid, modo, tipo o vs_ref",IF(AND(B285="llm",I285&lt;&gt;""),"respaldo no aplica en modo LLM",IF(AND(E285="abstencion",I285&lt;&gt;""),"una abstención no se califica en citas",IF(AND(B285="rag",E285="hecho",I285=""),"falta respaldo","ok")))))</f>
        <v/>
      </c>
    </row>
    <row r="286">
      <c r="A286" s="6" t="n"/>
      <c r="B286" s="6" t="n"/>
      <c r="C286" s="5">
        <f>IF(A286="","",COUNTIFS($A$2:A286,A286,$B$2:B286,B286))</f>
        <v/>
      </c>
      <c r="D286" s="6" t="n"/>
      <c r="E286" s="6" t="n"/>
      <c r="F286" s="6" t="n"/>
      <c r="G286" s="6" t="n"/>
      <c r="H286" s="6" t="n"/>
      <c r="I286" s="6" t="n"/>
      <c r="J286" s="6" t="n"/>
      <c r="K286" s="6" t="n"/>
      <c r="L286" s="6" t="n"/>
      <c r="M286" s="5">
        <f>IF(D286="","",IF(OR(E286="",F286=""),"",IF(TRIM(IF(AND(E286="hecho",F286="INCORRECTA"),"INC ","")&amp;IF(AND(E286="abstencion",F286="INCORRECTA"),"ABS-E ","")&amp;IF(AND(E286="hecho",F286="FUERA_REF",H286="no_resp"),"NO-ABS ","")&amp;IF(AND(E286="hecho",I286="SIN-RESPALDO"),"SIN-R ","")&amp;IF(AND(E286="hecho",I286="CITA-X"),"CITA-X ","")&amp;IF(AND(E286="hecho",I286="SIN-CITA"),"SIN-C ",""))="","-",TRIM(IF(AND(E286="hecho",F286="INCORRECTA"),"INC ","")&amp;IF(AND(E286="abstencion",F286="INCORRECTA"),"ABS-E ","")&amp;IF(AND(E286="hecho",F286="FUERA_REF",H286="no_resp"),"NO-ABS ","")&amp;IF(AND(E286="hecho",I286="SIN-RESPALDO"),"SIN-R ","")&amp;IF(AND(E286="hecho",I286="CITA-X"),"CITA-X ","")&amp;IF(AND(E286="hecho",I286="SIN-CITA"),"SIN-C ","")))))</f>
        <v/>
      </c>
      <c r="N286" s="5">
        <f>IF(D286="","",IF(OR(A286="",B286="",E286="",F286=""),"falta qid, modo, tipo o vs_ref",IF(AND(B286="llm",I286&lt;&gt;""),"respaldo no aplica en modo LLM",IF(AND(E286="abstencion",I286&lt;&gt;""),"una abstención no se califica en citas",IF(AND(B286="rag",E286="hecho",I286=""),"falta respaldo","ok")))))</f>
        <v/>
      </c>
    </row>
    <row r="287">
      <c r="A287" s="6" t="n"/>
      <c r="B287" s="6" t="n"/>
      <c r="C287" s="5">
        <f>IF(A287="","",COUNTIFS($A$2:A287,A287,$B$2:B287,B287))</f>
        <v/>
      </c>
      <c r="D287" s="6" t="n"/>
      <c r="E287" s="6" t="n"/>
      <c r="F287" s="6" t="n"/>
      <c r="G287" s="6" t="n"/>
      <c r="H287" s="6" t="n"/>
      <c r="I287" s="6" t="n"/>
      <c r="J287" s="6" t="n"/>
      <c r="K287" s="6" t="n"/>
      <c r="L287" s="6" t="n"/>
      <c r="M287" s="5">
        <f>IF(D287="","",IF(OR(E287="",F287=""),"",IF(TRIM(IF(AND(E287="hecho",F287="INCORRECTA"),"INC ","")&amp;IF(AND(E287="abstencion",F287="INCORRECTA"),"ABS-E ","")&amp;IF(AND(E287="hecho",F287="FUERA_REF",H287="no_resp"),"NO-ABS ","")&amp;IF(AND(E287="hecho",I287="SIN-RESPALDO"),"SIN-R ","")&amp;IF(AND(E287="hecho",I287="CITA-X"),"CITA-X ","")&amp;IF(AND(E287="hecho",I287="SIN-CITA"),"SIN-C ",""))="","-",TRIM(IF(AND(E287="hecho",F287="INCORRECTA"),"INC ","")&amp;IF(AND(E287="abstencion",F287="INCORRECTA"),"ABS-E ","")&amp;IF(AND(E287="hecho",F287="FUERA_REF",H287="no_resp"),"NO-ABS ","")&amp;IF(AND(E287="hecho",I287="SIN-RESPALDO"),"SIN-R ","")&amp;IF(AND(E287="hecho",I287="CITA-X"),"CITA-X ","")&amp;IF(AND(E287="hecho",I287="SIN-CITA"),"SIN-C ","")))))</f>
        <v/>
      </c>
      <c r="N287" s="5">
        <f>IF(D287="","",IF(OR(A287="",B287="",E287="",F287=""),"falta qid, modo, tipo o vs_ref",IF(AND(B287="llm",I287&lt;&gt;""),"respaldo no aplica en modo LLM",IF(AND(E287="abstencion",I287&lt;&gt;""),"una abstención no se califica en citas",IF(AND(B287="rag",E287="hecho",I287=""),"falta respaldo","ok")))))</f>
        <v/>
      </c>
    </row>
    <row r="288">
      <c r="A288" s="6" t="n"/>
      <c r="B288" s="6" t="n"/>
      <c r="C288" s="5">
        <f>IF(A288="","",COUNTIFS($A$2:A288,A288,$B$2:B288,B288))</f>
        <v/>
      </c>
      <c r="D288" s="6" t="n"/>
      <c r="E288" s="6" t="n"/>
      <c r="F288" s="6" t="n"/>
      <c r="G288" s="6" t="n"/>
      <c r="H288" s="6" t="n"/>
      <c r="I288" s="6" t="n"/>
      <c r="J288" s="6" t="n"/>
      <c r="K288" s="6" t="n"/>
      <c r="L288" s="6" t="n"/>
      <c r="M288" s="5">
        <f>IF(D288="","",IF(OR(E288="",F288=""),"",IF(TRIM(IF(AND(E288="hecho",F288="INCORRECTA"),"INC ","")&amp;IF(AND(E288="abstencion",F288="INCORRECTA"),"ABS-E ","")&amp;IF(AND(E288="hecho",F288="FUERA_REF",H288="no_resp"),"NO-ABS ","")&amp;IF(AND(E288="hecho",I288="SIN-RESPALDO"),"SIN-R ","")&amp;IF(AND(E288="hecho",I288="CITA-X"),"CITA-X ","")&amp;IF(AND(E288="hecho",I288="SIN-CITA"),"SIN-C ",""))="","-",TRIM(IF(AND(E288="hecho",F288="INCORRECTA"),"INC ","")&amp;IF(AND(E288="abstencion",F288="INCORRECTA"),"ABS-E ","")&amp;IF(AND(E288="hecho",F288="FUERA_REF",H288="no_resp"),"NO-ABS ","")&amp;IF(AND(E288="hecho",I288="SIN-RESPALDO"),"SIN-R ","")&amp;IF(AND(E288="hecho",I288="CITA-X"),"CITA-X ","")&amp;IF(AND(E288="hecho",I288="SIN-CITA"),"SIN-C ","")))))</f>
        <v/>
      </c>
      <c r="N288" s="5">
        <f>IF(D288="","",IF(OR(A288="",B288="",E288="",F288=""),"falta qid, modo, tipo o vs_ref",IF(AND(B288="llm",I288&lt;&gt;""),"respaldo no aplica en modo LLM",IF(AND(E288="abstencion",I288&lt;&gt;""),"una abstención no se califica en citas",IF(AND(B288="rag",E288="hecho",I288=""),"falta respaldo","ok")))))</f>
        <v/>
      </c>
    </row>
    <row r="289">
      <c r="A289" s="6" t="n"/>
      <c r="B289" s="6" t="n"/>
      <c r="C289" s="5">
        <f>IF(A289="","",COUNTIFS($A$2:A289,A289,$B$2:B289,B289))</f>
        <v/>
      </c>
      <c r="D289" s="6" t="n"/>
      <c r="E289" s="6" t="n"/>
      <c r="F289" s="6" t="n"/>
      <c r="G289" s="6" t="n"/>
      <c r="H289" s="6" t="n"/>
      <c r="I289" s="6" t="n"/>
      <c r="J289" s="6" t="n"/>
      <c r="K289" s="6" t="n"/>
      <c r="L289" s="6" t="n"/>
      <c r="M289" s="5">
        <f>IF(D289="","",IF(OR(E289="",F289=""),"",IF(TRIM(IF(AND(E289="hecho",F289="INCORRECTA"),"INC ","")&amp;IF(AND(E289="abstencion",F289="INCORRECTA"),"ABS-E ","")&amp;IF(AND(E289="hecho",F289="FUERA_REF",H289="no_resp"),"NO-ABS ","")&amp;IF(AND(E289="hecho",I289="SIN-RESPALDO"),"SIN-R ","")&amp;IF(AND(E289="hecho",I289="CITA-X"),"CITA-X ","")&amp;IF(AND(E289="hecho",I289="SIN-CITA"),"SIN-C ",""))="","-",TRIM(IF(AND(E289="hecho",F289="INCORRECTA"),"INC ","")&amp;IF(AND(E289="abstencion",F289="INCORRECTA"),"ABS-E ","")&amp;IF(AND(E289="hecho",F289="FUERA_REF",H289="no_resp"),"NO-ABS ","")&amp;IF(AND(E289="hecho",I289="SIN-RESPALDO"),"SIN-R ","")&amp;IF(AND(E289="hecho",I289="CITA-X"),"CITA-X ","")&amp;IF(AND(E289="hecho",I289="SIN-CITA"),"SIN-C ","")))))</f>
        <v/>
      </c>
      <c r="N289" s="5">
        <f>IF(D289="","",IF(OR(A289="",B289="",E289="",F289=""),"falta qid, modo, tipo o vs_ref",IF(AND(B289="llm",I289&lt;&gt;""),"respaldo no aplica en modo LLM",IF(AND(E289="abstencion",I289&lt;&gt;""),"una abstención no se califica en citas",IF(AND(B289="rag",E289="hecho",I289=""),"falta respaldo","ok")))))</f>
        <v/>
      </c>
    </row>
    <row r="290">
      <c r="A290" s="6" t="n"/>
      <c r="B290" s="6" t="n"/>
      <c r="C290" s="5">
        <f>IF(A290="","",COUNTIFS($A$2:A290,A290,$B$2:B290,B290))</f>
        <v/>
      </c>
      <c r="D290" s="6" t="n"/>
      <c r="E290" s="6" t="n"/>
      <c r="F290" s="6" t="n"/>
      <c r="G290" s="6" t="n"/>
      <c r="H290" s="6" t="n"/>
      <c r="I290" s="6" t="n"/>
      <c r="J290" s="6" t="n"/>
      <c r="K290" s="6" t="n"/>
      <c r="L290" s="6" t="n"/>
      <c r="M290" s="5">
        <f>IF(D290="","",IF(OR(E290="",F290=""),"",IF(TRIM(IF(AND(E290="hecho",F290="INCORRECTA"),"INC ","")&amp;IF(AND(E290="abstencion",F290="INCORRECTA"),"ABS-E ","")&amp;IF(AND(E290="hecho",F290="FUERA_REF",H290="no_resp"),"NO-ABS ","")&amp;IF(AND(E290="hecho",I290="SIN-RESPALDO"),"SIN-R ","")&amp;IF(AND(E290="hecho",I290="CITA-X"),"CITA-X ","")&amp;IF(AND(E290="hecho",I290="SIN-CITA"),"SIN-C ",""))="","-",TRIM(IF(AND(E290="hecho",F290="INCORRECTA"),"INC ","")&amp;IF(AND(E290="abstencion",F290="INCORRECTA"),"ABS-E ","")&amp;IF(AND(E290="hecho",F290="FUERA_REF",H290="no_resp"),"NO-ABS ","")&amp;IF(AND(E290="hecho",I290="SIN-RESPALDO"),"SIN-R ","")&amp;IF(AND(E290="hecho",I290="CITA-X"),"CITA-X ","")&amp;IF(AND(E290="hecho",I290="SIN-CITA"),"SIN-C ","")))))</f>
        <v/>
      </c>
      <c r="N290" s="5">
        <f>IF(D290="","",IF(OR(A290="",B290="",E290="",F290=""),"falta qid, modo, tipo o vs_ref",IF(AND(B290="llm",I290&lt;&gt;""),"respaldo no aplica en modo LLM",IF(AND(E290="abstencion",I290&lt;&gt;""),"una abstención no se califica en citas",IF(AND(B290="rag",E290="hecho",I290=""),"falta respaldo","ok")))))</f>
        <v/>
      </c>
    </row>
    <row r="291">
      <c r="A291" s="6" t="n"/>
      <c r="B291" s="6" t="n"/>
      <c r="C291" s="5">
        <f>IF(A291="","",COUNTIFS($A$2:A291,A291,$B$2:B291,B291))</f>
        <v/>
      </c>
      <c r="D291" s="6" t="n"/>
      <c r="E291" s="6" t="n"/>
      <c r="F291" s="6" t="n"/>
      <c r="G291" s="6" t="n"/>
      <c r="H291" s="6" t="n"/>
      <c r="I291" s="6" t="n"/>
      <c r="J291" s="6" t="n"/>
      <c r="K291" s="6" t="n"/>
      <c r="L291" s="6" t="n"/>
      <c r="M291" s="5">
        <f>IF(D291="","",IF(OR(E291="",F291=""),"",IF(TRIM(IF(AND(E291="hecho",F291="INCORRECTA"),"INC ","")&amp;IF(AND(E291="abstencion",F291="INCORRECTA"),"ABS-E ","")&amp;IF(AND(E291="hecho",F291="FUERA_REF",H291="no_resp"),"NO-ABS ","")&amp;IF(AND(E291="hecho",I291="SIN-RESPALDO"),"SIN-R ","")&amp;IF(AND(E291="hecho",I291="CITA-X"),"CITA-X ","")&amp;IF(AND(E291="hecho",I291="SIN-CITA"),"SIN-C ",""))="","-",TRIM(IF(AND(E291="hecho",F291="INCORRECTA"),"INC ","")&amp;IF(AND(E291="abstencion",F291="INCORRECTA"),"ABS-E ","")&amp;IF(AND(E291="hecho",F291="FUERA_REF",H291="no_resp"),"NO-ABS ","")&amp;IF(AND(E291="hecho",I291="SIN-RESPALDO"),"SIN-R ","")&amp;IF(AND(E291="hecho",I291="CITA-X"),"CITA-X ","")&amp;IF(AND(E291="hecho",I291="SIN-CITA"),"SIN-C ","")))))</f>
        <v/>
      </c>
      <c r="N291" s="5">
        <f>IF(D291="","",IF(OR(A291="",B291="",E291="",F291=""),"falta qid, modo, tipo o vs_ref",IF(AND(B291="llm",I291&lt;&gt;""),"respaldo no aplica en modo LLM",IF(AND(E291="abstencion",I291&lt;&gt;""),"una abstención no se califica en citas",IF(AND(B291="rag",E291="hecho",I291=""),"falta respaldo","ok")))))</f>
        <v/>
      </c>
    </row>
    <row r="292">
      <c r="A292" s="6" t="n"/>
      <c r="B292" s="6" t="n"/>
      <c r="C292" s="5">
        <f>IF(A292="","",COUNTIFS($A$2:A292,A292,$B$2:B292,B292))</f>
        <v/>
      </c>
      <c r="D292" s="6" t="n"/>
      <c r="E292" s="6" t="n"/>
      <c r="F292" s="6" t="n"/>
      <c r="G292" s="6" t="n"/>
      <c r="H292" s="6" t="n"/>
      <c r="I292" s="6" t="n"/>
      <c r="J292" s="6" t="n"/>
      <c r="K292" s="6" t="n"/>
      <c r="L292" s="6" t="n"/>
      <c r="M292" s="5">
        <f>IF(D292="","",IF(OR(E292="",F292=""),"",IF(TRIM(IF(AND(E292="hecho",F292="INCORRECTA"),"INC ","")&amp;IF(AND(E292="abstencion",F292="INCORRECTA"),"ABS-E ","")&amp;IF(AND(E292="hecho",F292="FUERA_REF",H292="no_resp"),"NO-ABS ","")&amp;IF(AND(E292="hecho",I292="SIN-RESPALDO"),"SIN-R ","")&amp;IF(AND(E292="hecho",I292="CITA-X"),"CITA-X ","")&amp;IF(AND(E292="hecho",I292="SIN-CITA"),"SIN-C ",""))="","-",TRIM(IF(AND(E292="hecho",F292="INCORRECTA"),"INC ","")&amp;IF(AND(E292="abstencion",F292="INCORRECTA"),"ABS-E ","")&amp;IF(AND(E292="hecho",F292="FUERA_REF",H292="no_resp"),"NO-ABS ","")&amp;IF(AND(E292="hecho",I292="SIN-RESPALDO"),"SIN-R ","")&amp;IF(AND(E292="hecho",I292="CITA-X"),"CITA-X ","")&amp;IF(AND(E292="hecho",I292="SIN-CITA"),"SIN-C ","")))))</f>
        <v/>
      </c>
      <c r="N292" s="5">
        <f>IF(D292="","",IF(OR(A292="",B292="",E292="",F292=""),"falta qid, modo, tipo o vs_ref",IF(AND(B292="llm",I292&lt;&gt;""),"respaldo no aplica en modo LLM",IF(AND(E292="abstencion",I292&lt;&gt;""),"una abstención no se califica en citas",IF(AND(B292="rag",E292="hecho",I292=""),"falta respaldo","ok")))))</f>
        <v/>
      </c>
    </row>
    <row r="293">
      <c r="A293" s="6" t="n"/>
      <c r="B293" s="6" t="n"/>
      <c r="C293" s="5">
        <f>IF(A293="","",COUNTIFS($A$2:A293,A293,$B$2:B293,B293))</f>
        <v/>
      </c>
      <c r="D293" s="6" t="n"/>
      <c r="E293" s="6" t="n"/>
      <c r="F293" s="6" t="n"/>
      <c r="G293" s="6" t="n"/>
      <c r="H293" s="6" t="n"/>
      <c r="I293" s="6" t="n"/>
      <c r="J293" s="6" t="n"/>
      <c r="K293" s="6" t="n"/>
      <c r="L293" s="6" t="n"/>
      <c r="M293" s="5">
        <f>IF(D293="","",IF(OR(E293="",F293=""),"",IF(TRIM(IF(AND(E293="hecho",F293="INCORRECTA"),"INC ","")&amp;IF(AND(E293="abstencion",F293="INCORRECTA"),"ABS-E ","")&amp;IF(AND(E293="hecho",F293="FUERA_REF",H293="no_resp"),"NO-ABS ","")&amp;IF(AND(E293="hecho",I293="SIN-RESPALDO"),"SIN-R ","")&amp;IF(AND(E293="hecho",I293="CITA-X"),"CITA-X ","")&amp;IF(AND(E293="hecho",I293="SIN-CITA"),"SIN-C ",""))="","-",TRIM(IF(AND(E293="hecho",F293="INCORRECTA"),"INC ","")&amp;IF(AND(E293="abstencion",F293="INCORRECTA"),"ABS-E ","")&amp;IF(AND(E293="hecho",F293="FUERA_REF",H293="no_resp"),"NO-ABS ","")&amp;IF(AND(E293="hecho",I293="SIN-RESPALDO"),"SIN-R ","")&amp;IF(AND(E293="hecho",I293="CITA-X"),"CITA-X ","")&amp;IF(AND(E293="hecho",I293="SIN-CITA"),"SIN-C ","")))))</f>
        <v/>
      </c>
      <c r="N293" s="5">
        <f>IF(D293="","",IF(OR(A293="",B293="",E293="",F293=""),"falta qid, modo, tipo o vs_ref",IF(AND(B293="llm",I293&lt;&gt;""),"respaldo no aplica en modo LLM",IF(AND(E293="abstencion",I293&lt;&gt;""),"una abstención no se califica en citas",IF(AND(B293="rag",E293="hecho",I293=""),"falta respaldo","ok")))))</f>
        <v/>
      </c>
    </row>
    <row r="294">
      <c r="A294" s="6" t="n"/>
      <c r="B294" s="6" t="n"/>
      <c r="C294" s="5">
        <f>IF(A294="","",COUNTIFS($A$2:A294,A294,$B$2:B294,B294))</f>
        <v/>
      </c>
      <c r="D294" s="6" t="n"/>
      <c r="E294" s="6" t="n"/>
      <c r="F294" s="6" t="n"/>
      <c r="G294" s="6" t="n"/>
      <c r="H294" s="6" t="n"/>
      <c r="I294" s="6" t="n"/>
      <c r="J294" s="6" t="n"/>
      <c r="K294" s="6" t="n"/>
      <c r="L294" s="6" t="n"/>
      <c r="M294" s="5">
        <f>IF(D294="","",IF(OR(E294="",F294=""),"",IF(TRIM(IF(AND(E294="hecho",F294="INCORRECTA"),"INC ","")&amp;IF(AND(E294="abstencion",F294="INCORRECTA"),"ABS-E ","")&amp;IF(AND(E294="hecho",F294="FUERA_REF",H294="no_resp"),"NO-ABS ","")&amp;IF(AND(E294="hecho",I294="SIN-RESPALDO"),"SIN-R ","")&amp;IF(AND(E294="hecho",I294="CITA-X"),"CITA-X ","")&amp;IF(AND(E294="hecho",I294="SIN-CITA"),"SIN-C ",""))="","-",TRIM(IF(AND(E294="hecho",F294="INCORRECTA"),"INC ","")&amp;IF(AND(E294="abstencion",F294="INCORRECTA"),"ABS-E ","")&amp;IF(AND(E294="hecho",F294="FUERA_REF",H294="no_resp"),"NO-ABS ","")&amp;IF(AND(E294="hecho",I294="SIN-RESPALDO"),"SIN-R ","")&amp;IF(AND(E294="hecho",I294="CITA-X"),"CITA-X ","")&amp;IF(AND(E294="hecho",I294="SIN-CITA"),"SIN-C ","")))))</f>
        <v/>
      </c>
      <c r="N294" s="5">
        <f>IF(D294="","",IF(OR(A294="",B294="",E294="",F294=""),"falta qid, modo, tipo o vs_ref",IF(AND(B294="llm",I294&lt;&gt;""),"respaldo no aplica en modo LLM",IF(AND(E294="abstencion",I294&lt;&gt;""),"una abstención no se califica en citas",IF(AND(B294="rag",E294="hecho",I294=""),"falta respaldo","ok")))))</f>
        <v/>
      </c>
    </row>
    <row r="295">
      <c r="A295" s="6" t="n"/>
      <c r="B295" s="6" t="n"/>
      <c r="C295" s="5">
        <f>IF(A295="","",COUNTIFS($A$2:A295,A295,$B$2:B295,B295))</f>
        <v/>
      </c>
      <c r="D295" s="6" t="n"/>
      <c r="E295" s="6" t="n"/>
      <c r="F295" s="6" t="n"/>
      <c r="G295" s="6" t="n"/>
      <c r="H295" s="6" t="n"/>
      <c r="I295" s="6" t="n"/>
      <c r="J295" s="6" t="n"/>
      <c r="K295" s="6" t="n"/>
      <c r="L295" s="6" t="n"/>
      <c r="M295" s="5">
        <f>IF(D295="","",IF(OR(E295="",F295=""),"",IF(TRIM(IF(AND(E295="hecho",F295="INCORRECTA"),"INC ","")&amp;IF(AND(E295="abstencion",F295="INCORRECTA"),"ABS-E ","")&amp;IF(AND(E295="hecho",F295="FUERA_REF",H295="no_resp"),"NO-ABS ","")&amp;IF(AND(E295="hecho",I295="SIN-RESPALDO"),"SIN-R ","")&amp;IF(AND(E295="hecho",I295="CITA-X"),"CITA-X ","")&amp;IF(AND(E295="hecho",I295="SIN-CITA"),"SIN-C ",""))="","-",TRIM(IF(AND(E295="hecho",F295="INCORRECTA"),"INC ","")&amp;IF(AND(E295="abstencion",F295="INCORRECTA"),"ABS-E ","")&amp;IF(AND(E295="hecho",F295="FUERA_REF",H295="no_resp"),"NO-ABS ","")&amp;IF(AND(E295="hecho",I295="SIN-RESPALDO"),"SIN-R ","")&amp;IF(AND(E295="hecho",I295="CITA-X"),"CITA-X ","")&amp;IF(AND(E295="hecho",I295="SIN-CITA"),"SIN-C ","")))))</f>
        <v/>
      </c>
      <c r="N295" s="5">
        <f>IF(D295="","",IF(OR(A295="",B295="",E295="",F295=""),"falta qid, modo, tipo o vs_ref",IF(AND(B295="llm",I295&lt;&gt;""),"respaldo no aplica en modo LLM",IF(AND(E295="abstencion",I295&lt;&gt;""),"una abstención no se califica en citas",IF(AND(B295="rag",E295="hecho",I295=""),"falta respaldo","ok")))))</f>
        <v/>
      </c>
    </row>
    <row r="296">
      <c r="A296" s="6" t="n"/>
      <c r="B296" s="6" t="n"/>
      <c r="C296" s="5">
        <f>IF(A296="","",COUNTIFS($A$2:A296,A296,$B$2:B296,B296))</f>
        <v/>
      </c>
      <c r="D296" s="6" t="n"/>
      <c r="E296" s="6" t="n"/>
      <c r="F296" s="6" t="n"/>
      <c r="G296" s="6" t="n"/>
      <c r="H296" s="6" t="n"/>
      <c r="I296" s="6" t="n"/>
      <c r="J296" s="6" t="n"/>
      <c r="K296" s="6" t="n"/>
      <c r="L296" s="6" t="n"/>
      <c r="M296" s="5">
        <f>IF(D296="","",IF(OR(E296="",F296=""),"",IF(TRIM(IF(AND(E296="hecho",F296="INCORRECTA"),"INC ","")&amp;IF(AND(E296="abstencion",F296="INCORRECTA"),"ABS-E ","")&amp;IF(AND(E296="hecho",F296="FUERA_REF",H296="no_resp"),"NO-ABS ","")&amp;IF(AND(E296="hecho",I296="SIN-RESPALDO"),"SIN-R ","")&amp;IF(AND(E296="hecho",I296="CITA-X"),"CITA-X ","")&amp;IF(AND(E296="hecho",I296="SIN-CITA"),"SIN-C ",""))="","-",TRIM(IF(AND(E296="hecho",F296="INCORRECTA"),"INC ","")&amp;IF(AND(E296="abstencion",F296="INCORRECTA"),"ABS-E ","")&amp;IF(AND(E296="hecho",F296="FUERA_REF",H296="no_resp"),"NO-ABS ","")&amp;IF(AND(E296="hecho",I296="SIN-RESPALDO"),"SIN-R ","")&amp;IF(AND(E296="hecho",I296="CITA-X"),"CITA-X ","")&amp;IF(AND(E296="hecho",I296="SIN-CITA"),"SIN-C ","")))))</f>
        <v/>
      </c>
      <c r="N296" s="5">
        <f>IF(D296="","",IF(OR(A296="",B296="",E296="",F296=""),"falta qid, modo, tipo o vs_ref",IF(AND(B296="llm",I296&lt;&gt;""),"respaldo no aplica en modo LLM",IF(AND(E296="abstencion",I296&lt;&gt;""),"una abstención no se califica en citas",IF(AND(B296="rag",E296="hecho",I296=""),"falta respaldo","ok")))))</f>
        <v/>
      </c>
    </row>
    <row r="297">
      <c r="A297" s="6" t="n"/>
      <c r="B297" s="6" t="n"/>
      <c r="C297" s="5">
        <f>IF(A297="","",COUNTIFS($A$2:A297,A297,$B$2:B297,B297))</f>
        <v/>
      </c>
      <c r="D297" s="6" t="n"/>
      <c r="E297" s="6" t="n"/>
      <c r="F297" s="6" t="n"/>
      <c r="G297" s="6" t="n"/>
      <c r="H297" s="6" t="n"/>
      <c r="I297" s="6" t="n"/>
      <c r="J297" s="6" t="n"/>
      <c r="K297" s="6" t="n"/>
      <c r="L297" s="6" t="n"/>
      <c r="M297" s="5">
        <f>IF(D297="","",IF(OR(E297="",F297=""),"",IF(TRIM(IF(AND(E297="hecho",F297="INCORRECTA"),"INC ","")&amp;IF(AND(E297="abstencion",F297="INCORRECTA"),"ABS-E ","")&amp;IF(AND(E297="hecho",F297="FUERA_REF",H297="no_resp"),"NO-ABS ","")&amp;IF(AND(E297="hecho",I297="SIN-RESPALDO"),"SIN-R ","")&amp;IF(AND(E297="hecho",I297="CITA-X"),"CITA-X ","")&amp;IF(AND(E297="hecho",I297="SIN-CITA"),"SIN-C ",""))="","-",TRIM(IF(AND(E297="hecho",F297="INCORRECTA"),"INC ","")&amp;IF(AND(E297="abstencion",F297="INCORRECTA"),"ABS-E ","")&amp;IF(AND(E297="hecho",F297="FUERA_REF",H297="no_resp"),"NO-ABS ","")&amp;IF(AND(E297="hecho",I297="SIN-RESPALDO"),"SIN-R ","")&amp;IF(AND(E297="hecho",I297="CITA-X"),"CITA-X ","")&amp;IF(AND(E297="hecho",I297="SIN-CITA"),"SIN-C ","")))))</f>
        <v/>
      </c>
      <c r="N297" s="5">
        <f>IF(D297="","",IF(OR(A297="",B297="",E297="",F297=""),"falta qid, modo, tipo o vs_ref",IF(AND(B297="llm",I297&lt;&gt;""),"respaldo no aplica en modo LLM",IF(AND(E297="abstencion",I297&lt;&gt;""),"una abstención no se califica en citas",IF(AND(B297="rag",E297="hecho",I297=""),"falta respaldo","ok")))))</f>
        <v/>
      </c>
    </row>
    <row r="298">
      <c r="A298" s="6" t="n"/>
      <c r="B298" s="6" t="n"/>
      <c r="C298" s="5">
        <f>IF(A298="","",COUNTIFS($A$2:A298,A298,$B$2:B298,B298))</f>
        <v/>
      </c>
      <c r="D298" s="6" t="n"/>
      <c r="E298" s="6" t="n"/>
      <c r="F298" s="6" t="n"/>
      <c r="G298" s="6" t="n"/>
      <c r="H298" s="6" t="n"/>
      <c r="I298" s="6" t="n"/>
      <c r="J298" s="6" t="n"/>
      <c r="K298" s="6" t="n"/>
      <c r="L298" s="6" t="n"/>
      <c r="M298" s="5">
        <f>IF(D298="","",IF(OR(E298="",F298=""),"",IF(TRIM(IF(AND(E298="hecho",F298="INCORRECTA"),"INC ","")&amp;IF(AND(E298="abstencion",F298="INCORRECTA"),"ABS-E ","")&amp;IF(AND(E298="hecho",F298="FUERA_REF",H298="no_resp"),"NO-ABS ","")&amp;IF(AND(E298="hecho",I298="SIN-RESPALDO"),"SIN-R ","")&amp;IF(AND(E298="hecho",I298="CITA-X"),"CITA-X ","")&amp;IF(AND(E298="hecho",I298="SIN-CITA"),"SIN-C ",""))="","-",TRIM(IF(AND(E298="hecho",F298="INCORRECTA"),"INC ","")&amp;IF(AND(E298="abstencion",F298="INCORRECTA"),"ABS-E ","")&amp;IF(AND(E298="hecho",F298="FUERA_REF",H298="no_resp"),"NO-ABS ","")&amp;IF(AND(E298="hecho",I298="SIN-RESPALDO"),"SIN-R ","")&amp;IF(AND(E298="hecho",I298="CITA-X"),"CITA-X ","")&amp;IF(AND(E298="hecho",I298="SIN-CITA"),"SIN-C ","")))))</f>
        <v/>
      </c>
      <c r="N298" s="5">
        <f>IF(D298="","",IF(OR(A298="",B298="",E298="",F298=""),"falta qid, modo, tipo o vs_ref",IF(AND(B298="llm",I298&lt;&gt;""),"respaldo no aplica en modo LLM",IF(AND(E298="abstencion",I298&lt;&gt;""),"una abstención no se califica en citas",IF(AND(B298="rag",E298="hecho",I298=""),"falta respaldo","ok")))))</f>
        <v/>
      </c>
    </row>
    <row r="299">
      <c r="A299" s="6" t="n"/>
      <c r="B299" s="6" t="n"/>
      <c r="C299" s="5">
        <f>IF(A299="","",COUNTIFS($A$2:A299,A299,$B$2:B299,B299))</f>
        <v/>
      </c>
      <c r="D299" s="6" t="n"/>
      <c r="E299" s="6" t="n"/>
      <c r="F299" s="6" t="n"/>
      <c r="G299" s="6" t="n"/>
      <c r="H299" s="6" t="n"/>
      <c r="I299" s="6" t="n"/>
      <c r="J299" s="6" t="n"/>
      <c r="K299" s="6" t="n"/>
      <c r="L299" s="6" t="n"/>
      <c r="M299" s="5">
        <f>IF(D299="","",IF(OR(E299="",F299=""),"",IF(TRIM(IF(AND(E299="hecho",F299="INCORRECTA"),"INC ","")&amp;IF(AND(E299="abstencion",F299="INCORRECTA"),"ABS-E ","")&amp;IF(AND(E299="hecho",F299="FUERA_REF",H299="no_resp"),"NO-ABS ","")&amp;IF(AND(E299="hecho",I299="SIN-RESPALDO"),"SIN-R ","")&amp;IF(AND(E299="hecho",I299="CITA-X"),"CITA-X ","")&amp;IF(AND(E299="hecho",I299="SIN-CITA"),"SIN-C ",""))="","-",TRIM(IF(AND(E299="hecho",F299="INCORRECTA"),"INC ","")&amp;IF(AND(E299="abstencion",F299="INCORRECTA"),"ABS-E ","")&amp;IF(AND(E299="hecho",F299="FUERA_REF",H299="no_resp"),"NO-ABS ","")&amp;IF(AND(E299="hecho",I299="SIN-RESPALDO"),"SIN-R ","")&amp;IF(AND(E299="hecho",I299="CITA-X"),"CITA-X ","")&amp;IF(AND(E299="hecho",I299="SIN-CITA"),"SIN-C ","")))))</f>
        <v/>
      </c>
      <c r="N299" s="5">
        <f>IF(D299="","",IF(OR(A299="",B299="",E299="",F299=""),"falta qid, modo, tipo o vs_ref",IF(AND(B299="llm",I299&lt;&gt;""),"respaldo no aplica en modo LLM",IF(AND(E299="abstencion",I299&lt;&gt;""),"una abstención no se califica en citas",IF(AND(B299="rag",E299="hecho",I299=""),"falta respaldo","ok")))))</f>
        <v/>
      </c>
    </row>
    <row r="300">
      <c r="A300" s="6" t="n"/>
      <c r="B300" s="6" t="n"/>
      <c r="C300" s="5">
        <f>IF(A300="","",COUNTIFS($A$2:A300,A300,$B$2:B300,B300))</f>
        <v/>
      </c>
      <c r="D300" s="6" t="n"/>
      <c r="E300" s="6" t="n"/>
      <c r="F300" s="6" t="n"/>
      <c r="G300" s="6" t="n"/>
      <c r="H300" s="6" t="n"/>
      <c r="I300" s="6" t="n"/>
      <c r="J300" s="6" t="n"/>
      <c r="K300" s="6" t="n"/>
      <c r="L300" s="6" t="n"/>
      <c r="M300" s="5">
        <f>IF(D300="","",IF(OR(E300="",F300=""),"",IF(TRIM(IF(AND(E300="hecho",F300="INCORRECTA"),"INC ","")&amp;IF(AND(E300="abstencion",F300="INCORRECTA"),"ABS-E ","")&amp;IF(AND(E300="hecho",F300="FUERA_REF",H300="no_resp"),"NO-ABS ","")&amp;IF(AND(E300="hecho",I300="SIN-RESPALDO"),"SIN-R ","")&amp;IF(AND(E300="hecho",I300="CITA-X"),"CITA-X ","")&amp;IF(AND(E300="hecho",I300="SIN-CITA"),"SIN-C ",""))="","-",TRIM(IF(AND(E300="hecho",F300="INCORRECTA"),"INC ","")&amp;IF(AND(E300="abstencion",F300="INCORRECTA"),"ABS-E ","")&amp;IF(AND(E300="hecho",F300="FUERA_REF",H300="no_resp"),"NO-ABS ","")&amp;IF(AND(E300="hecho",I300="SIN-RESPALDO"),"SIN-R ","")&amp;IF(AND(E300="hecho",I300="CITA-X"),"CITA-X ","")&amp;IF(AND(E300="hecho",I300="SIN-CITA"),"SIN-C ","")))))</f>
        <v/>
      </c>
      <c r="N300" s="5">
        <f>IF(D300="","",IF(OR(A300="",B300="",E300="",F300=""),"falta qid, modo, tipo o vs_ref",IF(AND(B300="llm",I300&lt;&gt;""),"respaldo no aplica en modo LLM",IF(AND(E300="abstencion",I300&lt;&gt;""),"una abstención no se califica en citas",IF(AND(B300="rag",E300="hecho",I300=""),"falta respaldo","ok")))))</f>
        <v/>
      </c>
    </row>
    <row r="301">
      <c r="A301" s="6" t="n"/>
      <c r="B301" s="6" t="n"/>
      <c r="C301" s="5">
        <f>IF(A301="","",COUNTIFS($A$2:A301,A301,$B$2:B301,B301))</f>
        <v/>
      </c>
      <c r="D301" s="6" t="n"/>
      <c r="E301" s="6" t="n"/>
      <c r="F301" s="6" t="n"/>
      <c r="G301" s="6" t="n"/>
      <c r="H301" s="6" t="n"/>
      <c r="I301" s="6" t="n"/>
      <c r="J301" s="6" t="n"/>
      <c r="K301" s="6" t="n"/>
      <c r="L301" s="6" t="n"/>
      <c r="M301" s="5">
        <f>IF(D301="","",IF(OR(E301="",F301=""),"",IF(TRIM(IF(AND(E301="hecho",F301="INCORRECTA"),"INC ","")&amp;IF(AND(E301="abstencion",F301="INCORRECTA"),"ABS-E ","")&amp;IF(AND(E301="hecho",F301="FUERA_REF",H301="no_resp"),"NO-ABS ","")&amp;IF(AND(E301="hecho",I301="SIN-RESPALDO"),"SIN-R ","")&amp;IF(AND(E301="hecho",I301="CITA-X"),"CITA-X ","")&amp;IF(AND(E301="hecho",I301="SIN-CITA"),"SIN-C ",""))="","-",TRIM(IF(AND(E301="hecho",F301="INCORRECTA"),"INC ","")&amp;IF(AND(E301="abstencion",F301="INCORRECTA"),"ABS-E ","")&amp;IF(AND(E301="hecho",F301="FUERA_REF",H301="no_resp"),"NO-ABS ","")&amp;IF(AND(E301="hecho",I301="SIN-RESPALDO"),"SIN-R ","")&amp;IF(AND(E301="hecho",I301="CITA-X"),"CITA-X ","")&amp;IF(AND(E301="hecho",I301="SIN-CITA"),"SIN-C ","")))))</f>
        <v/>
      </c>
      <c r="N301" s="5">
        <f>IF(D301="","",IF(OR(A301="",B301="",E301="",F301=""),"falta qid, modo, tipo o vs_ref",IF(AND(B301="llm",I301&lt;&gt;""),"respaldo no aplica en modo LLM",IF(AND(E301="abstencion",I301&lt;&gt;""),"una abstención no se califica en citas",IF(AND(B301="rag",E301="hecho",I301=""),"falta respaldo","ok")))))</f>
        <v/>
      </c>
    </row>
    <row r="302">
      <c r="A302" s="6" t="n"/>
      <c r="B302" s="6" t="n"/>
      <c r="C302" s="5">
        <f>IF(A302="","",COUNTIFS($A$2:A302,A302,$B$2:B302,B302))</f>
        <v/>
      </c>
      <c r="D302" s="6" t="n"/>
      <c r="E302" s="6" t="n"/>
      <c r="F302" s="6" t="n"/>
      <c r="G302" s="6" t="n"/>
      <c r="H302" s="6" t="n"/>
      <c r="I302" s="6" t="n"/>
      <c r="J302" s="6" t="n"/>
      <c r="K302" s="6" t="n"/>
      <c r="L302" s="6" t="n"/>
      <c r="M302" s="5">
        <f>IF(D302="","",IF(OR(E302="",F302=""),"",IF(TRIM(IF(AND(E302="hecho",F302="INCORRECTA"),"INC ","")&amp;IF(AND(E302="abstencion",F302="INCORRECTA"),"ABS-E ","")&amp;IF(AND(E302="hecho",F302="FUERA_REF",H302="no_resp"),"NO-ABS ","")&amp;IF(AND(E302="hecho",I302="SIN-RESPALDO"),"SIN-R ","")&amp;IF(AND(E302="hecho",I302="CITA-X"),"CITA-X ","")&amp;IF(AND(E302="hecho",I302="SIN-CITA"),"SIN-C ",""))="","-",TRIM(IF(AND(E302="hecho",F302="INCORRECTA"),"INC ","")&amp;IF(AND(E302="abstencion",F302="INCORRECTA"),"ABS-E ","")&amp;IF(AND(E302="hecho",F302="FUERA_REF",H302="no_resp"),"NO-ABS ","")&amp;IF(AND(E302="hecho",I302="SIN-RESPALDO"),"SIN-R ","")&amp;IF(AND(E302="hecho",I302="CITA-X"),"CITA-X ","")&amp;IF(AND(E302="hecho",I302="SIN-CITA"),"SIN-C ","")))))</f>
        <v/>
      </c>
      <c r="N302" s="5">
        <f>IF(D302="","",IF(OR(A302="",B302="",E302="",F302=""),"falta qid, modo, tipo o vs_ref",IF(AND(B302="llm",I302&lt;&gt;""),"respaldo no aplica en modo LLM",IF(AND(E302="abstencion",I302&lt;&gt;""),"una abstención no se califica en citas",IF(AND(B302="rag",E302="hecho",I302=""),"falta respaldo","ok")))))</f>
        <v/>
      </c>
    </row>
    <row r="303">
      <c r="A303" s="6" t="n"/>
      <c r="B303" s="6" t="n"/>
      <c r="C303" s="5">
        <f>IF(A303="","",COUNTIFS($A$2:A303,A303,$B$2:B303,B303))</f>
        <v/>
      </c>
      <c r="D303" s="6" t="n"/>
      <c r="E303" s="6" t="n"/>
      <c r="F303" s="6" t="n"/>
      <c r="G303" s="6" t="n"/>
      <c r="H303" s="6" t="n"/>
      <c r="I303" s="6" t="n"/>
      <c r="J303" s="6" t="n"/>
      <c r="K303" s="6" t="n"/>
      <c r="L303" s="6" t="n"/>
      <c r="M303" s="5">
        <f>IF(D303="","",IF(OR(E303="",F303=""),"",IF(TRIM(IF(AND(E303="hecho",F303="INCORRECTA"),"INC ","")&amp;IF(AND(E303="abstencion",F303="INCORRECTA"),"ABS-E ","")&amp;IF(AND(E303="hecho",F303="FUERA_REF",H303="no_resp"),"NO-ABS ","")&amp;IF(AND(E303="hecho",I303="SIN-RESPALDO"),"SIN-R ","")&amp;IF(AND(E303="hecho",I303="CITA-X"),"CITA-X ","")&amp;IF(AND(E303="hecho",I303="SIN-CITA"),"SIN-C ",""))="","-",TRIM(IF(AND(E303="hecho",F303="INCORRECTA"),"INC ","")&amp;IF(AND(E303="abstencion",F303="INCORRECTA"),"ABS-E ","")&amp;IF(AND(E303="hecho",F303="FUERA_REF",H303="no_resp"),"NO-ABS ","")&amp;IF(AND(E303="hecho",I303="SIN-RESPALDO"),"SIN-R ","")&amp;IF(AND(E303="hecho",I303="CITA-X"),"CITA-X ","")&amp;IF(AND(E303="hecho",I303="SIN-CITA"),"SIN-C ","")))))</f>
        <v/>
      </c>
      <c r="N303" s="5">
        <f>IF(D303="","",IF(OR(A303="",B303="",E303="",F303=""),"falta qid, modo, tipo o vs_ref",IF(AND(B303="llm",I303&lt;&gt;""),"respaldo no aplica en modo LLM",IF(AND(E303="abstencion",I303&lt;&gt;""),"una abstención no se califica en citas",IF(AND(B303="rag",E303="hecho",I303=""),"falta respaldo","ok")))))</f>
        <v/>
      </c>
    </row>
    <row r="304">
      <c r="A304" s="6" t="n"/>
      <c r="B304" s="6" t="n"/>
      <c r="C304" s="5">
        <f>IF(A304="","",COUNTIFS($A$2:A304,A304,$B$2:B304,B304))</f>
        <v/>
      </c>
      <c r="D304" s="6" t="n"/>
      <c r="E304" s="6" t="n"/>
      <c r="F304" s="6" t="n"/>
      <c r="G304" s="6" t="n"/>
      <c r="H304" s="6" t="n"/>
      <c r="I304" s="6" t="n"/>
      <c r="J304" s="6" t="n"/>
      <c r="K304" s="6" t="n"/>
      <c r="L304" s="6" t="n"/>
      <c r="M304" s="5">
        <f>IF(D304="","",IF(OR(E304="",F304=""),"",IF(TRIM(IF(AND(E304="hecho",F304="INCORRECTA"),"INC ","")&amp;IF(AND(E304="abstencion",F304="INCORRECTA"),"ABS-E ","")&amp;IF(AND(E304="hecho",F304="FUERA_REF",H304="no_resp"),"NO-ABS ","")&amp;IF(AND(E304="hecho",I304="SIN-RESPALDO"),"SIN-R ","")&amp;IF(AND(E304="hecho",I304="CITA-X"),"CITA-X ","")&amp;IF(AND(E304="hecho",I304="SIN-CITA"),"SIN-C ",""))="","-",TRIM(IF(AND(E304="hecho",F304="INCORRECTA"),"INC ","")&amp;IF(AND(E304="abstencion",F304="INCORRECTA"),"ABS-E ","")&amp;IF(AND(E304="hecho",F304="FUERA_REF",H304="no_resp"),"NO-ABS ","")&amp;IF(AND(E304="hecho",I304="SIN-RESPALDO"),"SIN-R ","")&amp;IF(AND(E304="hecho",I304="CITA-X"),"CITA-X ","")&amp;IF(AND(E304="hecho",I304="SIN-CITA"),"SIN-C ","")))))</f>
        <v/>
      </c>
      <c r="N304" s="5">
        <f>IF(D304="","",IF(OR(A304="",B304="",E304="",F304=""),"falta qid, modo, tipo o vs_ref",IF(AND(B304="llm",I304&lt;&gt;""),"respaldo no aplica en modo LLM",IF(AND(E304="abstencion",I304&lt;&gt;""),"una abstención no se califica en citas",IF(AND(B304="rag",E304="hecho",I304=""),"falta respaldo","ok")))))</f>
        <v/>
      </c>
    </row>
    <row r="305">
      <c r="A305" s="6" t="n"/>
      <c r="B305" s="6" t="n"/>
      <c r="C305" s="5">
        <f>IF(A305="","",COUNTIFS($A$2:A305,A305,$B$2:B305,B305))</f>
        <v/>
      </c>
      <c r="D305" s="6" t="n"/>
      <c r="E305" s="6" t="n"/>
      <c r="F305" s="6" t="n"/>
      <c r="G305" s="6" t="n"/>
      <c r="H305" s="6" t="n"/>
      <c r="I305" s="6" t="n"/>
      <c r="J305" s="6" t="n"/>
      <c r="K305" s="6" t="n"/>
      <c r="L305" s="6" t="n"/>
      <c r="M305" s="5">
        <f>IF(D305="","",IF(OR(E305="",F305=""),"",IF(TRIM(IF(AND(E305="hecho",F305="INCORRECTA"),"INC ","")&amp;IF(AND(E305="abstencion",F305="INCORRECTA"),"ABS-E ","")&amp;IF(AND(E305="hecho",F305="FUERA_REF",H305="no_resp"),"NO-ABS ","")&amp;IF(AND(E305="hecho",I305="SIN-RESPALDO"),"SIN-R ","")&amp;IF(AND(E305="hecho",I305="CITA-X"),"CITA-X ","")&amp;IF(AND(E305="hecho",I305="SIN-CITA"),"SIN-C ",""))="","-",TRIM(IF(AND(E305="hecho",F305="INCORRECTA"),"INC ","")&amp;IF(AND(E305="abstencion",F305="INCORRECTA"),"ABS-E ","")&amp;IF(AND(E305="hecho",F305="FUERA_REF",H305="no_resp"),"NO-ABS ","")&amp;IF(AND(E305="hecho",I305="SIN-RESPALDO"),"SIN-R ","")&amp;IF(AND(E305="hecho",I305="CITA-X"),"CITA-X ","")&amp;IF(AND(E305="hecho",I305="SIN-CITA"),"SIN-C ","")))))</f>
        <v/>
      </c>
      <c r="N305" s="5">
        <f>IF(D305="","",IF(OR(A305="",B305="",E305="",F305=""),"falta qid, modo, tipo o vs_ref",IF(AND(B305="llm",I305&lt;&gt;""),"respaldo no aplica en modo LLM",IF(AND(E305="abstencion",I305&lt;&gt;""),"una abstención no se califica en citas",IF(AND(B305="rag",E305="hecho",I305=""),"falta respaldo","ok")))))</f>
        <v/>
      </c>
    </row>
    <row r="306">
      <c r="A306" s="6" t="n"/>
      <c r="B306" s="6" t="n"/>
      <c r="C306" s="5">
        <f>IF(A306="","",COUNTIFS($A$2:A306,A306,$B$2:B306,B306))</f>
        <v/>
      </c>
      <c r="D306" s="6" t="n"/>
      <c r="E306" s="6" t="n"/>
      <c r="F306" s="6" t="n"/>
      <c r="G306" s="6" t="n"/>
      <c r="H306" s="6" t="n"/>
      <c r="I306" s="6" t="n"/>
      <c r="J306" s="6" t="n"/>
      <c r="K306" s="6" t="n"/>
      <c r="L306" s="6" t="n"/>
      <c r="M306" s="5">
        <f>IF(D306="","",IF(OR(E306="",F306=""),"",IF(TRIM(IF(AND(E306="hecho",F306="INCORRECTA"),"INC ","")&amp;IF(AND(E306="abstencion",F306="INCORRECTA"),"ABS-E ","")&amp;IF(AND(E306="hecho",F306="FUERA_REF",H306="no_resp"),"NO-ABS ","")&amp;IF(AND(E306="hecho",I306="SIN-RESPALDO"),"SIN-R ","")&amp;IF(AND(E306="hecho",I306="CITA-X"),"CITA-X ","")&amp;IF(AND(E306="hecho",I306="SIN-CITA"),"SIN-C ",""))="","-",TRIM(IF(AND(E306="hecho",F306="INCORRECTA"),"INC ","")&amp;IF(AND(E306="abstencion",F306="INCORRECTA"),"ABS-E ","")&amp;IF(AND(E306="hecho",F306="FUERA_REF",H306="no_resp"),"NO-ABS ","")&amp;IF(AND(E306="hecho",I306="SIN-RESPALDO"),"SIN-R ","")&amp;IF(AND(E306="hecho",I306="CITA-X"),"CITA-X ","")&amp;IF(AND(E306="hecho",I306="SIN-CITA"),"SIN-C ","")))))</f>
        <v/>
      </c>
      <c r="N306" s="5">
        <f>IF(D306="","",IF(OR(A306="",B306="",E306="",F306=""),"falta qid, modo, tipo o vs_ref",IF(AND(B306="llm",I306&lt;&gt;""),"respaldo no aplica en modo LLM",IF(AND(E306="abstencion",I306&lt;&gt;""),"una abstención no se califica en citas",IF(AND(B306="rag",E306="hecho",I306=""),"falta respaldo","ok")))))</f>
        <v/>
      </c>
    </row>
    <row r="307">
      <c r="A307" s="6" t="n"/>
      <c r="B307" s="6" t="n"/>
      <c r="C307" s="5">
        <f>IF(A307="","",COUNTIFS($A$2:A307,A307,$B$2:B307,B307))</f>
        <v/>
      </c>
      <c r="D307" s="6" t="n"/>
      <c r="E307" s="6" t="n"/>
      <c r="F307" s="6" t="n"/>
      <c r="G307" s="6" t="n"/>
      <c r="H307" s="6" t="n"/>
      <c r="I307" s="6" t="n"/>
      <c r="J307" s="6" t="n"/>
      <c r="K307" s="6" t="n"/>
      <c r="L307" s="6" t="n"/>
      <c r="M307" s="5">
        <f>IF(D307="","",IF(OR(E307="",F307=""),"",IF(TRIM(IF(AND(E307="hecho",F307="INCORRECTA"),"INC ","")&amp;IF(AND(E307="abstencion",F307="INCORRECTA"),"ABS-E ","")&amp;IF(AND(E307="hecho",F307="FUERA_REF",H307="no_resp"),"NO-ABS ","")&amp;IF(AND(E307="hecho",I307="SIN-RESPALDO"),"SIN-R ","")&amp;IF(AND(E307="hecho",I307="CITA-X"),"CITA-X ","")&amp;IF(AND(E307="hecho",I307="SIN-CITA"),"SIN-C ",""))="","-",TRIM(IF(AND(E307="hecho",F307="INCORRECTA"),"INC ","")&amp;IF(AND(E307="abstencion",F307="INCORRECTA"),"ABS-E ","")&amp;IF(AND(E307="hecho",F307="FUERA_REF",H307="no_resp"),"NO-ABS ","")&amp;IF(AND(E307="hecho",I307="SIN-RESPALDO"),"SIN-R ","")&amp;IF(AND(E307="hecho",I307="CITA-X"),"CITA-X ","")&amp;IF(AND(E307="hecho",I307="SIN-CITA"),"SIN-C ","")))))</f>
        <v/>
      </c>
      <c r="N307" s="5">
        <f>IF(D307="","",IF(OR(A307="",B307="",E307="",F307=""),"falta qid, modo, tipo o vs_ref",IF(AND(B307="llm",I307&lt;&gt;""),"respaldo no aplica en modo LLM",IF(AND(E307="abstencion",I307&lt;&gt;""),"una abstención no se califica en citas",IF(AND(B307="rag",E307="hecho",I307=""),"falta respaldo","ok")))))</f>
        <v/>
      </c>
    </row>
    <row r="308">
      <c r="A308" s="6" t="n"/>
      <c r="B308" s="6" t="n"/>
      <c r="C308" s="5">
        <f>IF(A308="","",COUNTIFS($A$2:A308,A308,$B$2:B308,B308))</f>
        <v/>
      </c>
      <c r="D308" s="6" t="n"/>
      <c r="E308" s="6" t="n"/>
      <c r="F308" s="6" t="n"/>
      <c r="G308" s="6" t="n"/>
      <c r="H308" s="6" t="n"/>
      <c r="I308" s="6" t="n"/>
      <c r="J308" s="6" t="n"/>
      <c r="K308" s="6" t="n"/>
      <c r="L308" s="6" t="n"/>
      <c r="M308" s="5">
        <f>IF(D308="","",IF(OR(E308="",F308=""),"",IF(TRIM(IF(AND(E308="hecho",F308="INCORRECTA"),"INC ","")&amp;IF(AND(E308="abstencion",F308="INCORRECTA"),"ABS-E ","")&amp;IF(AND(E308="hecho",F308="FUERA_REF",H308="no_resp"),"NO-ABS ","")&amp;IF(AND(E308="hecho",I308="SIN-RESPALDO"),"SIN-R ","")&amp;IF(AND(E308="hecho",I308="CITA-X"),"CITA-X ","")&amp;IF(AND(E308="hecho",I308="SIN-CITA"),"SIN-C ",""))="","-",TRIM(IF(AND(E308="hecho",F308="INCORRECTA"),"INC ","")&amp;IF(AND(E308="abstencion",F308="INCORRECTA"),"ABS-E ","")&amp;IF(AND(E308="hecho",F308="FUERA_REF",H308="no_resp"),"NO-ABS ","")&amp;IF(AND(E308="hecho",I308="SIN-RESPALDO"),"SIN-R ","")&amp;IF(AND(E308="hecho",I308="CITA-X"),"CITA-X ","")&amp;IF(AND(E308="hecho",I308="SIN-CITA"),"SIN-C ","")))))</f>
        <v/>
      </c>
      <c r="N308" s="5">
        <f>IF(D308="","",IF(OR(A308="",B308="",E308="",F308=""),"falta qid, modo, tipo o vs_ref",IF(AND(B308="llm",I308&lt;&gt;""),"respaldo no aplica en modo LLM",IF(AND(E308="abstencion",I308&lt;&gt;""),"una abstención no se califica en citas",IF(AND(B308="rag",E308="hecho",I308=""),"falta respaldo","ok")))))</f>
        <v/>
      </c>
    </row>
    <row r="309">
      <c r="A309" s="6" t="n"/>
      <c r="B309" s="6" t="n"/>
      <c r="C309" s="5">
        <f>IF(A309="","",COUNTIFS($A$2:A309,A309,$B$2:B309,B309))</f>
        <v/>
      </c>
      <c r="D309" s="6" t="n"/>
      <c r="E309" s="6" t="n"/>
      <c r="F309" s="6" t="n"/>
      <c r="G309" s="6" t="n"/>
      <c r="H309" s="6" t="n"/>
      <c r="I309" s="6" t="n"/>
      <c r="J309" s="6" t="n"/>
      <c r="K309" s="6" t="n"/>
      <c r="L309" s="6" t="n"/>
      <c r="M309" s="5">
        <f>IF(D309="","",IF(OR(E309="",F309=""),"",IF(TRIM(IF(AND(E309="hecho",F309="INCORRECTA"),"INC ","")&amp;IF(AND(E309="abstencion",F309="INCORRECTA"),"ABS-E ","")&amp;IF(AND(E309="hecho",F309="FUERA_REF",H309="no_resp"),"NO-ABS ","")&amp;IF(AND(E309="hecho",I309="SIN-RESPALDO"),"SIN-R ","")&amp;IF(AND(E309="hecho",I309="CITA-X"),"CITA-X ","")&amp;IF(AND(E309="hecho",I309="SIN-CITA"),"SIN-C ",""))="","-",TRIM(IF(AND(E309="hecho",F309="INCORRECTA"),"INC ","")&amp;IF(AND(E309="abstencion",F309="INCORRECTA"),"ABS-E ","")&amp;IF(AND(E309="hecho",F309="FUERA_REF",H309="no_resp"),"NO-ABS ","")&amp;IF(AND(E309="hecho",I309="SIN-RESPALDO"),"SIN-R ","")&amp;IF(AND(E309="hecho",I309="CITA-X"),"CITA-X ","")&amp;IF(AND(E309="hecho",I309="SIN-CITA"),"SIN-C ","")))))</f>
        <v/>
      </c>
      <c r="N309" s="5">
        <f>IF(D309="","",IF(OR(A309="",B309="",E309="",F309=""),"falta qid, modo, tipo o vs_ref",IF(AND(B309="llm",I309&lt;&gt;""),"respaldo no aplica en modo LLM",IF(AND(E309="abstencion",I309&lt;&gt;""),"una abstención no se califica en citas",IF(AND(B309="rag",E309="hecho",I309=""),"falta respaldo","ok")))))</f>
        <v/>
      </c>
    </row>
    <row r="310">
      <c r="A310" s="6" t="n"/>
      <c r="B310" s="6" t="n"/>
      <c r="C310" s="5">
        <f>IF(A310="","",COUNTIFS($A$2:A310,A310,$B$2:B310,B310))</f>
        <v/>
      </c>
      <c r="D310" s="6" t="n"/>
      <c r="E310" s="6" t="n"/>
      <c r="F310" s="6" t="n"/>
      <c r="G310" s="6" t="n"/>
      <c r="H310" s="6" t="n"/>
      <c r="I310" s="6" t="n"/>
      <c r="J310" s="6" t="n"/>
      <c r="K310" s="6" t="n"/>
      <c r="L310" s="6" t="n"/>
      <c r="M310" s="5">
        <f>IF(D310="","",IF(OR(E310="",F310=""),"",IF(TRIM(IF(AND(E310="hecho",F310="INCORRECTA"),"INC ","")&amp;IF(AND(E310="abstencion",F310="INCORRECTA"),"ABS-E ","")&amp;IF(AND(E310="hecho",F310="FUERA_REF",H310="no_resp"),"NO-ABS ","")&amp;IF(AND(E310="hecho",I310="SIN-RESPALDO"),"SIN-R ","")&amp;IF(AND(E310="hecho",I310="CITA-X"),"CITA-X ","")&amp;IF(AND(E310="hecho",I310="SIN-CITA"),"SIN-C ",""))="","-",TRIM(IF(AND(E310="hecho",F310="INCORRECTA"),"INC ","")&amp;IF(AND(E310="abstencion",F310="INCORRECTA"),"ABS-E ","")&amp;IF(AND(E310="hecho",F310="FUERA_REF",H310="no_resp"),"NO-ABS ","")&amp;IF(AND(E310="hecho",I310="SIN-RESPALDO"),"SIN-R ","")&amp;IF(AND(E310="hecho",I310="CITA-X"),"CITA-X ","")&amp;IF(AND(E310="hecho",I310="SIN-CITA"),"SIN-C ","")))))</f>
        <v/>
      </c>
      <c r="N310" s="5">
        <f>IF(D310="","",IF(OR(A310="",B310="",E310="",F310=""),"falta qid, modo, tipo o vs_ref",IF(AND(B310="llm",I310&lt;&gt;""),"respaldo no aplica en modo LLM",IF(AND(E310="abstencion",I310&lt;&gt;""),"una abstención no se califica en citas",IF(AND(B310="rag",E310="hecho",I310=""),"falta respaldo","ok")))))</f>
        <v/>
      </c>
    </row>
    <row r="311">
      <c r="A311" s="6" t="n"/>
      <c r="B311" s="6" t="n"/>
      <c r="C311" s="5">
        <f>IF(A311="","",COUNTIFS($A$2:A311,A311,$B$2:B311,B311))</f>
        <v/>
      </c>
      <c r="D311" s="6" t="n"/>
      <c r="E311" s="6" t="n"/>
      <c r="F311" s="6" t="n"/>
      <c r="G311" s="6" t="n"/>
      <c r="H311" s="6" t="n"/>
      <c r="I311" s="6" t="n"/>
      <c r="J311" s="6" t="n"/>
      <c r="K311" s="6" t="n"/>
      <c r="L311" s="6" t="n"/>
      <c r="M311" s="5">
        <f>IF(D311="","",IF(OR(E311="",F311=""),"",IF(TRIM(IF(AND(E311="hecho",F311="INCORRECTA"),"INC ","")&amp;IF(AND(E311="abstencion",F311="INCORRECTA"),"ABS-E ","")&amp;IF(AND(E311="hecho",F311="FUERA_REF",H311="no_resp"),"NO-ABS ","")&amp;IF(AND(E311="hecho",I311="SIN-RESPALDO"),"SIN-R ","")&amp;IF(AND(E311="hecho",I311="CITA-X"),"CITA-X ","")&amp;IF(AND(E311="hecho",I311="SIN-CITA"),"SIN-C ",""))="","-",TRIM(IF(AND(E311="hecho",F311="INCORRECTA"),"INC ","")&amp;IF(AND(E311="abstencion",F311="INCORRECTA"),"ABS-E ","")&amp;IF(AND(E311="hecho",F311="FUERA_REF",H311="no_resp"),"NO-ABS ","")&amp;IF(AND(E311="hecho",I311="SIN-RESPALDO"),"SIN-R ","")&amp;IF(AND(E311="hecho",I311="CITA-X"),"CITA-X ","")&amp;IF(AND(E311="hecho",I311="SIN-CITA"),"SIN-C ","")))))</f>
        <v/>
      </c>
      <c r="N311" s="5">
        <f>IF(D311="","",IF(OR(A311="",B311="",E311="",F311=""),"falta qid, modo, tipo o vs_ref",IF(AND(B311="llm",I311&lt;&gt;""),"respaldo no aplica en modo LLM",IF(AND(E311="abstencion",I311&lt;&gt;""),"una abstención no se califica en citas",IF(AND(B311="rag",E311="hecho",I311=""),"falta respaldo","ok")))))</f>
        <v/>
      </c>
    </row>
    <row r="312">
      <c r="A312" s="6" t="n"/>
      <c r="B312" s="6" t="n"/>
      <c r="C312" s="5">
        <f>IF(A312="","",COUNTIFS($A$2:A312,A312,$B$2:B312,B312))</f>
        <v/>
      </c>
      <c r="D312" s="6" t="n"/>
      <c r="E312" s="6" t="n"/>
      <c r="F312" s="6" t="n"/>
      <c r="G312" s="6" t="n"/>
      <c r="H312" s="6" t="n"/>
      <c r="I312" s="6" t="n"/>
      <c r="J312" s="6" t="n"/>
      <c r="K312" s="6" t="n"/>
      <c r="L312" s="6" t="n"/>
      <c r="M312" s="5">
        <f>IF(D312="","",IF(OR(E312="",F312=""),"",IF(TRIM(IF(AND(E312="hecho",F312="INCORRECTA"),"INC ","")&amp;IF(AND(E312="abstencion",F312="INCORRECTA"),"ABS-E ","")&amp;IF(AND(E312="hecho",F312="FUERA_REF",H312="no_resp"),"NO-ABS ","")&amp;IF(AND(E312="hecho",I312="SIN-RESPALDO"),"SIN-R ","")&amp;IF(AND(E312="hecho",I312="CITA-X"),"CITA-X ","")&amp;IF(AND(E312="hecho",I312="SIN-CITA"),"SIN-C ",""))="","-",TRIM(IF(AND(E312="hecho",F312="INCORRECTA"),"INC ","")&amp;IF(AND(E312="abstencion",F312="INCORRECTA"),"ABS-E ","")&amp;IF(AND(E312="hecho",F312="FUERA_REF",H312="no_resp"),"NO-ABS ","")&amp;IF(AND(E312="hecho",I312="SIN-RESPALDO"),"SIN-R ","")&amp;IF(AND(E312="hecho",I312="CITA-X"),"CITA-X ","")&amp;IF(AND(E312="hecho",I312="SIN-CITA"),"SIN-C ","")))))</f>
        <v/>
      </c>
      <c r="N312" s="5">
        <f>IF(D312="","",IF(OR(A312="",B312="",E312="",F312=""),"falta qid, modo, tipo o vs_ref",IF(AND(B312="llm",I312&lt;&gt;""),"respaldo no aplica en modo LLM",IF(AND(E312="abstencion",I312&lt;&gt;""),"una abstención no se califica en citas",IF(AND(B312="rag",E312="hecho",I312=""),"falta respaldo","ok")))))</f>
        <v/>
      </c>
    </row>
    <row r="313">
      <c r="A313" s="6" t="n"/>
      <c r="B313" s="6" t="n"/>
      <c r="C313" s="5">
        <f>IF(A313="","",COUNTIFS($A$2:A313,A313,$B$2:B313,B313))</f>
        <v/>
      </c>
      <c r="D313" s="6" t="n"/>
      <c r="E313" s="6" t="n"/>
      <c r="F313" s="6" t="n"/>
      <c r="G313" s="6" t="n"/>
      <c r="H313" s="6" t="n"/>
      <c r="I313" s="6" t="n"/>
      <c r="J313" s="6" t="n"/>
      <c r="K313" s="6" t="n"/>
      <c r="L313" s="6" t="n"/>
      <c r="M313" s="5">
        <f>IF(D313="","",IF(OR(E313="",F313=""),"",IF(TRIM(IF(AND(E313="hecho",F313="INCORRECTA"),"INC ","")&amp;IF(AND(E313="abstencion",F313="INCORRECTA"),"ABS-E ","")&amp;IF(AND(E313="hecho",F313="FUERA_REF",H313="no_resp"),"NO-ABS ","")&amp;IF(AND(E313="hecho",I313="SIN-RESPALDO"),"SIN-R ","")&amp;IF(AND(E313="hecho",I313="CITA-X"),"CITA-X ","")&amp;IF(AND(E313="hecho",I313="SIN-CITA"),"SIN-C ",""))="","-",TRIM(IF(AND(E313="hecho",F313="INCORRECTA"),"INC ","")&amp;IF(AND(E313="abstencion",F313="INCORRECTA"),"ABS-E ","")&amp;IF(AND(E313="hecho",F313="FUERA_REF",H313="no_resp"),"NO-ABS ","")&amp;IF(AND(E313="hecho",I313="SIN-RESPALDO"),"SIN-R ","")&amp;IF(AND(E313="hecho",I313="CITA-X"),"CITA-X ","")&amp;IF(AND(E313="hecho",I313="SIN-CITA"),"SIN-C ","")))))</f>
        <v/>
      </c>
      <c r="N313" s="5">
        <f>IF(D313="","",IF(OR(A313="",B313="",E313="",F313=""),"falta qid, modo, tipo o vs_ref",IF(AND(B313="llm",I313&lt;&gt;""),"respaldo no aplica en modo LLM",IF(AND(E313="abstencion",I313&lt;&gt;""),"una abstención no se califica en citas",IF(AND(B313="rag",E313="hecho",I313=""),"falta respaldo","ok")))))</f>
        <v/>
      </c>
    </row>
    <row r="314">
      <c r="A314" s="6" t="n"/>
      <c r="B314" s="6" t="n"/>
      <c r="C314" s="5">
        <f>IF(A314="","",COUNTIFS($A$2:A314,A314,$B$2:B314,B314))</f>
        <v/>
      </c>
      <c r="D314" s="6" t="n"/>
      <c r="E314" s="6" t="n"/>
      <c r="F314" s="6" t="n"/>
      <c r="G314" s="6" t="n"/>
      <c r="H314" s="6" t="n"/>
      <c r="I314" s="6" t="n"/>
      <c r="J314" s="6" t="n"/>
      <c r="K314" s="6" t="n"/>
      <c r="L314" s="6" t="n"/>
      <c r="M314" s="5">
        <f>IF(D314="","",IF(OR(E314="",F314=""),"",IF(TRIM(IF(AND(E314="hecho",F314="INCORRECTA"),"INC ","")&amp;IF(AND(E314="abstencion",F314="INCORRECTA"),"ABS-E ","")&amp;IF(AND(E314="hecho",F314="FUERA_REF",H314="no_resp"),"NO-ABS ","")&amp;IF(AND(E314="hecho",I314="SIN-RESPALDO"),"SIN-R ","")&amp;IF(AND(E314="hecho",I314="CITA-X"),"CITA-X ","")&amp;IF(AND(E314="hecho",I314="SIN-CITA"),"SIN-C ",""))="","-",TRIM(IF(AND(E314="hecho",F314="INCORRECTA"),"INC ","")&amp;IF(AND(E314="abstencion",F314="INCORRECTA"),"ABS-E ","")&amp;IF(AND(E314="hecho",F314="FUERA_REF",H314="no_resp"),"NO-ABS ","")&amp;IF(AND(E314="hecho",I314="SIN-RESPALDO"),"SIN-R ","")&amp;IF(AND(E314="hecho",I314="CITA-X"),"CITA-X ","")&amp;IF(AND(E314="hecho",I314="SIN-CITA"),"SIN-C ","")))))</f>
        <v/>
      </c>
      <c r="N314" s="5">
        <f>IF(D314="","",IF(OR(A314="",B314="",E314="",F314=""),"falta qid, modo, tipo o vs_ref",IF(AND(B314="llm",I314&lt;&gt;""),"respaldo no aplica en modo LLM",IF(AND(E314="abstencion",I314&lt;&gt;""),"una abstención no se califica en citas",IF(AND(B314="rag",E314="hecho",I314=""),"falta respaldo","ok")))))</f>
        <v/>
      </c>
    </row>
    <row r="315">
      <c r="A315" s="6" t="n"/>
      <c r="B315" s="6" t="n"/>
      <c r="C315" s="5">
        <f>IF(A315="","",COUNTIFS($A$2:A315,A315,$B$2:B315,B315))</f>
        <v/>
      </c>
      <c r="D315" s="6" t="n"/>
      <c r="E315" s="6" t="n"/>
      <c r="F315" s="6" t="n"/>
      <c r="G315" s="6" t="n"/>
      <c r="H315" s="6" t="n"/>
      <c r="I315" s="6" t="n"/>
      <c r="J315" s="6" t="n"/>
      <c r="K315" s="6" t="n"/>
      <c r="L315" s="6" t="n"/>
      <c r="M315" s="5">
        <f>IF(D315="","",IF(OR(E315="",F315=""),"",IF(TRIM(IF(AND(E315="hecho",F315="INCORRECTA"),"INC ","")&amp;IF(AND(E315="abstencion",F315="INCORRECTA"),"ABS-E ","")&amp;IF(AND(E315="hecho",F315="FUERA_REF",H315="no_resp"),"NO-ABS ","")&amp;IF(AND(E315="hecho",I315="SIN-RESPALDO"),"SIN-R ","")&amp;IF(AND(E315="hecho",I315="CITA-X"),"CITA-X ","")&amp;IF(AND(E315="hecho",I315="SIN-CITA"),"SIN-C ",""))="","-",TRIM(IF(AND(E315="hecho",F315="INCORRECTA"),"INC ","")&amp;IF(AND(E315="abstencion",F315="INCORRECTA"),"ABS-E ","")&amp;IF(AND(E315="hecho",F315="FUERA_REF",H315="no_resp"),"NO-ABS ","")&amp;IF(AND(E315="hecho",I315="SIN-RESPALDO"),"SIN-R ","")&amp;IF(AND(E315="hecho",I315="CITA-X"),"CITA-X ","")&amp;IF(AND(E315="hecho",I315="SIN-CITA"),"SIN-C ","")))))</f>
        <v/>
      </c>
      <c r="N315" s="5">
        <f>IF(D315="","",IF(OR(A315="",B315="",E315="",F315=""),"falta qid, modo, tipo o vs_ref",IF(AND(B315="llm",I315&lt;&gt;""),"respaldo no aplica en modo LLM",IF(AND(E315="abstencion",I315&lt;&gt;""),"una abstención no se califica en citas",IF(AND(B315="rag",E315="hecho",I315=""),"falta respaldo","ok")))))</f>
        <v/>
      </c>
    </row>
    <row r="316">
      <c r="A316" s="6" t="n"/>
      <c r="B316" s="6" t="n"/>
      <c r="C316" s="5">
        <f>IF(A316="","",COUNTIFS($A$2:A316,A316,$B$2:B316,B316))</f>
        <v/>
      </c>
      <c r="D316" s="6" t="n"/>
      <c r="E316" s="6" t="n"/>
      <c r="F316" s="6" t="n"/>
      <c r="G316" s="6" t="n"/>
      <c r="H316" s="6" t="n"/>
      <c r="I316" s="6" t="n"/>
      <c r="J316" s="6" t="n"/>
      <c r="K316" s="6" t="n"/>
      <c r="L316" s="6" t="n"/>
      <c r="M316" s="5">
        <f>IF(D316="","",IF(OR(E316="",F316=""),"",IF(TRIM(IF(AND(E316="hecho",F316="INCORRECTA"),"INC ","")&amp;IF(AND(E316="abstencion",F316="INCORRECTA"),"ABS-E ","")&amp;IF(AND(E316="hecho",F316="FUERA_REF",H316="no_resp"),"NO-ABS ","")&amp;IF(AND(E316="hecho",I316="SIN-RESPALDO"),"SIN-R ","")&amp;IF(AND(E316="hecho",I316="CITA-X"),"CITA-X ","")&amp;IF(AND(E316="hecho",I316="SIN-CITA"),"SIN-C ",""))="","-",TRIM(IF(AND(E316="hecho",F316="INCORRECTA"),"INC ","")&amp;IF(AND(E316="abstencion",F316="INCORRECTA"),"ABS-E ","")&amp;IF(AND(E316="hecho",F316="FUERA_REF",H316="no_resp"),"NO-ABS ","")&amp;IF(AND(E316="hecho",I316="SIN-RESPALDO"),"SIN-R ","")&amp;IF(AND(E316="hecho",I316="CITA-X"),"CITA-X ","")&amp;IF(AND(E316="hecho",I316="SIN-CITA"),"SIN-C ","")))))</f>
        <v/>
      </c>
      <c r="N316" s="5">
        <f>IF(D316="","",IF(OR(A316="",B316="",E316="",F316=""),"falta qid, modo, tipo o vs_ref",IF(AND(B316="llm",I316&lt;&gt;""),"respaldo no aplica en modo LLM",IF(AND(E316="abstencion",I316&lt;&gt;""),"una abstención no se califica en citas",IF(AND(B316="rag",E316="hecho",I316=""),"falta respaldo","ok")))))</f>
        <v/>
      </c>
    </row>
    <row r="317">
      <c r="A317" s="6" t="n"/>
      <c r="B317" s="6" t="n"/>
      <c r="C317" s="5">
        <f>IF(A317="","",COUNTIFS($A$2:A317,A317,$B$2:B317,B317))</f>
        <v/>
      </c>
      <c r="D317" s="6" t="n"/>
      <c r="E317" s="6" t="n"/>
      <c r="F317" s="6" t="n"/>
      <c r="G317" s="6" t="n"/>
      <c r="H317" s="6" t="n"/>
      <c r="I317" s="6" t="n"/>
      <c r="J317" s="6" t="n"/>
      <c r="K317" s="6" t="n"/>
      <c r="L317" s="6" t="n"/>
      <c r="M317" s="5">
        <f>IF(D317="","",IF(OR(E317="",F317=""),"",IF(TRIM(IF(AND(E317="hecho",F317="INCORRECTA"),"INC ","")&amp;IF(AND(E317="abstencion",F317="INCORRECTA"),"ABS-E ","")&amp;IF(AND(E317="hecho",F317="FUERA_REF",H317="no_resp"),"NO-ABS ","")&amp;IF(AND(E317="hecho",I317="SIN-RESPALDO"),"SIN-R ","")&amp;IF(AND(E317="hecho",I317="CITA-X"),"CITA-X ","")&amp;IF(AND(E317="hecho",I317="SIN-CITA"),"SIN-C ",""))="","-",TRIM(IF(AND(E317="hecho",F317="INCORRECTA"),"INC ","")&amp;IF(AND(E317="abstencion",F317="INCORRECTA"),"ABS-E ","")&amp;IF(AND(E317="hecho",F317="FUERA_REF",H317="no_resp"),"NO-ABS ","")&amp;IF(AND(E317="hecho",I317="SIN-RESPALDO"),"SIN-R ","")&amp;IF(AND(E317="hecho",I317="CITA-X"),"CITA-X ","")&amp;IF(AND(E317="hecho",I317="SIN-CITA"),"SIN-C ","")))))</f>
        <v/>
      </c>
      <c r="N317" s="5">
        <f>IF(D317="","",IF(OR(A317="",B317="",E317="",F317=""),"falta qid, modo, tipo o vs_ref",IF(AND(B317="llm",I317&lt;&gt;""),"respaldo no aplica en modo LLM",IF(AND(E317="abstencion",I317&lt;&gt;""),"una abstención no se califica en citas",IF(AND(B317="rag",E317="hecho",I317=""),"falta respaldo","ok")))))</f>
        <v/>
      </c>
    </row>
    <row r="318">
      <c r="A318" s="6" t="n"/>
      <c r="B318" s="6" t="n"/>
      <c r="C318" s="5">
        <f>IF(A318="","",COUNTIFS($A$2:A318,A318,$B$2:B318,B318))</f>
        <v/>
      </c>
      <c r="D318" s="6" t="n"/>
      <c r="E318" s="6" t="n"/>
      <c r="F318" s="6" t="n"/>
      <c r="G318" s="6" t="n"/>
      <c r="H318" s="6" t="n"/>
      <c r="I318" s="6" t="n"/>
      <c r="J318" s="6" t="n"/>
      <c r="K318" s="6" t="n"/>
      <c r="L318" s="6" t="n"/>
      <c r="M318" s="5">
        <f>IF(D318="","",IF(OR(E318="",F318=""),"",IF(TRIM(IF(AND(E318="hecho",F318="INCORRECTA"),"INC ","")&amp;IF(AND(E318="abstencion",F318="INCORRECTA"),"ABS-E ","")&amp;IF(AND(E318="hecho",F318="FUERA_REF",H318="no_resp"),"NO-ABS ","")&amp;IF(AND(E318="hecho",I318="SIN-RESPALDO"),"SIN-R ","")&amp;IF(AND(E318="hecho",I318="CITA-X"),"CITA-X ","")&amp;IF(AND(E318="hecho",I318="SIN-CITA"),"SIN-C ",""))="","-",TRIM(IF(AND(E318="hecho",F318="INCORRECTA"),"INC ","")&amp;IF(AND(E318="abstencion",F318="INCORRECTA"),"ABS-E ","")&amp;IF(AND(E318="hecho",F318="FUERA_REF",H318="no_resp"),"NO-ABS ","")&amp;IF(AND(E318="hecho",I318="SIN-RESPALDO"),"SIN-R ","")&amp;IF(AND(E318="hecho",I318="CITA-X"),"CITA-X ","")&amp;IF(AND(E318="hecho",I318="SIN-CITA"),"SIN-C ","")))))</f>
        <v/>
      </c>
      <c r="N318" s="5">
        <f>IF(D318="","",IF(OR(A318="",B318="",E318="",F318=""),"falta qid, modo, tipo o vs_ref",IF(AND(B318="llm",I318&lt;&gt;""),"respaldo no aplica en modo LLM",IF(AND(E318="abstencion",I318&lt;&gt;""),"una abstención no se califica en citas",IF(AND(B318="rag",E318="hecho",I318=""),"falta respaldo","ok")))))</f>
        <v/>
      </c>
    </row>
    <row r="319">
      <c r="A319" s="6" t="n"/>
      <c r="B319" s="6" t="n"/>
      <c r="C319" s="5">
        <f>IF(A319="","",COUNTIFS($A$2:A319,A319,$B$2:B319,B319))</f>
        <v/>
      </c>
      <c r="D319" s="6" t="n"/>
      <c r="E319" s="6" t="n"/>
      <c r="F319" s="6" t="n"/>
      <c r="G319" s="6" t="n"/>
      <c r="H319" s="6" t="n"/>
      <c r="I319" s="6" t="n"/>
      <c r="J319" s="6" t="n"/>
      <c r="K319" s="6" t="n"/>
      <c r="L319" s="6" t="n"/>
      <c r="M319" s="5">
        <f>IF(D319="","",IF(OR(E319="",F319=""),"",IF(TRIM(IF(AND(E319="hecho",F319="INCORRECTA"),"INC ","")&amp;IF(AND(E319="abstencion",F319="INCORRECTA"),"ABS-E ","")&amp;IF(AND(E319="hecho",F319="FUERA_REF",H319="no_resp"),"NO-ABS ","")&amp;IF(AND(E319="hecho",I319="SIN-RESPALDO"),"SIN-R ","")&amp;IF(AND(E319="hecho",I319="CITA-X"),"CITA-X ","")&amp;IF(AND(E319="hecho",I319="SIN-CITA"),"SIN-C ",""))="","-",TRIM(IF(AND(E319="hecho",F319="INCORRECTA"),"INC ","")&amp;IF(AND(E319="abstencion",F319="INCORRECTA"),"ABS-E ","")&amp;IF(AND(E319="hecho",F319="FUERA_REF",H319="no_resp"),"NO-ABS ","")&amp;IF(AND(E319="hecho",I319="SIN-RESPALDO"),"SIN-R ","")&amp;IF(AND(E319="hecho",I319="CITA-X"),"CITA-X ","")&amp;IF(AND(E319="hecho",I319="SIN-CITA"),"SIN-C ","")))))</f>
        <v/>
      </c>
      <c r="N319" s="5">
        <f>IF(D319="","",IF(OR(A319="",B319="",E319="",F319=""),"falta qid, modo, tipo o vs_ref",IF(AND(B319="llm",I319&lt;&gt;""),"respaldo no aplica en modo LLM",IF(AND(E319="abstencion",I319&lt;&gt;""),"una abstención no se califica en citas",IF(AND(B319="rag",E319="hecho",I319=""),"falta respaldo","ok")))))</f>
        <v/>
      </c>
    </row>
    <row r="320">
      <c r="A320" s="6" t="n"/>
      <c r="B320" s="6" t="n"/>
      <c r="C320" s="5">
        <f>IF(A320="","",COUNTIFS($A$2:A320,A320,$B$2:B320,B320))</f>
        <v/>
      </c>
      <c r="D320" s="6" t="n"/>
      <c r="E320" s="6" t="n"/>
      <c r="F320" s="6" t="n"/>
      <c r="G320" s="6" t="n"/>
      <c r="H320" s="6" t="n"/>
      <c r="I320" s="6" t="n"/>
      <c r="J320" s="6" t="n"/>
      <c r="K320" s="6" t="n"/>
      <c r="L320" s="6" t="n"/>
      <c r="M320" s="5">
        <f>IF(D320="","",IF(OR(E320="",F320=""),"",IF(TRIM(IF(AND(E320="hecho",F320="INCORRECTA"),"INC ","")&amp;IF(AND(E320="abstencion",F320="INCORRECTA"),"ABS-E ","")&amp;IF(AND(E320="hecho",F320="FUERA_REF",H320="no_resp"),"NO-ABS ","")&amp;IF(AND(E320="hecho",I320="SIN-RESPALDO"),"SIN-R ","")&amp;IF(AND(E320="hecho",I320="CITA-X"),"CITA-X ","")&amp;IF(AND(E320="hecho",I320="SIN-CITA"),"SIN-C ",""))="","-",TRIM(IF(AND(E320="hecho",F320="INCORRECTA"),"INC ","")&amp;IF(AND(E320="abstencion",F320="INCORRECTA"),"ABS-E ","")&amp;IF(AND(E320="hecho",F320="FUERA_REF",H320="no_resp"),"NO-ABS ","")&amp;IF(AND(E320="hecho",I320="SIN-RESPALDO"),"SIN-R ","")&amp;IF(AND(E320="hecho",I320="CITA-X"),"CITA-X ","")&amp;IF(AND(E320="hecho",I320="SIN-CITA"),"SIN-C ","")))))</f>
        <v/>
      </c>
      <c r="N320" s="5">
        <f>IF(D320="","",IF(OR(A320="",B320="",E320="",F320=""),"falta qid, modo, tipo o vs_ref",IF(AND(B320="llm",I320&lt;&gt;""),"respaldo no aplica en modo LLM",IF(AND(E320="abstencion",I320&lt;&gt;""),"una abstención no se califica en citas",IF(AND(B320="rag",E320="hecho",I320=""),"falta respaldo","ok")))))</f>
        <v/>
      </c>
    </row>
    <row r="321">
      <c r="A321" s="6" t="n"/>
      <c r="B321" s="6" t="n"/>
      <c r="C321" s="5">
        <f>IF(A321="","",COUNTIFS($A$2:A321,A321,$B$2:B321,B321))</f>
        <v/>
      </c>
      <c r="D321" s="6" t="n"/>
      <c r="E321" s="6" t="n"/>
      <c r="F321" s="6" t="n"/>
      <c r="G321" s="6" t="n"/>
      <c r="H321" s="6" t="n"/>
      <c r="I321" s="6" t="n"/>
      <c r="J321" s="6" t="n"/>
      <c r="K321" s="6" t="n"/>
      <c r="L321" s="6" t="n"/>
      <c r="M321" s="5">
        <f>IF(D321="","",IF(OR(E321="",F321=""),"",IF(TRIM(IF(AND(E321="hecho",F321="INCORRECTA"),"INC ","")&amp;IF(AND(E321="abstencion",F321="INCORRECTA"),"ABS-E ","")&amp;IF(AND(E321="hecho",F321="FUERA_REF",H321="no_resp"),"NO-ABS ","")&amp;IF(AND(E321="hecho",I321="SIN-RESPALDO"),"SIN-R ","")&amp;IF(AND(E321="hecho",I321="CITA-X"),"CITA-X ","")&amp;IF(AND(E321="hecho",I321="SIN-CITA"),"SIN-C ",""))="","-",TRIM(IF(AND(E321="hecho",F321="INCORRECTA"),"INC ","")&amp;IF(AND(E321="abstencion",F321="INCORRECTA"),"ABS-E ","")&amp;IF(AND(E321="hecho",F321="FUERA_REF",H321="no_resp"),"NO-ABS ","")&amp;IF(AND(E321="hecho",I321="SIN-RESPALDO"),"SIN-R ","")&amp;IF(AND(E321="hecho",I321="CITA-X"),"CITA-X ","")&amp;IF(AND(E321="hecho",I321="SIN-CITA"),"SIN-C ","")))))</f>
        <v/>
      </c>
      <c r="N321" s="5">
        <f>IF(D321="","",IF(OR(A321="",B321="",E321="",F321=""),"falta qid, modo, tipo o vs_ref",IF(AND(B321="llm",I321&lt;&gt;""),"respaldo no aplica en modo LLM",IF(AND(E321="abstencion",I321&lt;&gt;""),"una abstención no se califica en citas",IF(AND(B321="rag",E321="hecho",I321=""),"falta respaldo","ok")))))</f>
        <v/>
      </c>
    </row>
    <row r="322">
      <c r="A322" s="6" t="n"/>
      <c r="B322" s="6" t="n"/>
      <c r="C322" s="5">
        <f>IF(A322="","",COUNTIFS($A$2:A322,A322,$B$2:B322,B322))</f>
        <v/>
      </c>
      <c r="D322" s="6" t="n"/>
      <c r="E322" s="6" t="n"/>
      <c r="F322" s="6" t="n"/>
      <c r="G322" s="6" t="n"/>
      <c r="H322" s="6" t="n"/>
      <c r="I322" s="6" t="n"/>
      <c r="J322" s="6" t="n"/>
      <c r="K322" s="6" t="n"/>
      <c r="L322" s="6" t="n"/>
      <c r="M322" s="5">
        <f>IF(D322="","",IF(OR(E322="",F322=""),"",IF(TRIM(IF(AND(E322="hecho",F322="INCORRECTA"),"INC ","")&amp;IF(AND(E322="abstencion",F322="INCORRECTA"),"ABS-E ","")&amp;IF(AND(E322="hecho",F322="FUERA_REF",H322="no_resp"),"NO-ABS ","")&amp;IF(AND(E322="hecho",I322="SIN-RESPALDO"),"SIN-R ","")&amp;IF(AND(E322="hecho",I322="CITA-X"),"CITA-X ","")&amp;IF(AND(E322="hecho",I322="SIN-CITA"),"SIN-C ",""))="","-",TRIM(IF(AND(E322="hecho",F322="INCORRECTA"),"INC ","")&amp;IF(AND(E322="abstencion",F322="INCORRECTA"),"ABS-E ","")&amp;IF(AND(E322="hecho",F322="FUERA_REF",H322="no_resp"),"NO-ABS ","")&amp;IF(AND(E322="hecho",I322="SIN-RESPALDO"),"SIN-R ","")&amp;IF(AND(E322="hecho",I322="CITA-X"),"CITA-X ","")&amp;IF(AND(E322="hecho",I322="SIN-CITA"),"SIN-C ","")))))</f>
        <v/>
      </c>
      <c r="N322" s="5">
        <f>IF(D322="","",IF(OR(A322="",B322="",E322="",F322=""),"falta qid, modo, tipo o vs_ref",IF(AND(B322="llm",I322&lt;&gt;""),"respaldo no aplica en modo LLM",IF(AND(E322="abstencion",I322&lt;&gt;""),"una abstención no se califica en citas",IF(AND(B322="rag",E322="hecho",I322=""),"falta respaldo","ok")))))</f>
        <v/>
      </c>
    </row>
    <row r="323">
      <c r="A323" s="6" t="n"/>
      <c r="B323" s="6" t="n"/>
      <c r="C323" s="5">
        <f>IF(A323="","",COUNTIFS($A$2:A323,A323,$B$2:B323,B323))</f>
        <v/>
      </c>
      <c r="D323" s="6" t="n"/>
      <c r="E323" s="6" t="n"/>
      <c r="F323" s="6" t="n"/>
      <c r="G323" s="6" t="n"/>
      <c r="H323" s="6" t="n"/>
      <c r="I323" s="6" t="n"/>
      <c r="J323" s="6" t="n"/>
      <c r="K323" s="6" t="n"/>
      <c r="L323" s="6" t="n"/>
      <c r="M323" s="5">
        <f>IF(D323="","",IF(OR(E323="",F323=""),"",IF(TRIM(IF(AND(E323="hecho",F323="INCORRECTA"),"INC ","")&amp;IF(AND(E323="abstencion",F323="INCORRECTA"),"ABS-E ","")&amp;IF(AND(E323="hecho",F323="FUERA_REF",H323="no_resp"),"NO-ABS ","")&amp;IF(AND(E323="hecho",I323="SIN-RESPALDO"),"SIN-R ","")&amp;IF(AND(E323="hecho",I323="CITA-X"),"CITA-X ","")&amp;IF(AND(E323="hecho",I323="SIN-CITA"),"SIN-C ",""))="","-",TRIM(IF(AND(E323="hecho",F323="INCORRECTA"),"INC ","")&amp;IF(AND(E323="abstencion",F323="INCORRECTA"),"ABS-E ","")&amp;IF(AND(E323="hecho",F323="FUERA_REF",H323="no_resp"),"NO-ABS ","")&amp;IF(AND(E323="hecho",I323="SIN-RESPALDO"),"SIN-R ","")&amp;IF(AND(E323="hecho",I323="CITA-X"),"CITA-X ","")&amp;IF(AND(E323="hecho",I323="SIN-CITA"),"SIN-C ","")))))</f>
        <v/>
      </c>
      <c r="N323" s="5">
        <f>IF(D323="","",IF(OR(A323="",B323="",E323="",F323=""),"falta qid, modo, tipo o vs_ref",IF(AND(B323="llm",I323&lt;&gt;""),"respaldo no aplica en modo LLM",IF(AND(E323="abstencion",I323&lt;&gt;""),"una abstención no se califica en citas",IF(AND(B323="rag",E323="hecho",I323=""),"falta respaldo","ok")))))</f>
        <v/>
      </c>
    </row>
    <row r="324">
      <c r="A324" s="6" t="n"/>
      <c r="B324" s="6" t="n"/>
      <c r="C324" s="5">
        <f>IF(A324="","",COUNTIFS($A$2:A324,A324,$B$2:B324,B324))</f>
        <v/>
      </c>
      <c r="D324" s="6" t="n"/>
      <c r="E324" s="6" t="n"/>
      <c r="F324" s="6" t="n"/>
      <c r="G324" s="6" t="n"/>
      <c r="H324" s="6" t="n"/>
      <c r="I324" s="6" t="n"/>
      <c r="J324" s="6" t="n"/>
      <c r="K324" s="6" t="n"/>
      <c r="L324" s="6" t="n"/>
      <c r="M324" s="5">
        <f>IF(D324="","",IF(OR(E324="",F324=""),"",IF(TRIM(IF(AND(E324="hecho",F324="INCORRECTA"),"INC ","")&amp;IF(AND(E324="abstencion",F324="INCORRECTA"),"ABS-E ","")&amp;IF(AND(E324="hecho",F324="FUERA_REF",H324="no_resp"),"NO-ABS ","")&amp;IF(AND(E324="hecho",I324="SIN-RESPALDO"),"SIN-R ","")&amp;IF(AND(E324="hecho",I324="CITA-X"),"CITA-X ","")&amp;IF(AND(E324="hecho",I324="SIN-CITA"),"SIN-C ",""))="","-",TRIM(IF(AND(E324="hecho",F324="INCORRECTA"),"INC ","")&amp;IF(AND(E324="abstencion",F324="INCORRECTA"),"ABS-E ","")&amp;IF(AND(E324="hecho",F324="FUERA_REF",H324="no_resp"),"NO-ABS ","")&amp;IF(AND(E324="hecho",I324="SIN-RESPALDO"),"SIN-R ","")&amp;IF(AND(E324="hecho",I324="CITA-X"),"CITA-X ","")&amp;IF(AND(E324="hecho",I324="SIN-CITA"),"SIN-C ","")))))</f>
        <v/>
      </c>
      <c r="N324" s="5">
        <f>IF(D324="","",IF(OR(A324="",B324="",E324="",F324=""),"falta qid, modo, tipo o vs_ref",IF(AND(B324="llm",I324&lt;&gt;""),"respaldo no aplica en modo LLM",IF(AND(E324="abstencion",I324&lt;&gt;""),"una abstención no se califica en citas",IF(AND(B324="rag",E324="hecho",I324=""),"falta respaldo","ok")))))</f>
        <v/>
      </c>
    </row>
    <row r="325">
      <c r="A325" s="6" t="n"/>
      <c r="B325" s="6" t="n"/>
      <c r="C325" s="5">
        <f>IF(A325="","",COUNTIFS($A$2:A325,A325,$B$2:B325,B325))</f>
        <v/>
      </c>
      <c r="D325" s="6" t="n"/>
      <c r="E325" s="6" t="n"/>
      <c r="F325" s="6" t="n"/>
      <c r="G325" s="6" t="n"/>
      <c r="H325" s="6" t="n"/>
      <c r="I325" s="6" t="n"/>
      <c r="J325" s="6" t="n"/>
      <c r="K325" s="6" t="n"/>
      <c r="L325" s="6" t="n"/>
      <c r="M325" s="5">
        <f>IF(D325="","",IF(OR(E325="",F325=""),"",IF(TRIM(IF(AND(E325="hecho",F325="INCORRECTA"),"INC ","")&amp;IF(AND(E325="abstencion",F325="INCORRECTA"),"ABS-E ","")&amp;IF(AND(E325="hecho",F325="FUERA_REF",H325="no_resp"),"NO-ABS ","")&amp;IF(AND(E325="hecho",I325="SIN-RESPALDO"),"SIN-R ","")&amp;IF(AND(E325="hecho",I325="CITA-X"),"CITA-X ","")&amp;IF(AND(E325="hecho",I325="SIN-CITA"),"SIN-C ",""))="","-",TRIM(IF(AND(E325="hecho",F325="INCORRECTA"),"INC ","")&amp;IF(AND(E325="abstencion",F325="INCORRECTA"),"ABS-E ","")&amp;IF(AND(E325="hecho",F325="FUERA_REF",H325="no_resp"),"NO-ABS ","")&amp;IF(AND(E325="hecho",I325="SIN-RESPALDO"),"SIN-R ","")&amp;IF(AND(E325="hecho",I325="CITA-X"),"CITA-X ","")&amp;IF(AND(E325="hecho",I325="SIN-CITA"),"SIN-C ","")))))</f>
        <v/>
      </c>
      <c r="N325" s="5">
        <f>IF(D325="","",IF(OR(A325="",B325="",E325="",F325=""),"falta qid, modo, tipo o vs_ref",IF(AND(B325="llm",I325&lt;&gt;""),"respaldo no aplica en modo LLM",IF(AND(E325="abstencion",I325&lt;&gt;""),"una abstención no se califica en citas",IF(AND(B325="rag",E325="hecho",I325=""),"falta respaldo","ok")))))</f>
        <v/>
      </c>
    </row>
    <row r="326">
      <c r="A326" s="6" t="n"/>
      <c r="B326" s="6" t="n"/>
      <c r="C326" s="5">
        <f>IF(A326="","",COUNTIFS($A$2:A326,A326,$B$2:B326,B326))</f>
        <v/>
      </c>
      <c r="D326" s="6" t="n"/>
      <c r="E326" s="6" t="n"/>
      <c r="F326" s="6" t="n"/>
      <c r="G326" s="6" t="n"/>
      <c r="H326" s="6" t="n"/>
      <c r="I326" s="6" t="n"/>
      <c r="J326" s="6" t="n"/>
      <c r="K326" s="6" t="n"/>
      <c r="L326" s="6" t="n"/>
      <c r="M326" s="5">
        <f>IF(D326="","",IF(OR(E326="",F326=""),"",IF(TRIM(IF(AND(E326="hecho",F326="INCORRECTA"),"INC ","")&amp;IF(AND(E326="abstencion",F326="INCORRECTA"),"ABS-E ","")&amp;IF(AND(E326="hecho",F326="FUERA_REF",H326="no_resp"),"NO-ABS ","")&amp;IF(AND(E326="hecho",I326="SIN-RESPALDO"),"SIN-R ","")&amp;IF(AND(E326="hecho",I326="CITA-X"),"CITA-X ","")&amp;IF(AND(E326="hecho",I326="SIN-CITA"),"SIN-C ",""))="","-",TRIM(IF(AND(E326="hecho",F326="INCORRECTA"),"INC ","")&amp;IF(AND(E326="abstencion",F326="INCORRECTA"),"ABS-E ","")&amp;IF(AND(E326="hecho",F326="FUERA_REF",H326="no_resp"),"NO-ABS ","")&amp;IF(AND(E326="hecho",I326="SIN-RESPALDO"),"SIN-R ","")&amp;IF(AND(E326="hecho",I326="CITA-X"),"CITA-X ","")&amp;IF(AND(E326="hecho",I326="SIN-CITA"),"SIN-C ","")))))</f>
        <v/>
      </c>
      <c r="N326" s="5">
        <f>IF(D326="","",IF(OR(A326="",B326="",E326="",F326=""),"falta qid, modo, tipo o vs_ref",IF(AND(B326="llm",I326&lt;&gt;""),"respaldo no aplica en modo LLM",IF(AND(E326="abstencion",I326&lt;&gt;""),"una abstención no se califica en citas",IF(AND(B326="rag",E326="hecho",I326=""),"falta respaldo","ok")))))</f>
        <v/>
      </c>
    </row>
    <row r="327">
      <c r="A327" s="6" t="n"/>
      <c r="B327" s="6" t="n"/>
      <c r="C327" s="5">
        <f>IF(A327="","",COUNTIFS($A$2:A327,A327,$B$2:B327,B327))</f>
        <v/>
      </c>
      <c r="D327" s="6" t="n"/>
      <c r="E327" s="6" t="n"/>
      <c r="F327" s="6" t="n"/>
      <c r="G327" s="6" t="n"/>
      <c r="H327" s="6" t="n"/>
      <c r="I327" s="6" t="n"/>
      <c r="J327" s="6" t="n"/>
      <c r="K327" s="6" t="n"/>
      <c r="L327" s="6" t="n"/>
      <c r="M327" s="5">
        <f>IF(D327="","",IF(OR(E327="",F327=""),"",IF(TRIM(IF(AND(E327="hecho",F327="INCORRECTA"),"INC ","")&amp;IF(AND(E327="abstencion",F327="INCORRECTA"),"ABS-E ","")&amp;IF(AND(E327="hecho",F327="FUERA_REF",H327="no_resp"),"NO-ABS ","")&amp;IF(AND(E327="hecho",I327="SIN-RESPALDO"),"SIN-R ","")&amp;IF(AND(E327="hecho",I327="CITA-X"),"CITA-X ","")&amp;IF(AND(E327="hecho",I327="SIN-CITA"),"SIN-C ",""))="","-",TRIM(IF(AND(E327="hecho",F327="INCORRECTA"),"INC ","")&amp;IF(AND(E327="abstencion",F327="INCORRECTA"),"ABS-E ","")&amp;IF(AND(E327="hecho",F327="FUERA_REF",H327="no_resp"),"NO-ABS ","")&amp;IF(AND(E327="hecho",I327="SIN-RESPALDO"),"SIN-R ","")&amp;IF(AND(E327="hecho",I327="CITA-X"),"CITA-X ","")&amp;IF(AND(E327="hecho",I327="SIN-CITA"),"SIN-C ","")))))</f>
        <v/>
      </c>
      <c r="N327" s="5">
        <f>IF(D327="","",IF(OR(A327="",B327="",E327="",F327=""),"falta qid, modo, tipo o vs_ref",IF(AND(B327="llm",I327&lt;&gt;""),"respaldo no aplica en modo LLM",IF(AND(E327="abstencion",I327&lt;&gt;""),"una abstención no se califica en citas",IF(AND(B327="rag",E327="hecho",I327=""),"falta respaldo","ok")))))</f>
        <v/>
      </c>
    </row>
    <row r="328">
      <c r="A328" s="6" t="n"/>
      <c r="B328" s="6" t="n"/>
      <c r="C328" s="5">
        <f>IF(A328="","",COUNTIFS($A$2:A328,A328,$B$2:B328,B328))</f>
        <v/>
      </c>
      <c r="D328" s="6" t="n"/>
      <c r="E328" s="6" t="n"/>
      <c r="F328" s="6" t="n"/>
      <c r="G328" s="6" t="n"/>
      <c r="H328" s="6" t="n"/>
      <c r="I328" s="6" t="n"/>
      <c r="J328" s="6" t="n"/>
      <c r="K328" s="6" t="n"/>
      <c r="L328" s="6" t="n"/>
      <c r="M328" s="5">
        <f>IF(D328="","",IF(OR(E328="",F328=""),"",IF(TRIM(IF(AND(E328="hecho",F328="INCORRECTA"),"INC ","")&amp;IF(AND(E328="abstencion",F328="INCORRECTA"),"ABS-E ","")&amp;IF(AND(E328="hecho",F328="FUERA_REF",H328="no_resp"),"NO-ABS ","")&amp;IF(AND(E328="hecho",I328="SIN-RESPALDO"),"SIN-R ","")&amp;IF(AND(E328="hecho",I328="CITA-X"),"CITA-X ","")&amp;IF(AND(E328="hecho",I328="SIN-CITA"),"SIN-C ",""))="","-",TRIM(IF(AND(E328="hecho",F328="INCORRECTA"),"INC ","")&amp;IF(AND(E328="abstencion",F328="INCORRECTA"),"ABS-E ","")&amp;IF(AND(E328="hecho",F328="FUERA_REF",H328="no_resp"),"NO-ABS ","")&amp;IF(AND(E328="hecho",I328="SIN-RESPALDO"),"SIN-R ","")&amp;IF(AND(E328="hecho",I328="CITA-X"),"CITA-X ","")&amp;IF(AND(E328="hecho",I328="SIN-CITA"),"SIN-C ","")))))</f>
        <v/>
      </c>
      <c r="N328" s="5">
        <f>IF(D328="","",IF(OR(A328="",B328="",E328="",F328=""),"falta qid, modo, tipo o vs_ref",IF(AND(B328="llm",I328&lt;&gt;""),"respaldo no aplica en modo LLM",IF(AND(E328="abstencion",I328&lt;&gt;""),"una abstención no se califica en citas",IF(AND(B328="rag",E328="hecho",I328=""),"falta respaldo","ok")))))</f>
        <v/>
      </c>
    </row>
    <row r="329">
      <c r="A329" s="6" t="n"/>
      <c r="B329" s="6" t="n"/>
      <c r="C329" s="5">
        <f>IF(A329="","",COUNTIFS($A$2:A329,A329,$B$2:B329,B329))</f>
        <v/>
      </c>
      <c r="D329" s="6" t="n"/>
      <c r="E329" s="6" t="n"/>
      <c r="F329" s="6" t="n"/>
      <c r="G329" s="6" t="n"/>
      <c r="H329" s="6" t="n"/>
      <c r="I329" s="6" t="n"/>
      <c r="J329" s="6" t="n"/>
      <c r="K329" s="6" t="n"/>
      <c r="L329" s="6" t="n"/>
      <c r="M329" s="5">
        <f>IF(D329="","",IF(OR(E329="",F329=""),"",IF(TRIM(IF(AND(E329="hecho",F329="INCORRECTA"),"INC ","")&amp;IF(AND(E329="abstencion",F329="INCORRECTA"),"ABS-E ","")&amp;IF(AND(E329="hecho",F329="FUERA_REF",H329="no_resp"),"NO-ABS ","")&amp;IF(AND(E329="hecho",I329="SIN-RESPALDO"),"SIN-R ","")&amp;IF(AND(E329="hecho",I329="CITA-X"),"CITA-X ","")&amp;IF(AND(E329="hecho",I329="SIN-CITA"),"SIN-C ",""))="","-",TRIM(IF(AND(E329="hecho",F329="INCORRECTA"),"INC ","")&amp;IF(AND(E329="abstencion",F329="INCORRECTA"),"ABS-E ","")&amp;IF(AND(E329="hecho",F329="FUERA_REF",H329="no_resp"),"NO-ABS ","")&amp;IF(AND(E329="hecho",I329="SIN-RESPALDO"),"SIN-R ","")&amp;IF(AND(E329="hecho",I329="CITA-X"),"CITA-X ","")&amp;IF(AND(E329="hecho",I329="SIN-CITA"),"SIN-C ","")))))</f>
        <v/>
      </c>
      <c r="N329" s="5">
        <f>IF(D329="","",IF(OR(A329="",B329="",E329="",F329=""),"falta qid, modo, tipo o vs_ref",IF(AND(B329="llm",I329&lt;&gt;""),"respaldo no aplica en modo LLM",IF(AND(E329="abstencion",I329&lt;&gt;""),"una abstención no se califica en citas",IF(AND(B329="rag",E329="hecho",I329=""),"falta respaldo","ok")))))</f>
        <v/>
      </c>
    </row>
    <row r="330">
      <c r="A330" s="6" t="n"/>
      <c r="B330" s="6" t="n"/>
      <c r="C330" s="5">
        <f>IF(A330="","",COUNTIFS($A$2:A330,A330,$B$2:B330,B330))</f>
        <v/>
      </c>
      <c r="D330" s="6" t="n"/>
      <c r="E330" s="6" t="n"/>
      <c r="F330" s="6" t="n"/>
      <c r="G330" s="6" t="n"/>
      <c r="H330" s="6" t="n"/>
      <c r="I330" s="6" t="n"/>
      <c r="J330" s="6" t="n"/>
      <c r="K330" s="6" t="n"/>
      <c r="L330" s="6" t="n"/>
      <c r="M330" s="5">
        <f>IF(D330="","",IF(OR(E330="",F330=""),"",IF(TRIM(IF(AND(E330="hecho",F330="INCORRECTA"),"INC ","")&amp;IF(AND(E330="abstencion",F330="INCORRECTA"),"ABS-E ","")&amp;IF(AND(E330="hecho",F330="FUERA_REF",H330="no_resp"),"NO-ABS ","")&amp;IF(AND(E330="hecho",I330="SIN-RESPALDO"),"SIN-R ","")&amp;IF(AND(E330="hecho",I330="CITA-X"),"CITA-X ","")&amp;IF(AND(E330="hecho",I330="SIN-CITA"),"SIN-C ",""))="","-",TRIM(IF(AND(E330="hecho",F330="INCORRECTA"),"INC ","")&amp;IF(AND(E330="abstencion",F330="INCORRECTA"),"ABS-E ","")&amp;IF(AND(E330="hecho",F330="FUERA_REF",H330="no_resp"),"NO-ABS ","")&amp;IF(AND(E330="hecho",I330="SIN-RESPALDO"),"SIN-R ","")&amp;IF(AND(E330="hecho",I330="CITA-X"),"CITA-X ","")&amp;IF(AND(E330="hecho",I330="SIN-CITA"),"SIN-C ","")))))</f>
        <v/>
      </c>
      <c r="N330" s="5">
        <f>IF(D330="","",IF(OR(A330="",B330="",E330="",F330=""),"falta qid, modo, tipo o vs_ref",IF(AND(B330="llm",I330&lt;&gt;""),"respaldo no aplica en modo LLM",IF(AND(E330="abstencion",I330&lt;&gt;""),"una abstención no se califica en citas",IF(AND(B330="rag",E330="hecho",I330=""),"falta respaldo","ok")))))</f>
        <v/>
      </c>
    </row>
    <row r="331">
      <c r="A331" s="6" t="n"/>
      <c r="B331" s="6" t="n"/>
      <c r="C331" s="5">
        <f>IF(A331="","",COUNTIFS($A$2:A331,A331,$B$2:B331,B331))</f>
        <v/>
      </c>
      <c r="D331" s="6" t="n"/>
      <c r="E331" s="6" t="n"/>
      <c r="F331" s="6" t="n"/>
      <c r="G331" s="6" t="n"/>
      <c r="H331" s="6" t="n"/>
      <c r="I331" s="6" t="n"/>
      <c r="J331" s="6" t="n"/>
      <c r="K331" s="6" t="n"/>
      <c r="L331" s="6" t="n"/>
      <c r="M331" s="5">
        <f>IF(D331="","",IF(OR(E331="",F331=""),"",IF(TRIM(IF(AND(E331="hecho",F331="INCORRECTA"),"INC ","")&amp;IF(AND(E331="abstencion",F331="INCORRECTA"),"ABS-E ","")&amp;IF(AND(E331="hecho",F331="FUERA_REF",H331="no_resp"),"NO-ABS ","")&amp;IF(AND(E331="hecho",I331="SIN-RESPALDO"),"SIN-R ","")&amp;IF(AND(E331="hecho",I331="CITA-X"),"CITA-X ","")&amp;IF(AND(E331="hecho",I331="SIN-CITA"),"SIN-C ",""))="","-",TRIM(IF(AND(E331="hecho",F331="INCORRECTA"),"INC ","")&amp;IF(AND(E331="abstencion",F331="INCORRECTA"),"ABS-E ","")&amp;IF(AND(E331="hecho",F331="FUERA_REF",H331="no_resp"),"NO-ABS ","")&amp;IF(AND(E331="hecho",I331="SIN-RESPALDO"),"SIN-R ","")&amp;IF(AND(E331="hecho",I331="CITA-X"),"CITA-X ","")&amp;IF(AND(E331="hecho",I331="SIN-CITA"),"SIN-C ","")))))</f>
        <v/>
      </c>
      <c r="N331" s="5">
        <f>IF(D331="","",IF(OR(A331="",B331="",E331="",F331=""),"falta qid, modo, tipo o vs_ref",IF(AND(B331="llm",I331&lt;&gt;""),"respaldo no aplica en modo LLM",IF(AND(E331="abstencion",I331&lt;&gt;""),"una abstención no se califica en citas",IF(AND(B331="rag",E331="hecho",I331=""),"falta respaldo","ok")))))</f>
        <v/>
      </c>
    </row>
    <row r="332">
      <c r="A332" s="6" t="n"/>
      <c r="B332" s="6" t="n"/>
      <c r="C332" s="5">
        <f>IF(A332="","",COUNTIFS($A$2:A332,A332,$B$2:B332,B332))</f>
        <v/>
      </c>
      <c r="D332" s="6" t="n"/>
      <c r="E332" s="6" t="n"/>
      <c r="F332" s="6" t="n"/>
      <c r="G332" s="6" t="n"/>
      <c r="H332" s="6" t="n"/>
      <c r="I332" s="6" t="n"/>
      <c r="J332" s="6" t="n"/>
      <c r="K332" s="6" t="n"/>
      <c r="L332" s="6" t="n"/>
      <c r="M332" s="5">
        <f>IF(D332="","",IF(OR(E332="",F332=""),"",IF(TRIM(IF(AND(E332="hecho",F332="INCORRECTA"),"INC ","")&amp;IF(AND(E332="abstencion",F332="INCORRECTA"),"ABS-E ","")&amp;IF(AND(E332="hecho",F332="FUERA_REF",H332="no_resp"),"NO-ABS ","")&amp;IF(AND(E332="hecho",I332="SIN-RESPALDO"),"SIN-R ","")&amp;IF(AND(E332="hecho",I332="CITA-X"),"CITA-X ","")&amp;IF(AND(E332="hecho",I332="SIN-CITA"),"SIN-C ",""))="","-",TRIM(IF(AND(E332="hecho",F332="INCORRECTA"),"INC ","")&amp;IF(AND(E332="abstencion",F332="INCORRECTA"),"ABS-E ","")&amp;IF(AND(E332="hecho",F332="FUERA_REF",H332="no_resp"),"NO-ABS ","")&amp;IF(AND(E332="hecho",I332="SIN-RESPALDO"),"SIN-R ","")&amp;IF(AND(E332="hecho",I332="CITA-X"),"CITA-X ","")&amp;IF(AND(E332="hecho",I332="SIN-CITA"),"SIN-C ","")))))</f>
        <v/>
      </c>
      <c r="N332" s="5">
        <f>IF(D332="","",IF(OR(A332="",B332="",E332="",F332=""),"falta qid, modo, tipo o vs_ref",IF(AND(B332="llm",I332&lt;&gt;""),"respaldo no aplica en modo LLM",IF(AND(E332="abstencion",I332&lt;&gt;""),"una abstención no se califica en citas",IF(AND(B332="rag",E332="hecho",I332=""),"falta respaldo","ok")))))</f>
        <v/>
      </c>
    </row>
    <row r="333">
      <c r="A333" s="6" t="n"/>
      <c r="B333" s="6" t="n"/>
      <c r="C333" s="5">
        <f>IF(A333="","",COUNTIFS($A$2:A333,A333,$B$2:B333,B333))</f>
        <v/>
      </c>
      <c r="D333" s="6" t="n"/>
      <c r="E333" s="6" t="n"/>
      <c r="F333" s="6" t="n"/>
      <c r="G333" s="6" t="n"/>
      <c r="H333" s="6" t="n"/>
      <c r="I333" s="6" t="n"/>
      <c r="J333" s="6" t="n"/>
      <c r="K333" s="6" t="n"/>
      <c r="L333" s="6" t="n"/>
      <c r="M333" s="5">
        <f>IF(D333="","",IF(OR(E333="",F333=""),"",IF(TRIM(IF(AND(E333="hecho",F333="INCORRECTA"),"INC ","")&amp;IF(AND(E333="abstencion",F333="INCORRECTA"),"ABS-E ","")&amp;IF(AND(E333="hecho",F333="FUERA_REF",H333="no_resp"),"NO-ABS ","")&amp;IF(AND(E333="hecho",I333="SIN-RESPALDO"),"SIN-R ","")&amp;IF(AND(E333="hecho",I333="CITA-X"),"CITA-X ","")&amp;IF(AND(E333="hecho",I333="SIN-CITA"),"SIN-C ",""))="","-",TRIM(IF(AND(E333="hecho",F333="INCORRECTA"),"INC ","")&amp;IF(AND(E333="abstencion",F333="INCORRECTA"),"ABS-E ","")&amp;IF(AND(E333="hecho",F333="FUERA_REF",H333="no_resp"),"NO-ABS ","")&amp;IF(AND(E333="hecho",I333="SIN-RESPALDO"),"SIN-R ","")&amp;IF(AND(E333="hecho",I333="CITA-X"),"CITA-X ","")&amp;IF(AND(E333="hecho",I333="SIN-CITA"),"SIN-C ","")))))</f>
        <v/>
      </c>
      <c r="N333" s="5">
        <f>IF(D333="","",IF(OR(A333="",B333="",E333="",F333=""),"falta qid, modo, tipo o vs_ref",IF(AND(B333="llm",I333&lt;&gt;""),"respaldo no aplica en modo LLM",IF(AND(E333="abstencion",I333&lt;&gt;""),"una abstención no se califica en citas",IF(AND(B333="rag",E333="hecho",I333=""),"falta respaldo","ok")))))</f>
        <v/>
      </c>
    </row>
    <row r="334">
      <c r="A334" s="6" t="n"/>
      <c r="B334" s="6" t="n"/>
      <c r="C334" s="5">
        <f>IF(A334="","",COUNTIFS($A$2:A334,A334,$B$2:B334,B334))</f>
        <v/>
      </c>
      <c r="D334" s="6" t="n"/>
      <c r="E334" s="6" t="n"/>
      <c r="F334" s="6" t="n"/>
      <c r="G334" s="6" t="n"/>
      <c r="H334" s="6" t="n"/>
      <c r="I334" s="6" t="n"/>
      <c r="J334" s="6" t="n"/>
      <c r="K334" s="6" t="n"/>
      <c r="L334" s="6" t="n"/>
      <c r="M334" s="5">
        <f>IF(D334="","",IF(OR(E334="",F334=""),"",IF(TRIM(IF(AND(E334="hecho",F334="INCORRECTA"),"INC ","")&amp;IF(AND(E334="abstencion",F334="INCORRECTA"),"ABS-E ","")&amp;IF(AND(E334="hecho",F334="FUERA_REF",H334="no_resp"),"NO-ABS ","")&amp;IF(AND(E334="hecho",I334="SIN-RESPALDO"),"SIN-R ","")&amp;IF(AND(E334="hecho",I334="CITA-X"),"CITA-X ","")&amp;IF(AND(E334="hecho",I334="SIN-CITA"),"SIN-C ",""))="","-",TRIM(IF(AND(E334="hecho",F334="INCORRECTA"),"INC ","")&amp;IF(AND(E334="abstencion",F334="INCORRECTA"),"ABS-E ","")&amp;IF(AND(E334="hecho",F334="FUERA_REF",H334="no_resp"),"NO-ABS ","")&amp;IF(AND(E334="hecho",I334="SIN-RESPALDO"),"SIN-R ","")&amp;IF(AND(E334="hecho",I334="CITA-X"),"CITA-X ","")&amp;IF(AND(E334="hecho",I334="SIN-CITA"),"SIN-C ","")))))</f>
        <v/>
      </c>
      <c r="N334" s="5">
        <f>IF(D334="","",IF(OR(A334="",B334="",E334="",F334=""),"falta qid, modo, tipo o vs_ref",IF(AND(B334="llm",I334&lt;&gt;""),"respaldo no aplica en modo LLM",IF(AND(E334="abstencion",I334&lt;&gt;""),"una abstención no se califica en citas",IF(AND(B334="rag",E334="hecho",I334=""),"falta respaldo","ok")))))</f>
        <v/>
      </c>
    </row>
    <row r="335">
      <c r="A335" s="6" t="n"/>
      <c r="B335" s="6" t="n"/>
      <c r="C335" s="5">
        <f>IF(A335="","",COUNTIFS($A$2:A335,A335,$B$2:B335,B335))</f>
        <v/>
      </c>
      <c r="D335" s="6" t="n"/>
      <c r="E335" s="6" t="n"/>
      <c r="F335" s="6" t="n"/>
      <c r="G335" s="6" t="n"/>
      <c r="H335" s="6" t="n"/>
      <c r="I335" s="6" t="n"/>
      <c r="J335" s="6" t="n"/>
      <c r="K335" s="6" t="n"/>
      <c r="L335" s="6" t="n"/>
      <c r="M335" s="5">
        <f>IF(D335="","",IF(OR(E335="",F335=""),"",IF(TRIM(IF(AND(E335="hecho",F335="INCORRECTA"),"INC ","")&amp;IF(AND(E335="abstencion",F335="INCORRECTA"),"ABS-E ","")&amp;IF(AND(E335="hecho",F335="FUERA_REF",H335="no_resp"),"NO-ABS ","")&amp;IF(AND(E335="hecho",I335="SIN-RESPALDO"),"SIN-R ","")&amp;IF(AND(E335="hecho",I335="CITA-X"),"CITA-X ","")&amp;IF(AND(E335="hecho",I335="SIN-CITA"),"SIN-C ",""))="","-",TRIM(IF(AND(E335="hecho",F335="INCORRECTA"),"INC ","")&amp;IF(AND(E335="abstencion",F335="INCORRECTA"),"ABS-E ","")&amp;IF(AND(E335="hecho",F335="FUERA_REF",H335="no_resp"),"NO-ABS ","")&amp;IF(AND(E335="hecho",I335="SIN-RESPALDO"),"SIN-R ","")&amp;IF(AND(E335="hecho",I335="CITA-X"),"CITA-X ","")&amp;IF(AND(E335="hecho",I335="SIN-CITA"),"SIN-C ","")))))</f>
        <v/>
      </c>
      <c r="N335" s="5">
        <f>IF(D335="","",IF(OR(A335="",B335="",E335="",F335=""),"falta qid, modo, tipo o vs_ref",IF(AND(B335="llm",I335&lt;&gt;""),"respaldo no aplica en modo LLM",IF(AND(E335="abstencion",I335&lt;&gt;""),"una abstención no se califica en citas",IF(AND(B335="rag",E335="hecho",I335=""),"falta respaldo","ok")))))</f>
        <v/>
      </c>
    </row>
    <row r="336">
      <c r="A336" s="6" t="n"/>
      <c r="B336" s="6" t="n"/>
      <c r="C336" s="5">
        <f>IF(A336="","",COUNTIFS($A$2:A336,A336,$B$2:B336,B336))</f>
        <v/>
      </c>
      <c r="D336" s="6" t="n"/>
      <c r="E336" s="6" t="n"/>
      <c r="F336" s="6" t="n"/>
      <c r="G336" s="6" t="n"/>
      <c r="H336" s="6" t="n"/>
      <c r="I336" s="6" t="n"/>
      <c r="J336" s="6" t="n"/>
      <c r="K336" s="6" t="n"/>
      <c r="L336" s="6" t="n"/>
      <c r="M336" s="5">
        <f>IF(D336="","",IF(OR(E336="",F336=""),"",IF(TRIM(IF(AND(E336="hecho",F336="INCORRECTA"),"INC ","")&amp;IF(AND(E336="abstencion",F336="INCORRECTA"),"ABS-E ","")&amp;IF(AND(E336="hecho",F336="FUERA_REF",H336="no_resp"),"NO-ABS ","")&amp;IF(AND(E336="hecho",I336="SIN-RESPALDO"),"SIN-R ","")&amp;IF(AND(E336="hecho",I336="CITA-X"),"CITA-X ","")&amp;IF(AND(E336="hecho",I336="SIN-CITA"),"SIN-C ",""))="","-",TRIM(IF(AND(E336="hecho",F336="INCORRECTA"),"INC ","")&amp;IF(AND(E336="abstencion",F336="INCORRECTA"),"ABS-E ","")&amp;IF(AND(E336="hecho",F336="FUERA_REF",H336="no_resp"),"NO-ABS ","")&amp;IF(AND(E336="hecho",I336="SIN-RESPALDO"),"SIN-R ","")&amp;IF(AND(E336="hecho",I336="CITA-X"),"CITA-X ","")&amp;IF(AND(E336="hecho",I336="SIN-CITA"),"SIN-C ","")))))</f>
        <v/>
      </c>
      <c r="N336" s="5">
        <f>IF(D336="","",IF(OR(A336="",B336="",E336="",F336=""),"falta qid, modo, tipo o vs_ref",IF(AND(B336="llm",I336&lt;&gt;""),"respaldo no aplica en modo LLM",IF(AND(E336="abstencion",I336&lt;&gt;""),"una abstención no se califica en citas",IF(AND(B336="rag",E336="hecho",I336=""),"falta respaldo","ok")))))</f>
        <v/>
      </c>
    </row>
    <row r="337">
      <c r="A337" s="6" t="n"/>
      <c r="B337" s="6" t="n"/>
      <c r="C337" s="5">
        <f>IF(A337="","",COUNTIFS($A$2:A337,A337,$B$2:B337,B337))</f>
        <v/>
      </c>
      <c r="D337" s="6" t="n"/>
      <c r="E337" s="6" t="n"/>
      <c r="F337" s="6" t="n"/>
      <c r="G337" s="6" t="n"/>
      <c r="H337" s="6" t="n"/>
      <c r="I337" s="6" t="n"/>
      <c r="J337" s="6" t="n"/>
      <c r="K337" s="6" t="n"/>
      <c r="L337" s="6" t="n"/>
      <c r="M337" s="5">
        <f>IF(D337="","",IF(OR(E337="",F337=""),"",IF(TRIM(IF(AND(E337="hecho",F337="INCORRECTA"),"INC ","")&amp;IF(AND(E337="abstencion",F337="INCORRECTA"),"ABS-E ","")&amp;IF(AND(E337="hecho",F337="FUERA_REF",H337="no_resp"),"NO-ABS ","")&amp;IF(AND(E337="hecho",I337="SIN-RESPALDO"),"SIN-R ","")&amp;IF(AND(E337="hecho",I337="CITA-X"),"CITA-X ","")&amp;IF(AND(E337="hecho",I337="SIN-CITA"),"SIN-C ",""))="","-",TRIM(IF(AND(E337="hecho",F337="INCORRECTA"),"INC ","")&amp;IF(AND(E337="abstencion",F337="INCORRECTA"),"ABS-E ","")&amp;IF(AND(E337="hecho",F337="FUERA_REF",H337="no_resp"),"NO-ABS ","")&amp;IF(AND(E337="hecho",I337="SIN-RESPALDO"),"SIN-R ","")&amp;IF(AND(E337="hecho",I337="CITA-X"),"CITA-X ","")&amp;IF(AND(E337="hecho",I337="SIN-CITA"),"SIN-C ","")))))</f>
        <v/>
      </c>
      <c r="N337" s="5">
        <f>IF(D337="","",IF(OR(A337="",B337="",E337="",F337=""),"falta qid, modo, tipo o vs_ref",IF(AND(B337="llm",I337&lt;&gt;""),"respaldo no aplica en modo LLM",IF(AND(E337="abstencion",I337&lt;&gt;""),"una abstención no se califica en citas",IF(AND(B337="rag",E337="hecho",I337=""),"falta respaldo","ok")))))</f>
        <v/>
      </c>
    </row>
    <row r="338">
      <c r="A338" s="6" t="n"/>
      <c r="B338" s="6" t="n"/>
      <c r="C338" s="5">
        <f>IF(A338="","",COUNTIFS($A$2:A338,A338,$B$2:B338,B338))</f>
        <v/>
      </c>
      <c r="D338" s="6" t="n"/>
      <c r="E338" s="6" t="n"/>
      <c r="F338" s="6" t="n"/>
      <c r="G338" s="6" t="n"/>
      <c r="H338" s="6" t="n"/>
      <c r="I338" s="6" t="n"/>
      <c r="J338" s="6" t="n"/>
      <c r="K338" s="6" t="n"/>
      <c r="L338" s="6" t="n"/>
      <c r="M338" s="5">
        <f>IF(D338="","",IF(OR(E338="",F338=""),"",IF(TRIM(IF(AND(E338="hecho",F338="INCORRECTA"),"INC ","")&amp;IF(AND(E338="abstencion",F338="INCORRECTA"),"ABS-E ","")&amp;IF(AND(E338="hecho",F338="FUERA_REF",H338="no_resp"),"NO-ABS ","")&amp;IF(AND(E338="hecho",I338="SIN-RESPALDO"),"SIN-R ","")&amp;IF(AND(E338="hecho",I338="CITA-X"),"CITA-X ","")&amp;IF(AND(E338="hecho",I338="SIN-CITA"),"SIN-C ",""))="","-",TRIM(IF(AND(E338="hecho",F338="INCORRECTA"),"INC ","")&amp;IF(AND(E338="abstencion",F338="INCORRECTA"),"ABS-E ","")&amp;IF(AND(E338="hecho",F338="FUERA_REF",H338="no_resp"),"NO-ABS ","")&amp;IF(AND(E338="hecho",I338="SIN-RESPALDO"),"SIN-R ","")&amp;IF(AND(E338="hecho",I338="CITA-X"),"CITA-X ","")&amp;IF(AND(E338="hecho",I338="SIN-CITA"),"SIN-C ","")))))</f>
        <v/>
      </c>
      <c r="N338" s="5">
        <f>IF(D338="","",IF(OR(A338="",B338="",E338="",F338=""),"falta qid, modo, tipo o vs_ref",IF(AND(B338="llm",I338&lt;&gt;""),"respaldo no aplica en modo LLM",IF(AND(E338="abstencion",I338&lt;&gt;""),"una abstención no se califica en citas",IF(AND(B338="rag",E338="hecho",I338=""),"falta respaldo","ok")))))</f>
        <v/>
      </c>
    </row>
    <row r="339">
      <c r="A339" s="6" t="n"/>
      <c r="B339" s="6" t="n"/>
      <c r="C339" s="5">
        <f>IF(A339="","",COUNTIFS($A$2:A339,A339,$B$2:B339,B339))</f>
        <v/>
      </c>
      <c r="D339" s="6" t="n"/>
      <c r="E339" s="6" t="n"/>
      <c r="F339" s="6" t="n"/>
      <c r="G339" s="6" t="n"/>
      <c r="H339" s="6" t="n"/>
      <c r="I339" s="6" t="n"/>
      <c r="J339" s="6" t="n"/>
      <c r="K339" s="6" t="n"/>
      <c r="L339" s="6" t="n"/>
      <c r="M339" s="5">
        <f>IF(D339="","",IF(OR(E339="",F339=""),"",IF(TRIM(IF(AND(E339="hecho",F339="INCORRECTA"),"INC ","")&amp;IF(AND(E339="abstencion",F339="INCORRECTA"),"ABS-E ","")&amp;IF(AND(E339="hecho",F339="FUERA_REF",H339="no_resp"),"NO-ABS ","")&amp;IF(AND(E339="hecho",I339="SIN-RESPALDO"),"SIN-R ","")&amp;IF(AND(E339="hecho",I339="CITA-X"),"CITA-X ","")&amp;IF(AND(E339="hecho",I339="SIN-CITA"),"SIN-C ",""))="","-",TRIM(IF(AND(E339="hecho",F339="INCORRECTA"),"INC ","")&amp;IF(AND(E339="abstencion",F339="INCORRECTA"),"ABS-E ","")&amp;IF(AND(E339="hecho",F339="FUERA_REF",H339="no_resp"),"NO-ABS ","")&amp;IF(AND(E339="hecho",I339="SIN-RESPALDO"),"SIN-R ","")&amp;IF(AND(E339="hecho",I339="CITA-X"),"CITA-X ","")&amp;IF(AND(E339="hecho",I339="SIN-CITA"),"SIN-C ","")))))</f>
        <v/>
      </c>
      <c r="N339" s="5">
        <f>IF(D339="","",IF(OR(A339="",B339="",E339="",F339=""),"falta qid, modo, tipo o vs_ref",IF(AND(B339="llm",I339&lt;&gt;""),"respaldo no aplica en modo LLM",IF(AND(E339="abstencion",I339&lt;&gt;""),"una abstención no se califica en citas",IF(AND(B339="rag",E339="hecho",I339=""),"falta respaldo","ok")))))</f>
        <v/>
      </c>
    </row>
    <row r="340">
      <c r="A340" s="6" t="n"/>
      <c r="B340" s="6" t="n"/>
      <c r="C340" s="5">
        <f>IF(A340="","",COUNTIFS($A$2:A340,A340,$B$2:B340,B340))</f>
        <v/>
      </c>
      <c r="D340" s="6" t="n"/>
      <c r="E340" s="6" t="n"/>
      <c r="F340" s="6" t="n"/>
      <c r="G340" s="6" t="n"/>
      <c r="H340" s="6" t="n"/>
      <c r="I340" s="6" t="n"/>
      <c r="J340" s="6" t="n"/>
      <c r="K340" s="6" t="n"/>
      <c r="L340" s="6" t="n"/>
      <c r="M340" s="5">
        <f>IF(D340="","",IF(OR(E340="",F340=""),"",IF(TRIM(IF(AND(E340="hecho",F340="INCORRECTA"),"INC ","")&amp;IF(AND(E340="abstencion",F340="INCORRECTA"),"ABS-E ","")&amp;IF(AND(E340="hecho",F340="FUERA_REF",H340="no_resp"),"NO-ABS ","")&amp;IF(AND(E340="hecho",I340="SIN-RESPALDO"),"SIN-R ","")&amp;IF(AND(E340="hecho",I340="CITA-X"),"CITA-X ","")&amp;IF(AND(E340="hecho",I340="SIN-CITA"),"SIN-C ",""))="","-",TRIM(IF(AND(E340="hecho",F340="INCORRECTA"),"INC ","")&amp;IF(AND(E340="abstencion",F340="INCORRECTA"),"ABS-E ","")&amp;IF(AND(E340="hecho",F340="FUERA_REF",H340="no_resp"),"NO-ABS ","")&amp;IF(AND(E340="hecho",I340="SIN-RESPALDO"),"SIN-R ","")&amp;IF(AND(E340="hecho",I340="CITA-X"),"CITA-X ","")&amp;IF(AND(E340="hecho",I340="SIN-CITA"),"SIN-C ","")))))</f>
        <v/>
      </c>
      <c r="N340" s="5">
        <f>IF(D340="","",IF(OR(A340="",B340="",E340="",F340=""),"falta qid, modo, tipo o vs_ref",IF(AND(B340="llm",I340&lt;&gt;""),"respaldo no aplica en modo LLM",IF(AND(E340="abstencion",I340&lt;&gt;""),"una abstención no se califica en citas",IF(AND(B340="rag",E340="hecho",I340=""),"falta respaldo","ok")))))</f>
        <v/>
      </c>
    </row>
    <row r="341">
      <c r="A341" s="6" t="n"/>
      <c r="B341" s="6" t="n"/>
      <c r="C341" s="5">
        <f>IF(A341="","",COUNTIFS($A$2:A341,A341,$B$2:B341,B341))</f>
        <v/>
      </c>
      <c r="D341" s="6" t="n"/>
      <c r="E341" s="6" t="n"/>
      <c r="F341" s="6" t="n"/>
      <c r="G341" s="6" t="n"/>
      <c r="H341" s="6" t="n"/>
      <c r="I341" s="6" t="n"/>
      <c r="J341" s="6" t="n"/>
      <c r="K341" s="6" t="n"/>
      <c r="L341" s="6" t="n"/>
      <c r="M341" s="5">
        <f>IF(D341="","",IF(OR(E341="",F341=""),"",IF(TRIM(IF(AND(E341="hecho",F341="INCORRECTA"),"INC ","")&amp;IF(AND(E341="abstencion",F341="INCORRECTA"),"ABS-E ","")&amp;IF(AND(E341="hecho",F341="FUERA_REF",H341="no_resp"),"NO-ABS ","")&amp;IF(AND(E341="hecho",I341="SIN-RESPALDO"),"SIN-R ","")&amp;IF(AND(E341="hecho",I341="CITA-X"),"CITA-X ","")&amp;IF(AND(E341="hecho",I341="SIN-CITA"),"SIN-C ",""))="","-",TRIM(IF(AND(E341="hecho",F341="INCORRECTA"),"INC ","")&amp;IF(AND(E341="abstencion",F341="INCORRECTA"),"ABS-E ","")&amp;IF(AND(E341="hecho",F341="FUERA_REF",H341="no_resp"),"NO-ABS ","")&amp;IF(AND(E341="hecho",I341="SIN-RESPALDO"),"SIN-R ","")&amp;IF(AND(E341="hecho",I341="CITA-X"),"CITA-X ","")&amp;IF(AND(E341="hecho",I341="SIN-CITA"),"SIN-C ","")))))</f>
        <v/>
      </c>
      <c r="N341" s="5">
        <f>IF(D341="","",IF(OR(A341="",B341="",E341="",F341=""),"falta qid, modo, tipo o vs_ref",IF(AND(B341="llm",I341&lt;&gt;""),"respaldo no aplica en modo LLM",IF(AND(E341="abstencion",I341&lt;&gt;""),"una abstención no se califica en citas",IF(AND(B341="rag",E341="hecho",I341=""),"falta respaldo","ok")))))</f>
        <v/>
      </c>
    </row>
    <row r="342">
      <c r="A342" s="6" t="n"/>
      <c r="B342" s="6" t="n"/>
      <c r="C342" s="5">
        <f>IF(A342="","",COUNTIFS($A$2:A342,A342,$B$2:B342,B342))</f>
        <v/>
      </c>
      <c r="D342" s="6" t="n"/>
      <c r="E342" s="6" t="n"/>
      <c r="F342" s="6" t="n"/>
      <c r="G342" s="6" t="n"/>
      <c r="H342" s="6" t="n"/>
      <c r="I342" s="6" t="n"/>
      <c r="J342" s="6" t="n"/>
      <c r="K342" s="6" t="n"/>
      <c r="L342" s="6" t="n"/>
      <c r="M342" s="5">
        <f>IF(D342="","",IF(OR(E342="",F342=""),"",IF(TRIM(IF(AND(E342="hecho",F342="INCORRECTA"),"INC ","")&amp;IF(AND(E342="abstencion",F342="INCORRECTA"),"ABS-E ","")&amp;IF(AND(E342="hecho",F342="FUERA_REF",H342="no_resp"),"NO-ABS ","")&amp;IF(AND(E342="hecho",I342="SIN-RESPALDO"),"SIN-R ","")&amp;IF(AND(E342="hecho",I342="CITA-X"),"CITA-X ","")&amp;IF(AND(E342="hecho",I342="SIN-CITA"),"SIN-C ",""))="","-",TRIM(IF(AND(E342="hecho",F342="INCORRECTA"),"INC ","")&amp;IF(AND(E342="abstencion",F342="INCORRECTA"),"ABS-E ","")&amp;IF(AND(E342="hecho",F342="FUERA_REF",H342="no_resp"),"NO-ABS ","")&amp;IF(AND(E342="hecho",I342="SIN-RESPALDO"),"SIN-R ","")&amp;IF(AND(E342="hecho",I342="CITA-X"),"CITA-X ","")&amp;IF(AND(E342="hecho",I342="SIN-CITA"),"SIN-C ","")))))</f>
        <v/>
      </c>
      <c r="N342" s="5">
        <f>IF(D342="","",IF(OR(A342="",B342="",E342="",F342=""),"falta qid, modo, tipo o vs_ref",IF(AND(B342="llm",I342&lt;&gt;""),"respaldo no aplica en modo LLM",IF(AND(E342="abstencion",I342&lt;&gt;""),"una abstención no se califica en citas",IF(AND(B342="rag",E342="hecho",I342=""),"falta respaldo","ok")))))</f>
        <v/>
      </c>
    </row>
    <row r="343">
      <c r="A343" s="6" t="n"/>
      <c r="B343" s="6" t="n"/>
      <c r="C343" s="5">
        <f>IF(A343="","",COUNTIFS($A$2:A343,A343,$B$2:B343,B343))</f>
        <v/>
      </c>
      <c r="D343" s="6" t="n"/>
      <c r="E343" s="6" t="n"/>
      <c r="F343" s="6" t="n"/>
      <c r="G343" s="6" t="n"/>
      <c r="H343" s="6" t="n"/>
      <c r="I343" s="6" t="n"/>
      <c r="J343" s="6" t="n"/>
      <c r="K343" s="6" t="n"/>
      <c r="L343" s="6" t="n"/>
      <c r="M343" s="5">
        <f>IF(D343="","",IF(OR(E343="",F343=""),"",IF(TRIM(IF(AND(E343="hecho",F343="INCORRECTA"),"INC ","")&amp;IF(AND(E343="abstencion",F343="INCORRECTA"),"ABS-E ","")&amp;IF(AND(E343="hecho",F343="FUERA_REF",H343="no_resp"),"NO-ABS ","")&amp;IF(AND(E343="hecho",I343="SIN-RESPALDO"),"SIN-R ","")&amp;IF(AND(E343="hecho",I343="CITA-X"),"CITA-X ","")&amp;IF(AND(E343="hecho",I343="SIN-CITA"),"SIN-C ",""))="","-",TRIM(IF(AND(E343="hecho",F343="INCORRECTA"),"INC ","")&amp;IF(AND(E343="abstencion",F343="INCORRECTA"),"ABS-E ","")&amp;IF(AND(E343="hecho",F343="FUERA_REF",H343="no_resp"),"NO-ABS ","")&amp;IF(AND(E343="hecho",I343="SIN-RESPALDO"),"SIN-R ","")&amp;IF(AND(E343="hecho",I343="CITA-X"),"CITA-X ","")&amp;IF(AND(E343="hecho",I343="SIN-CITA"),"SIN-C ","")))))</f>
        <v/>
      </c>
      <c r="N343" s="5">
        <f>IF(D343="","",IF(OR(A343="",B343="",E343="",F343=""),"falta qid, modo, tipo o vs_ref",IF(AND(B343="llm",I343&lt;&gt;""),"respaldo no aplica en modo LLM",IF(AND(E343="abstencion",I343&lt;&gt;""),"una abstención no se califica en citas",IF(AND(B343="rag",E343="hecho",I343=""),"falta respaldo","ok")))))</f>
        <v/>
      </c>
    </row>
    <row r="344">
      <c r="A344" s="6" t="n"/>
      <c r="B344" s="6" t="n"/>
      <c r="C344" s="5">
        <f>IF(A344="","",COUNTIFS($A$2:A344,A344,$B$2:B344,B344))</f>
        <v/>
      </c>
      <c r="D344" s="6" t="n"/>
      <c r="E344" s="6" t="n"/>
      <c r="F344" s="6" t="n"/>
      <c r="G344" s="6" t="n"/>
      <c r="H344" s="6" t="n"/>
      <c r="I344" s="6" t="n"/>
      <c r="J344" s="6" t="n"/>
      <c r="K344" s="6" t="n"/>
      <c r="L344" s="6" t="n"/>
      <c r="M344" s="5">
        <f>IF(D344="","",IF(OR(E344="",F344=""),"",IF(TRIM(IF(AND(E344="hecho",F344="INCORRECTA"),"INC ","")&amp;IF(AND(E344="abstencion",F344="INCORRECTA"),"ABS-E ","")&amp;IF(AND(E344="hecho",F344="FUERA_REF",H344="no_resp"),"NO-ABS ","")&amp;IF(AND(E344="hecho",I344="SIN-RESPALDO"),"SIN-R ","")&amp;IF(AND(E344="hecho",I344="CITA-X"),"CITA-X ","")&amp;IF(AND(E344="hecho",I344="SIN-CITA"),"SIN-C ",""))="","-",TRIM(IF(AND(E344="hecho",F344="INCORRECTA"),"INC ","")&amp;IF(AND(E344="abstencion",F344="INCORRECTA"),"ABS-E ","")&amp;IF(AND(E344="hecho",F344="FUERA_REF",H344="no_resp"),"NO-ABS ","")&amp;IF(AND(E344="hecho",I344="SIN-RESPALDO"),"SIN-R ","")&amp;IF(AND(E344="hecho",I344="CITA-X"),"CITA-X ","")&amp;IF(AND(E344="hecho",I344="SIN-CITA"),"SIN-C ","")))))</f>
        <v/>
      </c>
      <c r="N344" s="5">
        <f>IF(D344="","",IF(OR(A344="",B344="",E344="",F344=""),"falta qid, modo, tipo o vs_ref",IF(AND(B344="llm",I344&lt;&gt;""),"respaldo no aplica en modo LLM",IF(AND(E344="abstencion",I344&lt;&gt;""),"una abstención no se califica en citas",IF(AND(B344="rag",E344="hecho",I344=""),"falta respaldo","ok")))))</f>
        <v/>
      </c>
    </row>
    <row r="345">
      <c r="A345" s="6" t="n"/>
      <c r="B345" s="6" t="n"/>
      <c r="C345" s="5">
        <f>IF(A345="","",COUNTIFS($A$2:A345,A345,$B$2:B345,B345))</f>
        <v/>
      </c>
      <c r="D345" s="6" t="n"/>
      <c r="E345" s="6" t="n"/>
      <c r="F345" s="6" t="n"/>
      <c r="G345" s="6" t="n"/>
      <c r="H345" s="6" t="n"/>
      <c r="I345" s="6" t="n"/>
      <c r="J345" s="6" t="n"/>
      <c r="K345" s="6" t="n"/>
      <c r="L345" s="6" t="n"/>
      <c r="M345" s="5">
        <f>IF(D345="","",IF(OR(E345="",F345=""),"",IF(TRIM(IF(AND(E345="hecho",F345="INCORRECTA"),"INC ","")&amp;IF(AND(E345="abstencion",F345="INCORRECTA"),"ABS-E ","")&amp;IF(AND(E345="hecho",F345="FUERA_REF",H345="no_resp"),"NO-ABS ","")&amp;IF(AND(E345="hecho",I345="SIN-RESPALDO"),"SIN-R ","")&amp;IF(AND(E345="hecho",I345="CITA-X"),"CITA-X ","")&amp;IF(AND(E345="hecho",I345="SIN-CITA"),"SIN-C ",""))="","-",TRIM(IF(AND(E345="hecho",F345="INCORRECTA"),"INC ","")&amp;IF(AND(E345="abstencion",F345="INCORRECTA"),"ABS-E ","")&amp;IF(AND(E345="hecho",F345="FUERA_REF",H345="no_resp"),"NO-ABS ","")&amp;IF(AND(E345="hecho",I345="SIN-RESPALDO"),"SIN-R ","")&amp;IF(AND(E345="hecho",I345="CITA-X"),"CITA-X ","")&amp;IF(AND(E345="hecho",I345="SIN-CITA"),"SIN-C ","")))))</f>
        <v/>
      </c>
      <c r="N345" s="5">
        <f>IF(D345="","",IF(OR(A345="",B345="",E345="",F345=""),"falta qid, modo, tipo o vs_ref",IF(AND(B345="llm",I345&lt;&gt;""),"respaldo no aplica en modo LLM",IF(AND(E345="abstencion",I345&lt;&gt;""),"una abstención no se califica en citas",IF(AND(B345="rag",E345="hecho",I345=""),"falta respaldo","ok")))))</f>
        <v/>
      </c>
    </row>
    <row r="346">
      <c r="A346" s="6" t="n"/>
      <c r="B346" s="6" t="n"/>
      <c r="C346" s="5">
        <f>IF(A346="","",COUNTIFS($A$2:A346,A346,$B$2:B346,B346))</f>
        <v/>
      </c>
      <c r="D346" s="6" t="n"/>
      <c r="E346" s="6" t="n"/>
      <c r="F346" s="6" t="n"/>
      <c r="G346" s="6" t="n"/>
      <c r="H346" s="6" t="n"/>
      <c r="I346" s="6" t="n"/>
      <c r="J346" s="6" t="n"/>
      <c r="K346" s="6" t="n"/>
      <c r="L346" s="6" t="n"/>
      <c r="M346" s="5">
        <f>IF(D346="","",IF(OR(E346="",F346=""),"",IF(TRIM(IF(AND(E346="hecho",F346="INCORRECTA"),"INC ","")&amp;IF(AND(E346="abstencion",F346="INCORRECTA"),"ABS-E ","")&amp;IF(AND(E346="hecho",F346="FUERA_REF",H346="no_resp"),"NO-ABS ","")&amp;IF(AND(E346="hecho",I346="SIN-RESPALDO"),"SIN-R ","")&amp;IF(AND(E346="hecho",I346="CITA-X"),"CITA-X ","")&amp;IF(AND(E346="hecho",I346="SIN-CITA"),"SIN-C ",""))="","-",TRIM(IF(AND(E346="hecho",F346="INCORRECTA"),"INC ","")&amp;IF(AND(E346="abstencion",F346="INCORRECTA"),"ABS-E ","")&amp;IF(AND(E346="hecho",F346="FUERA_REF",H346="no_resp"),"NO-ABS ","")&amp;IF(AND(E346="hecho",I346="SIN-RESPALDO"),"SIN-R ","")&amp;IF(AND(E346="hecho",I346="CITA-X"),"CITA-X ","")&amp;IF(AND(E346="hecho",I346="SIN-CITA"),"SIN-C ","")))))</f>
        <v/>
      </c>
      <c r="N346" s="5">
        <f>IF(D346="","",IF(OR(A346="",B346="",E346="",F346=""),"falta qid, modo, tipo o vs_ref",IF(AND(B346="llm",I346&lt;&gt;""),"respaldo no aplica en modo LLM",IF(AND(E346="abstencion",I346&lt;&gt;""),"una abstención no se califica en citas",IF(AND(B346="rag",E346="hecho",I346=""),"falta respaldo","ok")))))</f>
        <v/>
      </c>
    </row>
    <row r="347">
      <c r="A347" s="6" t="n"/>
      <c r="B347" s="6" t="n"/>
      <c r="C347" s="5">
        <f>IF(A347="","",COUNTIFS($A$2:A347,A347,$B$2:B347,B347))</f>
        <v/>
      </c>
      <c r="D347" s="6" t="n"/>
      <c r="E347" s="6" t="n"/>
      <c r="F347" s="6" t="n"/>
      <c r="G347" s="6" t="n"/>
      <c r="H347" s="6" t="n"/>
      <c r="I347" s="6" t="n"/>
      <c r="J347" s="6" t="n"/>
      <c r="K347" s="6" t="n"/>
      <c r="L347" s="6" t="n"/>
      <c r="M347" s="5">
        <f>IF(D347="","",IF(OR(E347="",F347=""),"",IF(TRIM(IF(AND(E347="hecho",F347="INCORRECTA"),"INC ","")&amp;IF(AND(E347="abstencion",F347="INCORRECTA"),"ABS-E ","")&amp;IF(AND(E347="hecho",F347="FUERA_REF",H347="no_resp"),"NO-ABS ","")&amp;IF(AND(E347="hecho",I347="SIN-RESPALDO"),"SIN-R ","")&amp;IF(AND(E347="hecho",I347="CITA-X"),"CITA-X ","")&amp;IF(AND(E347="hecho",I347="SIN-CITA"),"SIN-C ",""))="","-",TRIM(IF(AND(E347="hecho",F347="INCORRECTA"),"INC ","")&amp;IF(AND(E347="abstencion",F347="INCORRECTA"),"ABS-E ","")&amp;IF(AND(E347="hecho",F347="FUERA_REF",H347="no_resp"),"NO-ABS ","")&amp;IF(AND(E347="hecho",I347="SIN-RESPALDO"),"SIN-R ","")&amp;IF(AND(E347="hecho",I347="CITA-X"),"CITA-X ","")&amp;IF(AND(E347="hecho",I347="SIN-CITA"),"SIN-C ","")))))</f>
        <v/>
      </c>
      <c r="N347" s="5">
        <f>IF(D347="","",IF(OR(A347="",B347="",E347="",F347=""),"falta qid, modo, tipo o vs_ref",IF(AND(B347="llm",I347&lt;&gt;""),"respaldo no aplica en modo LLM",IF(AND(E347="abstencion",I347&lt;&gt;""),"una abstención no se califica en citas",IF(AND(B347="rag",E347="hecho",I347=""),"falta respaldo","ok")))))</f>
        <v/>
      </c>
    </row>
    <row r="348">
      <c r="A348" s="6" t="n"/>
      <c r="B348" s="6" t="n"/>
      <c r="C348" s="5">
        <f>IF(A348="","",COUNTIFS($A$2:A348,A348,$B$2:B348,B348))</f>
        <v/>
      </c>
      <c r="D348" s="6" t="n"/>
      <c r="E348" s="6" t="n"/>
      <c r="F348" s="6" t="n"/>
      <c r="G348" s="6" t="n"/>
      <c r="H348" s="6" t="n"/>
      <c r="I348" s="6" t="n"/>
      <c r="J348" s="6" t="n"/>
      <c r="K348" s="6" t="n"/>
      <c r="L348" s="6" t="n"/>
      <c r="M348" s="5">
        <f>IF(D348="","",IF(OR(E348="",F348=""),"",IF(TRIM(IF(AND(E348="hecho",F348="INCORRECTA"),"INC ","")&amp;IF(AND(E348="abstencion",F348="INCORRECTA"),"ABS-E ","")&amp;IF(AND(E348="hecho",F348="FUERA_REF",H348="no_resp"),"NO-ABS ","")&amp;IF(AND(E348="hecho",I348="SIN-RESPALDO"),"SIN-R ","")&amp;IF(AND(E348="hecho",I348="CITA-X"),"CITA-X ","")&amp;IF(AND(E348="hecho",I348="SIN-CITA"),"SIN-C ",""))="","-",TRIM(IF(AND(E348="hecho",F348="INCORRECTA"),"INC ","")&amp;IF(AND(E348="abstencion",F348="INCORRECTA"),"ABS-E ","")&amp;IF(AND(E348="hecho",F348="FUERA_REF",H348="no_resp"),"NO-ABS ","")&amp;IF(AND(E348="hecho",I348="SIN-RESPALDO"),"SIN-R ","")&amp;IF(AND(E348="hecho",I348="CITA-X"),"CITA-X ","")&amp;IF(AND(E348="hecho",I348="SIN-CITA"),"SIN-C ","")))))</f>
        <v/>
      </c>
      <c r="N348" s="5">
        <f>IF(D348="","",IF(OR(A348="",B348="",E348="",F348=""),"falta qid, modo, tipo o vs_ref",IF(AND(B348="llm",I348&lt;&gt;""),"respaldo no aplica en modo LLM",IF(AND(E348="abstencion",I348&lt;&gt;""),"una abstención no se califica en citas",IF(AND(B348="rag",E348="hecho",I348=""),"falta respaldo","ok")))))</f>
        <v/>
      </c>
    </row>
    <row r="349">
      <c r="A349" s="6" t="n"/>
      <c r="B349" s="6" t="n"/>
      <c r="C349" s="5">
        <f>IF(A349="","",COUNTIFS($A$2:A349,A349,$B$2:B349,B349))</f>
        <v/>
      </c>
      <c r="D349" s="6" t="n"/>
      <c r="E349" s="6" t="n"/>
      <c r="F349" s="6" t="n"/>
      <c r="G349" s="6" t="n"/>
      <c r="H349" s="6" t="n"/>
      <c r="I349" s="6" t="n"/>
      <c r="J349" s="6" t="n"/>
      <c r="K349" s="6" t="n"/>
      <c r="L349" s="6" t="n"/>
      <c r="M349" s="5">
        <f>IF(D349="","",IF(OR(E349="",F349=""),"",IF(TRIM(IF(AND(E349="hecho",F349="INCORRECTA"),"INC ","")&amp;IF(AND(E349="abstencion",F349="INCORRECTA"),"ABS-E ","")&amp;IF(AND(E349="hecho",F349="FUERA_REF",H349="no_resp"),"NO-ABS ","")&amp;IF(AND(E349="hecho",I349="SIN-RESPALDO"),"SIN-R ","")&amp;IF(AND(E349="hecho",I349="CITA-X"),"CITA-X ","")&amp;IF(AND(E349="hecho",I349="SIN-CITA"),"SIN-C ",""))="","-",TRIM(IF(AND(E349="hecho",F349="INCORRECTA"),"INC ","")&amp;IF(AND(E349="abstencion",F349="INCORRECTA"),"ABS-E ","")&amp;IF(AND(E349="hecho",F349="FUERA_REF",H349="no_resp"),"NO-ABS ","")&amp;IF(AND(E349="hecho",I349="SIN-RESPALDO"),"SIN-R ","")&amp;IF(AND(E349="hecho",I349="CITA-X"),"CITA-X ","")&amp;IF(AND(E349="hecho",I349="SIN-CITA"),"SIN-C ","")))))</f>
        <v/>
      </c>
      <c r="N349" s="5">
        <f>IF(D349="","",IF(OR(A349="",B349="",E349="",F349=""),"falta qid, modo, tipo o vs_ref",IF(AND(B349="llm",I349&lt;&gt;""),"respaldo no aplica en modo LLM",IF(AND(E349="abstencion",I349&lt;&gt;""),"una abstención no se califica en citas",IF(AND(B349="rag",E349="hecho",I349=""),"falta respaldo","ok")))))</f>
        <v/>
      </c>
    </row>
    <row r="350">
      <c r="A350" s="6" t="n"/>
      <c r="B350" s="6" t="n"/>
      <c r="C350" s="5">
        <f>IF(A350="","",COUNTIFS($A$2:A350,A350,$B$2:B350,B350))</f>
        <v/>
      </c>
      <c r="D350" s="6" t="n"/>
      <c r="E350" s="6" t="n"/>
      <c r="F350" s="6" t="n"/>
      <c r="G350" s="6" t="n"/>
      <c r="H350" s="6" t="n"/>
      <c r="I350" s="6" t="n"/>
      <c r="J350" s="6" t="n"/>
      <c r="K350" s="6" t="n"/>
      <c r="L350" s="6" t="n"/>
      <c r="M350" s="5">
        <f>IF(D350="","",IF(OR(E350="",F350=""),"",IF(TRIM(IF(AND(E350="hecho",F350="INCORRECTA"),"INC ","")&amp;IF(AND(E350="abstencion",F350="INCORRECTA"),"ABS-E ","")&amp;IF(AND(E350="hecho",F350="FUERA_REF",H350="no_resp"),"NO-ABS ","")&amp;IF(AND(E350="hecho",I350="SIN-RESPALDO"),"SIN-R ","")&amp;IF(AND(E350="hecho",I350="CITA-X"),"CITA-X ","")&amp;IF(AND(E350="hecho",I350="SIN-CITA"),"SIN-C ",""))="","-",TRIM(IF(AND(E350="hecho",F350="INCORRECTA"),"INC ","")&amp;IF(AND(E350="abstencion",F350="INCORRECTA"),"ABS-E ","")&amp;IF(AND(E350="hecho",F350="FUERA_REF",H350="no_resp"),"NO-ABS ","")&amp;IF(AND(E350="hecho",I350="SIN-RESPALDO"),"SIN-R ","")&amp;IF(AND(E350="hecho",I350="CITA-X"),"CITA-X ","")&amp;IF(AND(E350="hecho",I350="SIN-CITA"),"SIN-C ","")))))</f>
        <v/>
      </c>
      <c r="N350" s="5">
        <f>IF(D350="","",IF(OR(A350="",B350="",E350="",F350=""),"falta qid, modo, tipo o vs_ref",IF(AND(B350="llm",I350&lt;&gt;""),"respaldo no aplica en modo LLM",IF(AND(E350="abstencion",I350&lt;&gt;""),"una abstención no se califica en citas",IF(AND(B350="rag",E350="hecho",I350=""),"falta respaldo","ok")))))</f>
        <v/>
      </c>
    </row>
    <row r="351">
      <c r="A351" s="6" t="n"/>
      <c r="B351" s="6" t="n"/>
      <c r="C351" s="5">
        <f>IF(A351="","",COUNTIFS($A$2:A351,A351,$B$2:B351,B351))</f>
        <v/>
      </c>
      <c r="D351" s="6" t="n"/>
      <c r="E351" s="6" t="n"/>
      <c r="F351" s="6" t="n"/>
      <c r="G351" s="6" t="n"/>
      <c r="H351" s="6" t="n"/>
      <c r="I351" s="6" t="n"/>
      <c r="J351" s="6" t="n"/>
      <c r="K351" s="6" t="n"/>
      <c r="L351" s="6" t="n"/>
      <c r="M351" s="5">
        <f>IF(D351="","",IF(OR(E351="",F351=""),"",IF(TRIM(IF(AND(E351="hecho",F351="INCORRECTA"),"INC ","")&amp;IF(AND(E351="abstencion",F351="INCORRECTA"),"ABS-E ","")&amp;IF(AND(E351="hecho",F351="FUERA_REF",H351="no_resp"),"NO-ABS ","")&amp;IF(AND(E351="hecho",I351="SIN-RESPALDO"),"SIN-R ","")&amp;IF(AND(E351="hecho",I351="CITA-X"),"CITA-X ","")&amp;IF(AND(E351="hecho",I351="SIN-CITA"),"SIN-C ",""))="","-",TRIM(IF(AND(E351="hecho",F351="INCORRECTA"),"INC ","")&amp;IF(AND(E351="abstencion",F351="INCORRECTA"),"ABS-E ","")&amp;IF(AND(E351="hecho",F351="FUERA_REF",H351="no_resp"),"NO-ABS ","")&amp;IF(AND(E351="hecho",I351="SIN-RESPALDO"),"SIN-R ","")&amp;IF(AND(E351="hecho",I351="CITA-X"),"CITA-X ","")&amp;IF(AND(E351="hecho",I351="SIN-CITA"),"SIN-C ","")))))</f>
        <v/>
      </c>
      <c r="N351" s="5">
        <f>IF(D351="","",IF(OR(A351="",B351="",E351="",F351=""),"falta qid, modo, tipo o vs_ref",IF(AND(B351="llm",I351&lt;&gt;""),"respaldo no aplica en modo LLM",IF(AND(E351="abstencion",I351&lt;&gt;""),"una abstención no se califica en citas",IF(AND(B351="rag",E351="hecho",I351=""),"falta respaldo","ok")))))</f>
        <v/>
      </c>
    </row>
    <row r="352">
      <c r="A352" s="6" t="n"/>
      <c r="B352" s="6" t="n"/>
      <c r="C352" s="5">
        <f>IF(A352="","",COUNTIFS($A$2:A352,A352,$B$2:B352,B352))</f>
        <v/>
      </c>
      <c r="D352" s="6" t="n"/>
      <c r="E352" s="6" t="n"/>
      <c r="F352" s="6" t="n"/>
      <c r="G352" s="6" t="n"/>
      <c r="H352" s="6" t="n"/>
      <c r="I352" s="6" t="n"/>
      <c r="J352" s="6" t="n"/>
      <c r="K352" s="6" t="n"/>
      <c r="L352" s="6" t="n"/>
      <c r="M352" s="5">
        <f>IF(D352="","",IF(OR(E352="",F352=""),"",IF(TRIM(IF(AND(E352="hecho",F352="INCORRECTA"),"INC ","")&amp;IF(AND(E352="abstencion",F352="INCORRECTA"),"ABS-E ","")&amp;IF(AND(E352="hecho",F352="FUERA_REF",H352="no_resp"),"NO-ABS ","")&amp;IF(AND(E352="hecho",I352="SIN-RESPALDO"),"SIN-R ","")&amp;IF(AND(E352="hecho",I352="CITA-X"),"CITA-X ","")&amp;IF(AND(E352="hecho",I352="SIN-CITA"),"SIN-C ",""))="","-",TRIM(IF(AND(E352="hecho",F352="INCORRECTA"),"INC ","")&amp;IF(AND(E352="abstencion",F352="INCORRECTA"),"ABS-E ","")&amp;IF(AND(E352="hecho",F352="FUERA_REF",H352="no_resp"),"NO-ABS ","")&amp;IF(AND(E352="hecho",I352="SIN-RESPALDO"),"SIN-R ","")&amp;IF(AND(E352="hecho",I352="CITA-X"),"CITA-X ","")&amp;IF(AND(E352="hecho",I352="SIN-CITA"),"SIN-C ","")))))</f>
        <v/>
      </c>
      <c r="N352" s="5">
        <f>IF(D352="","",IF(OR(A352="",B352="",E352="",F352=""),"falta qid, modo, tipo o vs_ref",IF(AND(B352="llm",I352&lt;&gt;""),"respaldo no aplica en modo LLM",IF(AND(E352="abstencion",I352&lt;&gt;""),"una abstención no se califica en citas",IF(AND(B352="rag",E352="hecho",I352=""),"falta respaldo","ok")))))</f>
        <v/>
      </c>
    </row>
    <row r="353">
      <c r="A353" s="6" t="n"/>
      <c r="B353" s="6" t="n"/>
      <c r="C353" s="5">
        <f>IF(A353="","",COUNTIFS($A$2:A353,A353,$B$2:B353,B353))</f>
        <v/>
      </c>
      <c r="D353" s="6" t="n"/>
      <c r="E353" s="6" t="n"/>
      <c r="F353" s="6" t="n"/>
      <c r="G353" s="6" t="n"/>
      <c r="H353" s="6" t="n"/>
      <c r="I353" s="6" t="n"/>
      <c r="J353" s="6" t="n"/>
      <c r="K353" s="6" t="n"/>
      <c r="L353" s="6" t="n"/>
      <c r="M353" s="5">
        <f>IF(D353="","",IF(OR(E353="",F353=""),"",IF(TRIM(IF(AND(E353="hecho",F353="INCORRECTA"),"INC ","")&amp;IF(AND(E353="abstencion",F353="INCORRECTA"),"ABS-E ","")&amp;IF(AND(E353="hecho",F353="FUERA_REF",H353="no_resp"),"NO-ABS ","")&amp;IF(AND(E353="hecho",I353="SIN-RESPALDO"),"SIN-R ","")&amp;IF(AND(E353="hecho",I353="CITA-X"),"CITA-X ","")&amp;IF(AND(E353="hecho",I353="SIN-CITA"),"SIN-C ",""))="","-",TRIM(IF(AND(E353="hecho",F353="INCORRECTA"),"INC ","")&amp;IF(AND(E353="abstencion",F353="INCORRECTA"),"ABS-E ","")&amp;IF(AND(E353="hecho",F353="FUERA_REF",H353="no_resp"),"NO-ABS ","")&amp;IF(AND(E353="hecho",I353="SIN-RESPALDO"),"SIN-R ","")&amp;IF(AND(E353="hecho",I353="CITA-X"),"CITA-X ","")&amp;IF(AND(E353="hecho",I353="SIN-CITA"),"SIN-C ","")))))</f>
        <v/>
      </c>
      <c r="N353" s="5">
        <f>IF(D353="","",IF(OR(A353="",B353="",E353="",F353=""),"falta qid, modo, tipo o vs_ref",IF(AND(B353="llm",I353&lt;&gt;""),"respaldo no aplica en modo LLM",IF(AND(E353="abstencion",I353&lt;&gt;""),"una abstención no se califica en citas",IF(AND(B353="rag",E353="hecho",I353=""),"falta respaldo","ok")))))</f>
        <v/>
      </c>
    </row>
    <row r="354">
      <c r="A354" s="6" t="n"/>
      <c r="B354" s="6" t="n"/>
      <c r="C354" s="5">
        <f>IF(A354="","",COUNTIFS($A$2:A354,A354,$B$2:B354,B354))</f>
        <v/>
      </c>
      <c r="D354" s="6" t="n"/>
      <c r="E354" s="6" t="n"/>
      <c r="F354" s="6" t="n"/>
      <c r="G354" s="6" t="n"/>
      <c r="H354" s="6" t="n"/>
      <c r="I354" s="6" t="n"/>
      <c r="J354" s="6" t="n"/>
      <c r="K354" s="6" t="n"/>
      <c r="L354" s="6" t="n"/>
      <c r="M354" s="5">
        <f>IF(D354="","",IF(OR(E354="",F354=""),"",IF(TRIM(IF(AND(E354="hecho",F354="INCORRECTA"),"INC ","")&amp;IF(AND(E354="abstencion",F354="INCORRECTA"),"ABS-E ","")&amp;IF(AND(E354="hecho",F354="FUERA_REF",H354="no_resp"),"NO-ABS ","")&amp;IF(AND(E354="hecho",I354="SIN-RESPALDO"),"SIN-R ","")&amp;IF(AND(E354="hecho",I354="CITA-X"),"CITA-X ","")&amp;IF(AND(E354="hecho",I354="SIN-CITA"),"SIN-C ",""))="","-",TRIM(IF(AND(E354="hecho",F354="INCORRECTA"),"INC ","")&amp;IF(AND(E354="abstencion",F354="INCORRECTA"),"ABS-E ","")&amp;IF(AND(E354="hecho",F354="FUERA_REF",H354="no_resp"),"NO-ABS ","")&amp;IF(AND(E354="hecho",I354="SIN-RESPALDO"),"SIN-R ","")&amp;IF(AND(E354="hecho",I354="CITA-X"),"CITA-X ","")&amp;IF(AND(E354="hecho",I354="SIN-CITA"),"SIN-C ","")))))</f>
        <v/>
      </c>
      <c r="N354" s="5">
        <f>IF(D354="","",IF(OR(A354="",B354="",E354="",F354=""),"falta qid, modo, tipo o vs_ref",IF(AND(B354="llm",I354&lt;&gt;""),"respaldo no aplica en modo LLM",IF(AND(E354="abstencion",I354&lt;&gt;""),"una abstención no se califica en citas",IF(AND(B354="rag",E354="hecho",I354=""),"falta respaldo","ok")))))</f>
        <v/>
      </c>
    </row>
    <row r="355">
      <c r="A355" s="6" t="n"/>
      <c r="B355" s="6" t="n"/>
      <c r="C355" s="5">
        <f>IF(A355="","",COUNTIFS($A$2:A355,A355,$B$2:B355,B355))</f>
        <v/>
      </c>
      <c r="D355" s="6" t="n"/>
      <c r="E355" s="6" t="n"/>
      <c r="F355" s="6" t="n"/>
      <c r="G355" s="6" t="n"/>
      <c r="H355" s="6" t="n"/>
      <c r="I355" s="6" t="n"/>
      <c r="J355" s="6" t="n"/>
      <c r="K355" s="6" t="n"/>
      <c r="L355" s="6" t="n"/>
      <c r="M355" s="5">
        <f>IF(D355="","",IF(OR(E355="",F355=""),"",IF(TRIM(IF(AND(E355="hecho",F355="INCORRECTA"),"INC ","")&amp;IF(AND(E355="abstencion",F355="INCORRECTA"),"ABS-E ","")&amp;IF(AND(E355="hecho",F355="FUERA_REF",H355="no_resp"),"NO-ABS ","")&amp;IF(AND(E355="hecho",I355="SIN-RESPALDO"),"SIN-R ","")&amp;IF(AND(E355="hecho",I355="CITA-X"),"CITA-X ","")&amp;IF(AND(E355="hecho",I355="SIN-CITA"),"SIN-C ",""))="","-",TRIM(IF(AND(E355="hecho",F355="INCORRECTA"),"INC ","")&amp;IF(AND(E355="abstencion",F355="INCORRECTA"),"ABS-E ","")&amp;IF(AND(E355="hecho",F355="FUERA_REF",H355="no_resp"),"NO-ABS ","")&amp;IF(AND(E355="hecho",I355="SIN-RESPALDO"),"SIN-R ","")&amp;IF(AND(E355="hecho",I355="CITA-X"),"CITA-X ","")&amp;IF(AND(E355="hecho",I355="SIN-CITA"),"SIN-C ","")))))</f>
        <v/>
      </c>
      <c r="N355" s="5">
        <f>IF(D355="","",IF(OR(A355="",B355="",E355="",F355=""),"falta qid, modo, tipo o vs_ref",IF(AND(B355="llm",I355&lt;&gt;""),"respaldo no aplica en modo LLM",IF(AND(E355="abstencion",I355&lt;&gt;""),"una abstención no se califica en citas",IF(AND(B355="rag",E355="hecho",I355=""),"falta respaldo","ok")))))</f>
        <v/>
      </c>
    </row>
    <row r="356">
      <c r="A356" s="6" t="n"/>
      <c r="B356" s="6" t="n"/>
      <c r="C356" s="5">
        <f>IF(A356="","",COUNTIFS($A$2:A356,A356,$B$2:B356,B356))</f>
        <v/>
      </c>
      <c r="D356" s="6" t="n"/>
      <c r="E356" s="6" t="n"/>
      <c r="F356" s="6" t="n"/>
      <c r="G356" s="6" t="n"/>
      <c r="H356" s="6" t="n"/>
      <c r="I356" s="6" t="n"/>
      <c r="J356" s="6" t="n"/>
      <c r="K356" s="6" t="n"/>
      <c r="L356" s="6" t="n"/>
      <c r="M356" s="5">
        <f>IF(D356="","",IF(OR(E356="",F356=""),"",IF(TRIM(IF(AND(E356="hecho",F356="INCORRECTA"),"INC ","")&amp;IF(AND(E356="abstencion",F356="INCORRECTA"),"ABS-E ","")&amp;IF(AND(E356="hecho",F356="FUERA_REF",H356="no_resp"),"NO-ABS ","")&amp;IF(AND(E356="hecho",I356="SIN-RESPALDO"),"SIN-R ","")&amp;IF(AND(E356="hecho",I356="CITA-X"),"CITA-X ","")&amp;IF(AND(E356="hecho",I356="SIN-CITA"),"SIN-C ",""))="","-",TRIM(IF(AND(E356="hecho",F356="INCORRECTA"),"INC ","")&amp;IF(AND(E356="abstencion",F356="INCORRECTA"),"ABS-E ","")&amp;IF(AND(E356="hecho",F356="FUERA_REF",H356="no_resp"),"NO-ABS ","")&amp;IF(AND(E356="hecho",I356="SIN-RESPALDO"),"SIN-R ","")&amp;IF(AND(E356="hecho",I356="CITA-X"),"CITA-X ","")&amp;IF(AND(E356="hecho",I356="SIN-CITA"),"SIN-C ","")))))</f>
        <v/>
      </c>
      <c r="N356" s="5">
        <f>IF(D356="","",IF(OR(A356="",B356="",E356="",F356=""),"falta qid, modo, tipo o vs_ref",IF(AND(B356="llm",I356&lt;&gt;""),"respaldo no aplica en modo LLM",IF(AND(E356="abstencion",I356&lt;&gt;""),"una abstención no se califica en citas",IF(AND(B356="rag",E356="hecho",I356=""),"falta respaldo","ok")))))</f>
        <v/>
      </c>
    </row>
    <row r="357">
      <c r="A357" s="6" t="n"/>
      <c r="B357" s="6" t="n"/>
      <c r="C357" s="5">
        <f>IF(A357="","",COUNTIFS($A$2:A357,A357,$B$2:B357,B357))</f>
        <v/>
      </c>
      <c r="D357" s="6" t="n"/>
      <c r="E357" s="6" t="n"/>
      <c r="F357" s="6" t="n"/>
      <c r="G357" s="6" t="n"/>
      <c r="H357" s="6" t="n"/>
      <c r="I357" s="6" t="n"/>
      <c r="J357" s="6" t="n"/>
      <c r="K357" s="6" t="n"/>
      <c r="L357" s="6" t="n"/>
      <c r="M357" s="5">
        <f>IF(D357="","",IF(OR(E357="",F357=""),"",IF(TRIM(IF(AND(E357="hecho",F357="INCORRECTA"),"INC ","")&amp;IF(AND(E357="abstencion",F357="INCORRECTA"),"ABS-E ","")&amp;IF(AND(E357="hecho",F357="FUERA_REF",H357="no_resp"),"NO-ABS ","")&amp;IF(AND(E357="hecho",I357="SIN-RESPALDO"),"SIN-R ","")&amp;IF(AND(E357="hecho",I357="CITA-X"),"CITA-X ","")&amp;IF(AND(E357="hecho",I357="SIN-CITA"),"SIN-C ",""))="","-",TRIM(IF(AND(E357="hecho",F357="INCORRECTA"),"INC ","")&amp;IF(AND(E357="abstencion",F357="INCORRECTA"),"ABS-E ","")&amp;IF(AND(E357="hecho",F357="FUERA_REF",H357="no_resp"),"NO-ABS ","")&amp;IF(AND(E357="hecho",I357="SIN-RESPALDO"),"SIN-R ","")&amp;IF(AND(E357="hecho",I357="CITA-X"),"CITA-X ","")&amp;IF(AND(E357="hecho",I357="SIN-CITA"),"SIN-C ","")))))</f>
        <v/>
      </c>
      <c r="N357" s="5">
        <f>IF(D357="","",IF(OR(A357="",B357="",E357="",F357=""),"falta qid, modo, tipo o vs_ref",IF(AND(B357="llm",I357&lt;&gt;""),"respaldo no aplica en modo LLM",IF(AND(E357="abstencion",I357&lt;&gt;""),"una abstención no se califica en citas",IF(AND(B357="rag",E357="hecho",I357=""),"falta respaldo","ok")))))</f>
        <v/>
      </c>
    </row>
    <row r="358">
      <c r="A358" s="6" t="n"/>
      <c r="B358" s="6" t="n"/>
      <c r="C358" s="5">
        <f>IF(A358="","",COUNTIFS($A$2:A358,A358,$B$2:B358,B358))</f>
        <v/>
      </c>
      <c r="D358" s="6" t="n"/>
      <c r="E358" s="6" t="n"/>
      <c r="F358" s="6" t="n"/>
      <c r="G358" s="6" t="n"/>
      <c r="H358" s="6" t="n"/>
      <c r="I358" s="6" t="n"/>
      <c r="J358" s="6" t="n"/>
      <c r="K358" s="6" t="n"/>
      <c r="L358" s="6" t="n"/>
      <c r="M358" s="5">
        <f>IF(D358="","",IF(OR(E358="",F358=""),"",IF(TRIM(IF(AND(E358="hecho",F358="INCORRECTA"),"INC ","")&amp;IF(AND(E358="abstencion",F358="INCORRECTA"),"ABS-E ","")&amp;IF(AND(E358="hecho",F358="FUERA_REF",H358="no_resp"),"NO-ABS ","")&amp;IF(AND(E358="hecho",I358="SIN-RESPALDO"),"SIN-R ","")&amp;IF(AND(E358="hecho",I358="CITA-X"),"CITA-X ","")&amp;IF(AND(E358="hecho",I358="SIN-CITA"),"SIN-C ",""))="","-",TRIM(IF(AND(E358="hecho",F358="INCORRECTA"),"INC ","")&amp;IF(AND(E358="abstencion",F358="INCORRECTA"),"ABS-E ","")&amp;IF(AND(E358="hecho",F358="FUERA_REF",H358="no_resp"),"NO-ABS ","")&amp;IF(AND(E358="hecho",I358="SIN-RESPALDO"),"SIN-R ","")&amp;IF(AND(E358="hecho",I358="CITA-X"),"CITA-X ","")&amp;IF(AND(E358="hecho",I358="SIN-CITA"),"SIN-C ","")))))</f>
        <v/>
      </c>
      <c r="N358" s="5">
        <f>IF(D358="","",IF(OR(A358="",B358="",E358="",F358=""),"falta qid, modo, tipo o vs_ref",IF(AND(B358="llm",I358&lt;&gt;""),"respaldo no aplica en modo LLM",IF(AND(E358="abstencion",I358&lt;&gt;""),"una abstención no se califica en citas",IF(AND(B358="rag",E358="hecho",I358=""),"falta respaldo","ok")))))</f>
        <v/>
      </c>
    </row>
    <row r="359">
      <c r="A359" s="6" t="n"/>
      <c r="B359" s="6" t="n"/>
      <c r="C359" s="5">
        <f>IF(A359="","",COUNTIFS($A$2:A359,A359,$B$2:B359,B359))</f>
        <v/>
      </c>
      <c r="D359" s="6" t="n"/>
      <c r="E359" s="6" t="n"/>
      <c r="F359" s="6" t="n"/>
      <c r="G359" s="6" t="n"/>
      <c r="H359" s="6" t="n"/>
      <c r="I359" s="6" t="n"/>
      <c r="J359" s="6" t="n"/>
      <c r="K359" s="6" t="n"/>
      <c r="L359" s="6" t="n"/>
      <c r="M359" s="5">
        <f>IF(D359="","",IF(OR(E359="",F359=""),"",IF(TRIM(IF(AND(E359="hecho",F359="INCORRECTA"),"INC ","")&amp;IF(AND(E359="abstencion",F359="INCORRECTA"),"ABS-E ","")&amp;IF(AND(E359="hecho",F359="FUERA_REF",H359="no_resp"),"NO-ABS ","")&amp;IF(AND(E359="hecho",I359="SIN-RESPALDO"),"SIN-R ","")&amp;IF(AND(E359="hecho",I359="CITA-X"),"CITA-X ","")&amp;IF(AND(E359="hecho",I359="SIN-CITA"),"SIN-C ",""))="","-",TRIM(IF(AND(E359="hecho",F359="INCORRECTA"),"INC ","")&amp;IF(AND(E359="abstencion",F359="INCORRECTA"),"ABS-E ","")&amp;IF(AND(E359="hecho",F359="FUERA_REF",H359="no_resp"),"NO-ABS ","")&amp;IF(AND(E359="hecho",I359="SIN-RESPALDO"),"SIN-R ","")&amp;IF(AND(E359="hecho",I359="CITA-X"),"CITA-X ","")&amp;IF(AND(E359="hecho",I359="SIN-CITA"),"SIN-C ","")))))</f>
        <v/>
      </c>
      <c r="N359" s="5">
        <f>IF(D359="","",IF(OR(A359="",B359="",E359="",F359=""),"falta qid, modo, tipo o vs_ref",IF(AND(B359="llm",I359&lt;&gt;""),"respaldo no aplica en modo LLM",IF(AND(E359="abstencion",I359&lt;&gt;""),"una abstención no se califica en citas",IF(AND(B359="rag",E359="hecho",I359=""),"falta respaldo","ok")))))</f>
        <v/>
      </c>
    </row>
    <row r="360">
      <c r="A360" s="6" t="n"/>
      <c r="B360" s="6" t="n"/>
      <c r="C360" s="5">
        <f>IF(A360="","",COUNTIFS($A$2:A360,A360,$B$2:B360,B360))</f>
        <v/>
      </c>
      <c r="D360" s="6" t="n"/>
      <c r="E360" s="6" t="n"/>
      <c r="F360" s="6" t="n"/>
      <c r="G360" s="6" t="n"/>
      <c r="H360" s="6" t="n"/>
      <c r="I360" s="6" t="n"/>
      <c r="J360" s="6" t="n"/>
      <c r="K360" s="6" t="n"/>
      <c r="L360" s="6" t="n"/>
      <c r="M360" s="5">
        <f>IF(D360="","",IF(OR(E360="",F360=""),"",IF(TRIM(IF(AND(E360="hecho",F360="INCORRECTA"),"INC ","")&amp;IF(AND(E360="abstencion",F360="INCORRECTA"),"ABS-E ","")&amp;IF(AND(E360="hecho",F360="FUERA_REF",H360="no_resp"),"NO-ABS ","")&amp;IF(AND(E360="hecho",I360="SIN-RESPALDO"),"SIN-R ","")&amp;IF(AND(E360="hecho",I360="CITA-X"),"CITA-X ","")&amp;IF(AND(E360="hecho",I360="SIN-CITA"),"SIN-C ",""))="","-",TRIM(IF(AND(E360="hecho",F360="INCORRECTA"),"INC ","")&amp;IF(AND(E360="abstencion",F360="INCORRECTA"),"ABS-E ","")&amp;IF(AND(E360="hecho",F360="FUERA_REF",H360="no_resp"),"NO-ABS ","")&amp;IF(AND(E360="hecho",I360="SIN-RESPALDO"),"SIN-R ","")&amp;IF(AND(E360="hecho",I360="CITA-X"),"CITA-X ","")&amp;IF(AND(E360="hecho",I360="SIN-CITA"),"SIN-C ","")))))</f>
        <v/>
      </c>
      <c r="N360" s="5">
        <f>IF(D360="","",IF(OR(A360="",B360="",E360="",F360=""),"falta qid, modo, tipo o vs_ref",IF(AND(B360="llm",I360&lt;&gt;""),"respaldo no aplica en modo LLM",IF(AND(E360="abstencion",I360&lt;&gt;""),"una abstención no se califica en citas",IF(AND(B360="rag",E360="hecho",I360=""),"falta respaldo","ok")))))</f>
        <v/>
      </c>
    </row>
    <row r="361">
      <c r="A361" s="6" t="n"/>
      <c r="B361" s="6" t="n"/>
      <c r="C361" s="5">
        <f>IF(A361="","",COUNTIFS($A$2:A361,A361,$B$2:B361,B361))</f>
        <v/>
      </c>
      <c r="D361" s="6" t="n"/>
      <c r="E361" s="6" t="n"/>
      <c r="F361" s="6" t="n"/>
      <c r="G361" s="6" t="n"/>
      <c r="H361" s="6" t="n"/>
      <c r="I361" s="6" t="n"/>
      <c r="J361" s="6" t="n"/>
      <c r="K361" s="6" t="n"/>
      <c r="L361" s="6" t="n"/>
      <c r="M361" s="5">
        <f>IF(D361="","",IF(OR(E361="",F361=""),"",IF(TRIM(IF(AND(E361="hecho",F361="INCORRECTA"),"INC ","")&amp;IF(AND(E361="abstencion",F361="INCORRECTA"),"ABS-E ","")&amp;IF(AND(E361="hecho",F361="FUERA_REF",H361="no_resp"),"NO-ABS ","")&amp;IF(AND(E361="hecho",I361="SIN-RESPALDO"),"SIN-R ","")&amp;IF(AND(E361="hecho",I361="CITA-X"),"CITA-X ","")&amp;IF(AND(E361="hecho",I361="SIN-CITA"),"SIN-C ",""))="","-",TRIM(IF(AND(E361="hecho",F361="INCORRECTA"),"INC ","")&amp;IF(AND(E361="abstencion",F361="INCORRECTA"),"ABS-E ","")&amp;IF(AND(E361="hecho",F361="FUERA_REF",H361="no_resp"),"NO-ABS ","")&amp;IF(AND(E361="hecho",I361="SIN-RESPALDO"),"SIN-R ","")&amp;IF(AND(E361="hecho",I361="CITA-X"),"CITA-X ","")&amp;IF(AND(E361="hecho",I361="SIN-CITA"),"SIN-C ","")))))</f>
        <v/>
      </c>
      <c r="N361" s="5">
        <f>IF(D361="","",IF(OR(A361="",B361="",E361="",F361=""),"falta qid, modo, tipo o vs_ref",IF(AND(B361="llm",I361&lt;&gt;""),"respaldo no aplica en modo LLM",IF(AND(E361="abstencion",I361&lt;&gt;""),"una abstención no se califica en citas",IF(AND(B361="rag",E361="hecho",I361=""),"falta respaldo","ok")))))</f>
        <v/>
      </c>
    </row>
    <row r="362">
      <c r="A362" s="6" t="n"/>
      <c r="B362" s="6" t="n"/>
      <c r="C362" s="5">
        <f>IF(A362="","",COUNTIFS($A$2:A362,A362,$B$2:B362,B362))</f>
        <v/>
      </c>
      <c r="D362" s="6" t="n"/>
      <c r="E362" s="6" t="n"/>
      <c r="F362" s="6" t="n"/>
      <c r="G362" s="6" t="n"/>
      <c r="H362" s="6" t="n"/>
      <c r="I362" s="6" t="n"/>
      <c r="J362" s="6" t="n"/>
      <c r="K362" s="6" t="n"/>
      <c r="L362" s="6" t="n"/>
      <c r="M362" s="5">
        <f>IF(D362="","",IF(OR(E362="",F362=""),"",IF(TRIM(IF(AND(E362="hecho",F362="INCORRECTA"),"INC ","")&amp;IF(AND(E362="abstencion",F362="INCORRECTA"),"ABS-E ","")&amp;IF(AND(E362="hecho",F362="FUERA_REF",H362="no_resp"),"NO-ABS ","")&amp;IF(AND(E362="hecho",I362="SIN-RESPALDO"),"SIN-R ","")&amp;IF(AND(E362="hecho",I362="CITA-X"),"CITA-X ","")&amp;IF(AND(E362="hecho",I362="SIN-CITA"),"SIN-C ",""))="","-",TRIM(IF(AND(E362="hecho",F362="INCORRECTA"),"INC ","")&amp;IF(AND(E362="abstencion",F362="INCORRECTA"),"ABS-E ","")&amp;IF(AND(E362="hecho",F362="FUERA_REF",H362="no_resp"),"NO-ABS ","")&amp;IF(AND(E362="hecho",I362="SIN-RESPALDO"),"SIN-R ","")&amp;IF(AND(E362="hecho",I362="CITA-X"),"CITA-X ","")&amp;IF(AND(E362="hecho",I362="SIN-CITA"),"SIN-C ","")))))</f>
        <v/>
      </c>
      <c r="N362" s="5">
        <f>IF(D362="","",IF(OR(A362="",B362="",E362="",F362=""),"falta qid, modo, tipo o vs_ref",IF(AND(B362="llm",I362&lt;&gt;""),"respaldo no aplica en modo LLM",IF(AND(E362="abstencion",I362&lt;&gt;""),"una abstención no se califica en citas",IF(AND(B362="rag",E362="hecho",I362=""),"falta respaldo","ok")))))</f>
        <v/>
      </c>
    </row>
    <row r="363">
      <c r="A363" s="6" t="n"/>
      <c r="B363" s="6" t="n"/>
      <c r="C363" s="5">
        <f>IF(A363="","",COUNTIFS($A$2:A363,A363,$B$2:B363,B363))</f>
        <v/>
      </c>
      <c r="D363" s="6" t="n"/>
      <c r="E363" s="6" t="n"/>
      <c r="F363" s="6" t="n"/>
      <c r="G363" s="6" t="n"/>
      <c r="H363" s="6" t="n"/>
      <c r="I363" s="6" t="n"/>
      <c r="J363" s="6" t="n"/>
      <c r="K363" s="6" t="n"/>
      <c r="L363" s="6" t="n"/>
      <c r="M363" s="5">
        <f>IF(D363="","",IF(OR(E363="",F363=""),"",IF(TRIM(IF(AND(E363="hecho",F363="INCORRECTA"),"INC ","")&amp;IF(AND(E363="abstencion",F363="INCORRECTA"),"ABS-E ","")&amp;IF(AND(E363="hecho",F363="FUERA_REF",H363="no_resp"),"NO-ABS ","")&amp;IF(AND(E363="hecho",I363="SIN-RESPALDO"),"SIN-R ","")&amp;IF(AND(E363="hecho",I363="CITA-X"),"CITA-X ","")&amp;IF(AND(E363="hecho",I363="SIN-CITA"),"SIN-C ",""))="","-",TRIM(IF(AND(E363="hecho",F363="INCORRECTA"),"INC ","")&amp;IF(AND(E363="abstencion",F363="INCORRECTA"),"ABS-E ","")&amp;IF(AND(E363="hecho",F363="FUERA_REF",H363="no_resp"),"NO-ABS ","")&amp;IF(AND(E363="hecho",I363="SIN-RESPALDO"),"SIN-R ","")&amp;IF(AND(E363="hecho",I363="CITA-X"),"CITA-X ","")&amp;IF(AND(E363="hecho",I363="SIN-CITA"),"SIN-C ","")))))</f>
        <v/>
      </c>
      <c r="N363" s="5">
        <f>IF(D363="","",IF(OR(A363="",B363="",E363="",F363=""),"falta qid, modo, tipo o vs_ref",IF(AND(B363="llm",I363&lt;&gt;""),"respaldo no aplica en modo LLM",IF(AND(E363="abstencion",I363&lt;&gt;""),"una abstención no se califica en citas",IF(AND(B363="rag",E363="hecho",I363=""),"falta respaldo","ok")))))</f>
        <v/>
      </c>
    </row>
    <row r="364">
      <c r="A364" s="6" t="n"/>
      <c r="B364" s="6" t="n"/>
      <c r="C364" s="5">
        <f>IF(A364="","",COUNTIFS($A$2:A364,A364,$B$2:B364,B364))</f>
        <v/>
      </c>
      <c r="D364" s="6" t="n"/>
      <c r="E364" s="6" t="n"/>
      <c r="F364" s="6" t="n"/>
      <c r="G364" s="6" t="n"/>
      <c r="H364" s="6" t="n"/>
      <c r="I364" s="6" t="n"/>
      <c r="J364" s="6" t="n"/>
      <c r="K364" s="6" t="n"/>
      <c r="L364" s="6" t="n"/>
      <c r="M364" s="5">
        <f>IF(D364="","",IF(OR(E364="",F364=""),"",IF(TRIM(IF(AND(E364="hecho",F364="INCORRECTA"),"INC ","")&amp;IF(AND(E364="abstencion",F364="INCORRECTA"),"ABS-E ","")&amp;IF(AND(E364="hecho",F364="FUERA_REF",H364="no_resp"),"NO-ABS ","")&amp;IF(AND(E364="hecho",I364="SIN-RESPALDO"),"SIN-R ","")&amp;IF(AND(E364="hecho",I364="CITA-X"),"CITA-X ","")&amp;IF(AND(E364="hecho",I364="SIN-CITA"),"SIN-C ",""))="","-",TRIM(IF(AND(E364="hecho",F364="INCORRECTA"),"INC ","")&amp;IF(AND(E364="abstencion",F364="INCORRECTA"),"ABS-E ","")&amp;IF(AND(E364="hecho",F364="FUERA_REF",H364="no_resp"),"NO-ABS ","")&amp;IF(AND(E364="hecho",I364="SIN-RESPALDO"),"SIN-R ","")&amp;IF(AND(E364="hecho",I364="CITA-X"),"CITA-X ","")&amp;IF(AND(E364="hecho",I364="SIN-CITA"),"SIN-C ","")))))</f>
        <v/>
      </c>
      <c r="N364" s="5">
        <f>IF(D364="","",IF(OR(A364="",B364="",E364="",F364=""),"falta qid, modo, tipo o vs_ref",IF(AND(B364="llm",I364&lt;&gt;""),"respaldo no aplica en modo LLM",IF(AND(E364="abstencion",I364&lt;&gt;""),"una abstención no se califica en citas",IF(AND(B364="rag",E364="hecho",I364=""),"falta respaldo","ok")))))</f>
        <v/>
      </c>
    </row>
    <row r="365">
      <c r="A365" s="6" t="n"/>
      <c r="B365" s="6" t="n"/>
      <c r="C365" s="5">
        <f>IF(A365="","",COUNTIFS($A$2:A365,A365,$B$2:B365,B365))</f>
        <v/>
      </c>
      <c r="D365" s="6" t="n"/>
      <c r="E365" s="6" t="n"/>
      <c r="F365" s="6" t="n"/>
      <c r="G365" s="6" t="n"/>
      <c r="H365" s="6" t="n"/>
      <c r="I365" s="6" t="n"/>
      <c r="J365" s="6" t="n"/>
      <c r="K365" s="6" t="n"/>
      <c r="L365" s="6" t="n"/>
      <c r="M365" s="5">
        <f>IF(D365="","",IF(OR(E365="",F365=""),"",IF(TRIM(IF(AND(E365="hecho",F365="INCORRECTA"),"INC ","")&amp;IF(AND(E365="abstencion",F365="INCORRECTA"),"ABS-E ","")&amp;IF(AND(E365="hecho",F365="FUERA_REF",H365="no_resp"),"NO-ABS ","")&amp;IF(AND(E365="hecho",I365="SIN-RESPALDO"),"SIN-R ","")&amp;IF(AND(E365="hecho",I365="CITA-X"),"CITA-X ","")&amp;IF(AND(E365="hecho",I365="SIN-CITA"),"SIN-C ",""))="","-",TRIM(IF(AND(E365="hecho",F365="INCORRECTA"),"INC ","")&amp;IF(AND(E365="abstencion",F365="INCORRECTA"),"ABS-E ","")&amp;IF(AND(E365="hecho",F365="FUERA_REF",H365="no_resp"),"NO-ABS ","")&amp;IF(AND(E365="hecho",I365="SIN-RESPALDO"),"SIN-R ","")&amp;IF(AND(E365="hecho",I365="CITA-X"),"CITA-X ","")&amp;IF(AND(E365="hecho",I365="SIN-CITA"),"SIN-C ","")))))</f>
        <v/>
      </c>
      <c r="N365" s="5">
        <f>IF(D365="","",IF(OR(A365="",B365="",E365="",F365=""),"falta qid, modo, tipo o vs_ref",IF(AND(B365="llm",I365&lt;&gt;""),"respaldo no aplica en modo LLM",IF(AND(E365="abstencion",I365&lt;&gt;""),"una abstención no se califica en citas",IF(AND(B365="rag",E365="hecho",I365=""),"falta respaldo","ok")))))</f>
        <v/>
      </c>
    </row>
    <row r="366">
      <c r="A366" s="6" t="n"/>
      <c r="B366" s="6" t="n"/>
      <c r="C366" s="5">
        <f>IF(A366="","",COUNTIFS($A$2:A366,A366,$B$2:B366,B366))</f>
        <v/>
      </c>
      <c r="D366" s="6" t="n"/>
      <c r="E366" s="6" t="n"/>
      <c r="F366" s="6" t="n"/>
      <c r="G366" s="6" t="n"/>
      <c r="H366" s="6" t="n"/>
      <c r="I366" s="6" t="n"/>
      <c r="J366" s="6" t="n"/>
      <c r="K366" s="6" t="n"/>
      <c r="L366" s="6" t="n"/>
      <c r="M366" s="5">
        <f>IF(D366="","",IF(OR(E366="",F366=""),"",IF(TRIM(IF(AND(E366="hecho",F366="INCORRECTA"),"INC ","")&amp;IF(AND(E366="abstencion",F366="INCORRECTA"),"ABS-E ","")&amp;IF(AND(E366="hecho",F366="FUERA_REF",H366="no_resp"),"NO-ABS ","")&amp;IF(AND(E366="hecho",I366="SIN-RESPALDO"),"SIN-R ","")&amp;IF(AND(E366="hecho",I366="CITA-X"),"CITA-X ","")&amp;IF(AND(E366="hecho",I366="SIN-CITA"),"SIN-C ",""))="","-",TRIM(IF(AND(E366="hecho",F366="INCORRECTA"),"INC ","")&amp;IF(AND(E366="abstencion",F366="INCORRECTA"),"ABS-E ","")&amp;IF(AND(E366="hecho",F366="FUERA_REF",H366="no_resp"),"NO-ABS ","")&amp;IF(AND(E366="hecho",I366="SIN-RESPALDO"),"SIN-R ","")&amp;IF(AND(E366="hecho",I366="CITA-X"),"CITA-X ","")&amp;IF(AND(E366="hecho",I366="SIN-CITA"),"SIN-C ","")))))</f>
        <v/>
      </c>
      <c r="N366" s="5">
        <f>IF(D366="","",IF(OR(A366="",B366="",E366="",F366=""),"falta qid, modo, tipo o vs_ref",IF(AND(B366="llm",I366&lt;&gt;""),"respaldo no aplica en modo LLM",IF(AND(E366="abstencion",I366&lt;&gt;""),"una abstención no se califica en citas",IF(AND(B366="rag",E366="hecho",I366=""),"falta respaldo","ok")))))</f>
        <v/>
      </c>
    </row>
    <row r="367">
      <c r="A367" s="6" t="n"/>
      <c r="B367" s="6" t="n"/>
      <c r="C367" s="5">
        <f>IF(A367="","",COUNTIFS($A$2:A367,A367,$B$2:B367,B367))</f>
        <v/>
      </c>
      <c r="D367" s="6" t="n"/>
      <c r="E367" s="6" t="n"/>
      <c r="F367" s="6" t="n"/>
      <c r="G367" s="6" t="n"/>
      <c r="H367" s="6" t="n"/>
      <c r="I367" s="6" t="n"/>
      <c r="J367" s="6" t="n"/>
      <c r="K367" s="6" t="n"/>
      <c r="L367" s="6" t="n"/>
      <c r="M367" s="5">
        <f>IF(D367="","",IF(OR(E367="",F367=""),"",IF(TRIM(IF(AND(E367="hecho",F367="INCORRECTA"),"INC ","")&amp;IF(AND(E367="abstencion",F367="INCORRECTA"),"ABS-E ","")&amp;IF(AND(E367="hecho",F367="FUERA_REF",H367="no_resp"),"NO-ABS ","")&amp;IF(AND(E367="hecho",I367="SIN-RESPALDO"),"SIN-R ","")&amp;IF(AND(E367="hecho",I367="CITA-X"),"CITA-X ","")&amp;IF(AND(E367="hecho",I367="SIN-CITA"),"SIN-C ",""))="","-",TRIM(IF(AND(E367="hecho",F367="INCORRECTA"),"INC ","")&amp;IF(AND(E367="abstencion",F367="INCORRECTA"),"ABS-E ","")&amp;IF(AND(E367="hecho",F367="FUERA_REF",H367="no_resp"),"NO-ABS ","")&amp;IF(AND(E367="hecho",I367="SIN-RESPALDO"),"SIN-R ","")&amp;IF(AND(E367="hecho",I367="CITA-X"),"CITA-X ","")&amp;IF(AND(E367="hecho",I367="SIN-CITA"),"SIN-C ","")))))</f>
        <v/>
      </c>
      <c r="N367" s="5">
        <f>IF(D367="","",IF(OR(A367="",B367="",E367="",F367=""),"falta qid, modo, tipo o vs_ref",IF(AND(B367="llm",I367&lt;&gt;""),"respaldo no aplica en modo LLM",IF(AND(E367="abstencion",I367&lt;&gt;""),"una abstención no se califica en citas",IF(AND(B367="rag",E367="hecho",I367=""),"falta respaldo","ok")))))</f>
        <v/>
      </c>
    </row>
    <row r="368">
      <c r="A368" s="6" t="n"/>
      <c r="B368" s="6" t="n"/>
      <c r="C368" s="5">
        <f>IF(A368="","",COUNTIFS($A$2:A368,A368,$B$2:B368,B368))</f>
        <v/>
      </c>
      <c r="D368" s="6" t="n"/>
      <c r="E368" s="6" t="n"/>
      <c r="F368" s="6" t="n"/>
      <c r="G368" s="6" t="n"/>
      <c r="H368" s="6" t="n"/>
      <c r="I368" s="6" t="n"/>
      <c r="J368" s="6" t="n"/>
      <c r="K368" s="6" t="n"/>
      <c r="L368" s="6" t="n"/>
      <c r="M368" s="5">
        <f>IF(D368="","",IF(OR(E368="",F368=""),"",IF(TRIM(IF(AND(E368="hecho",F368="INCORRECTA"),"INC ","")&amp;IF(AND(E368="abstencion",F368="INCORRECTA"),"ABS-E ","")&amp;IF(AND(E368="hecho",F368="FUERA_REF",H368="no_resp"),"NO-ABS ","")&amp;IF(AND(E368="hecho",I368="SIN-RESPALDO"),"SIN-R ","")&amp;IF(AND(E368="hecho",I368="CITA-X"),"CITA-X ","")&amp;IF(AND(E368="hecho",I368="SIN-CITA"),"SIN-C ",""))="","-",TRIM(IF(AND(E368="hecho",F368="INCORRECTA"),"INC ","")&amp;IF(AND(E368="abstencion",F368="INCORRECTA"),"ABS-E ","")&amp;IF(AND(E368="hecho",F368="FUERA_REF",H368="no_resp"),"NO-ABS ","")&amp;IF(AND(E368="hecho",I368="SIN-RESPALDO"),"SIN-R ","")&amp;IF(AND(E368="hecho",I368="CITA-X"),"CITA-X ","")&amp;IF(AND(E368="hecho",I368="SIN-CITA"),"SIN-C ","")))))</f>
        <v/>
      </c>
      <c r="N368" s="5">
        <f>IF(D368="","",IF(OR(A368="",B368="",E368="",F368=""),"falta qid, modo, tipo o vs_ref",IF(AND(B368="llm",I368&lt;&gt;""),"respaldo no aplica en modo LLM",IF(AND(E368="abstencion",I368&lt;&gt;""),"una abstención no se califica en citas",IF(AND(B368="rag",E368="hecho",I368=""),"falta respaldo","ok")))))</f>
        <v/>
      </c>
    </row>
    <row r="369">
      <c r="A369" s="6" t="n"/>
      <c r="B369" s="6" t="n"/>
      <c r="C369" s="5">
        <f>IF(A369="","",COUNTIFS($A$2:A369,A369,$B$2:B369,B369))</f>
        <v/>
      </c>
      <c r="D369" s="6" t="n"/>
      <c r="E369" s="6" t="n"/>
      <c r="F369" s="6" t="n"/>
      <c r="G369" s="6" t="n"/>
      <c r="H369" s="6" t="n"/>
      <c r="I369" s="6" t="n"/>
      <c r="J369" s="6" t="n"/>
      <c r="K369" s="6" t="n"/>
      <c r="L369" s="6" t="n"/>
      <c r="M369" s="5">
        <f>IF(D369="","",IF(OR(E369="",F369=""),"",IF(TRIM(IF(AND(E369="hecho",F369="INCORRECTA"),"INC ","")&amp;IF(AND(E369="abstencion",F369="INCORRECTA"),"ABS-E ","")&amp;IF(AND(E369="hecho",F369="FUERA_REF",H369="no_resp"),"NO-ABS ","")&amp;IF(AND(E369="hecho",I369="SIN-RESPALDO"),"SIN-R ","")&amp;IF(AND(E369="hecho",I369="CITA-X"),"CITA-X ","")&amp;IF(AND(E369="hecho",I369="SIN-CITA"),"SIN-C ",""))="","-",TRIM(IF(AND(E369="hecho",F369="INCORRECTA"),"INC ","")&amp;IF(AND(E369="abstencion",F369="INCORRECTA"),"ABS-E ","")&amp;IF(AND(E369="hecho",F369="FUERA_REF",H369="no_resp"),"NO-ABS ","")&amp;IF(AND(E369="hecho",I369="SIN-RESPALDO"),"SIN-R ","")&amp;IF(AND(E369="hecho",I369="CITA-X"),"CITA-X ","")&amp;IF(AND(E369="hecho",I369="SIN-CITA"),"SIN-C ","")))))</f>
        <v/>
      </c>
      <c r="N369" s="5">
        <f>IF(D369="","",IF(OR(A369="",B369="",E369="",F369=""),"falta qid, modo, tipo o vs_ref",IF(AND(B369="llm",I369&lt;&gt;""),"respaldo no aplica en modo LLM",IF(AND(E369="abstencion",I369&lt;&gt;""),"una abstención no se califica en citas",IF(AND(B369="rag",E369="hecho",I369=""),"falta respaldo","ok")))))</f>
        <v/>
      </c>
    </row>
    <row r="370">
      <c r="A370" s="6" t="n"/>
      <c r="B370" s="6" t="n"/>
      <c r="C370" s="5">
        <f>IF(A370="","",COUNTIFS($A$2:A370,A370,$B$2:B370,B370))</f>
        <v/>
      </c>
      <c r="D370" s="6" t="n"/>
      <c r="E370" s="6" t="n"/>
      <c r="F370" s="6" t="n"/>
      <c r="G370" s="6" t="n"/>
      <c r="H370" s="6" t="n"/>
      <c r="I370" s="6" t="n"/>
      <c r="J370" s="6" t="n"/>
      <c r="K370" s="6" t="n"/>
      <c r="L370" s="6" t="n"/>
      <c r="M370" s="5">
        <f>IF(D370="","",IF(OR(E370="",F370=""),"",IF(TRIM(IF(AND(E370="hecho",F370="INCORRECTA"),"INC ","")&amp;IF(AND(E370="abstencion",F370="INCORRECTA"),"ABS-E ","")&amp;IF(AND(E370="hecho",F370="FUERA_REF",H370="no_resp"),"NO-ABS ","")&amp;IF(AND(E370="hecho",I370="SIN-RESPALDO"),"SIN-R ","")&amp;IF(AND(E370="hecho",I370="CITA-X"),"CITA-X ","")&amp;IF(AND(E370="hecho",I370="SIN-CITA"),"SIN-C ",""))="","-",TRIM(IF(AND(E370="hecho",F370="INCORRECTA"),"INC ","")&amp;IF(AND(E370="abstencion",F370="INCORRECTA"),"ABS-E ","")&amp;IF(AND(E370="hecho",F370="FUERA_REF",H370="no_resp"),"NO-ABS ","")&amp;IF(AND(E370="hecho",I370="SIN-RESPALDO"),"SIN-R ","")&amp;IF(AND(E370="hecho",I370="CITA-X"),"CITA-X ","")&amp;IF(AND(E370="hecho",I370="SIN-CITA"),"SIN-C ","")))))</f>
        <v/>
      </c>
      <c r="N370" s="5">
        <f>IF(D370="","",IF(OR(A370="",B370="",E370="",F370=""),"falta qid, modo, tipo o vs_ref",IF(AND(B370="llm",I370&lt;&gt;""),"respaldo no aplica en modo LLM",IF(AND(E370="abstencion",I370&lt;&gt;""),"una abstención no se califica en citas",IF(AND(B370="rag",E370="hecho",I370=""),"falta respaldo","ok")))))</f>
        <v/>
      </c>
    </row>
    <row r="371">
      <c r="A371" s="6" t="n"/>
      <c r="B371" s="6" t="n"/>
      <c r="C371" s="5">
        <f>IF(A371="","",COUNTIFS($A$2:A371,A371,$B$2:B371,B371))</f>
        <v/>
      </c>
      <c r="D371" s="6" t="n"/>
      <c r="E371" s="6" t="n"/>
      <c r="F371" s="6" t="n"/>
      <c r="G371" s="6" t="n"/>
      <c r="H371" s="6" t="n"/>
      <c r="I371" s="6" t="n"/>
      <c r="J371" s="6" t="n"/>
      <c r="K371" s="6" t="n"/>
      <c r="L371" s="6" t="n"/>
      <c r="M371" s="5">
        <f>IF(D371="","",IF(OR(E371="",F371=""),"",IF(TRIM(IF(AND(E371="hecho",F371="INCORRECTA"),"INC ","")&amp;IF(AND(E371="abstencion",F371="INCORRECTA"),"ABS-E ","")&amp;IF(AND(E371="hecho",F371="FUERA_REF",H371="no_resp"),"NO-ABS ","")&amp;IF(AND(E371="hecho",I371="SIN-RESPALDO"),"SIN-R ","")&amp;IF(AND(E371="hecho",I371="CITA-X"),"CITA-X ","")&amp;IF(AND(E371="hecho",I371="SIN-CITA"),"SIN-C ",""))="","-",TRIM(IF(AND(E371="hecho",F371="INCORRECTA"),"INC ","")&amp;IF(AND(E371="abstencion",F371="INCORRECTA"),"ABS-E ","")&amp;IF(AND(E371="hecho",F371="FUERA_REF",H371="no_resp"),"NO-ABS ","")&amp;IF(AND(E371="hecho",I371="SIN-RESPALDO"),"SIN-R ","")&amp;IF(AND(E371="hecho",I371="CITA-X"),"CITA-X ","")&amp;IF(AND(E371="hecho",I371="SIN-CITA"),"SIN-C ","")))))</f>
        <v/>
      </c>
      <c r="N371" s="5">
        <f>IF(D371="","",IF(OR(A371="",B371="",E371="",F371=""),"falta qid, modo, tipo o vs_ref",IF(AND(B371="llm",I371&lt;&gt;""),"respaldo no aplica en modo LLM",IF(AND(E371="abstencion",I371&lt;&gt;""),"una abstención no se califica en citas",IF(AND(B371="rag",E371="hecho",I371=""),"falta respaldo","ok")))))</f>
        <v/>
      </c>
    </row>
    <row r="372">
      <c r="A372" s="6" t="n"/>
      <c r="B372" s="6" t="n"/>
      <c r="C372" s="5">
        <f>IF(A372="","",COUNTIFS($A$2:A372,A372,$B$2:B372,B372))</f>
        <v/>
      </c>
      <c r="D372" s="6" t="n"/>
      <c r="E372" s="6" t="n"/>
      <c r="F372" s="6" t="n"/>
      <c r="G372" s="6" t="n"/>
      <c r="H372" s="6" t="n"/>
      <c r="I372" s="6" t="n"/>
      <c r="J372" s="6" t="n"/>
      <c r="K372" s="6" t="n"/>
      <c r="L372" s="6" t="n"/>
      <c r="M372" s="5">
        <f>IF(D372="","",IF(OR(E372="",F372=""),"",IF(TRIM(IF(AND(E372="hecho",F372="INCORRECTA"),"INC ","")&amp;IF(AND(E372="abstencion",F372="INCORRECTA"),"ABS-E ","")&amp;IF(AND(E372="hecho",F372="FUERA_REF",H372="no_resp"),"NO-ABS ","")&amp;IF(AND(E372="hecho",I372="SIN-RESPALDO"),"SIN-R ","")&amp;IF(AND(E372="hecho",I372="CITA-X"),"CITA-X ","")&amp;IF(AND(E372="hecho",I372="SIN-CITA"),"SIN-C ",""))="","-",TRIM(IF(AND(E372="hecho",F372="INCORRECTA"),"INC ","")&amp;IF(AND(E372="abstencion",F372="INCORRECTA"),"ABS-E ","")&amp;IF(AND(E372="hecho",F372="FUERA_REF",H372="no_resp"),"NO-ABS ","")&amp;IF(AND(E372="hecho",I372="SIN-RESPALDO"),"SIN-R ","")&amp;IF(AND(E372="hecho",I372="CITA-X"),"CITA-X ","")&amp;IF(AND(E372="hecho",I372="SIN-CITA"),"SIN-C ","")))))</f>
        <v/>
      </c>
      <c r="N372" s="5">
        <f>IF(D372="","",IF(OR(A372="",B372="",E372="",F372=""),"falta qid, modo, tipo o vs_ref",IF(AND(B372="llm",I372&lt;&gt;""),"respaldo no aplica en modo LLM",IF(AND(E372="abstencion",I372&lt;&gt;""),"una abstención no se califica en citas",IF(AND(B372="rag",E372="hecho",I372=""),"falta respaldo","ok")))))</f>
        <v/>
      </c>
    </row>
    <row r="373">
      <c r="A373" s="6" t="n"/>
      <c r="B373" s="6" t="n"/>
      <c r="C373" s="5">
        <f>IF(A373="","",COUNTIFS($A$2:A373,A373,$B$2:B373,B373))</f>
        <v/>
      </c>
      <c r="D373" s="6" t="n"/>
      <c r="E373" s="6" t="n"/>
      <c r="F373" s="6" t="n"/>
      <c r="G373" s="6" t="n"/>
      <c r="H373" s="6" t="n"/>
      <c r="I373" s="6" t="n"/>
      <c r="J373" s="6" t="n"/>
      <c r="K373" s="6" t="n"/>
      <c r="L373" s="6" t="n"/>
      <c r="M373" s="5">
        <f>IF(D373="","",IF(OR(E373="",F373=""),"",IF(TRIM(IF(AND(E373="hecho",F373="INCORRECTA"),"INC ","")&amp;IF(AND(E373="abstencion",F373="INCORRECTA"),"ABS-E ","")&amp;IF(AND(E373="hecho",F373="FUERA_REF",H373="no_resp"),"NO-ABS ","")&amp;IF(AND(E373="hecho",I373="SIN-RESPALDO"),"SIN-R ","")&amp;IF(AND(E373="hecho",I373="CITA-X"),"CITA-X ","")&amp;IF(AND(E373="hecho",I373="SIN-CITA"),"SIN-C ",""))="","-",TRIM(IF(AND(E373="hecho",F373="INCORRECTA"),"INC ","")&amp;IF(AND(E373="abstencion",F373="INCORRECTA"),"ABS-E ","")&amp;IF(AND(E373="hecho",F373="FUERA_REF",H373="no_resp"),"NO-ABS ","")&amp;IF(AND(E373="hecho",I373="SIN-RESPALDO"),"SIN-R ","")&amp;IF(AND(E373="hecho",I373="CITA-X"),"CITA-X ","")&amp;IF(AND(E373="hecho",I373="SIN-CITA"),"SIN-C ","")))))</f>
        <v/>
      </c>
      <c r="N373" s="5">
        <f>IF(D373="","",IF(OR(A373="",B373="",E373="",F373=""),"falta qid, modo, tipo o vs_ref",IF(AND(B373="llm",I373&lt;&gt;""),"respaldo no aplica en modo LLM",IF(AND(E373="abstencion",I373&lt;&gt;""),"una abstención no se califica en citas",IF(AND(B373="rag",E373="hecho",I373=""),"falta respaldo","ok")))))</f>
        <v/>
      </c>
    </row>
    <row r="374">
      <c r="A374" s="6" t="n"/>
      <c r="B374" s="6" t="n"/>
      <c r="C374" s="5">
        <f>IF(A374="","",COUNTIFS($A$2:A374,A374,$B$2:B374,B374))</f>
        <v/>
      </c>
      <c r="D374" s="6" t="n"/>
      <c r="E374" s="6" t="n"/>
      <c r="F374" s="6" t="n"/>
      <c r="G374" s="6" t="n"/>
      <c r="H374" s="6" t="n"/>
      <c r="I374" s="6" t="n"/>
      <c r="J374" s="6" t="n"/>
      <c r="K374" s="6" t="n"/>
      <c r="L374" s="6" t="n"/>
      <c r="M374" s="5">
        <f>IF(D374="","",IF(OR(E374="",F374=""),"",IF(TRIM(IF(AND(E374="hecho",F374="INCORRECTA"),"INC ","")&amp;IF(AND(E374="abstencion",F374="INCORRECTA"),"ABS-E ","")&amp;IF(AND(E374="hecho",F374="FUERA_REF",H374="no_resp"),"NO-ABS ","")&amp;IF(AND(E374="hecho",I374="SIN-RESPALDO"),"SIN-R ","")&amp;IF(AND(E374="hecho",I374="CITA-X"),"CITA-X ","")&amp;IF(AND(E374="hecho",I374="SIN-CITA"),"SIN-C ",""))="","-",TRIM(IF(AND(E374="hecho",F374="INCORRECTA"),"INC ","")&amp;IF(AND(E374="abstencion",F374="INCORRECTA"),"ABS-E ","")&amp;IF(AND(E374="hecho",F374="FUERA_REF",H374="no_resp"),"NO-ABS ","")&amp;IF(AND(E374="hecho",I374="SIN-RESPALDO"),"SIN-R ","")&amp;IF(AND(E374="hecho",I374="CITA-X"),"CITA-X ","")&amp;IF(AND(E374="hecho",I374="SIN-CITA"),"SIN-C ","")))))</f>
        <v/>
      </c>
      <c r="N374" s="5">
        <f>IF(D374="","",IF(OR(A374="",B374="",E374="",F374=""),"falta qid, modo, tipo o vs_ref",IF(AND(B374="llm",I374&lt;&gt;""),"respaldo no aplica en modo LLM",IF(AND(E374="abstencion",I374&lt;&gt;""),"una abstención no se califica en citas",IF(AND(B374="rag",E374="hecho",I374=""),"falta respaldo","ok")))))</f>
        <v/>
      </c>
    </row>
    <row r="375">
      <c r="A375" s="6" t="n"/>
      <c r="B375" s="6" t="n"/>
      <c r="C375" s="5">
        <f>IF(A375="","",COUNTIFS($A$2:A375,A375,$B$2:B375,B375))</f>
        <v/>
      </c>
      <c r="D375" s="6" t="n"/>
      <c r="E375" s="6" t="n"/>
      <c r="F375" s="6" t="n"/>
      <c r="G375" s="6" t="n"/>
      <c r="H375" s="6" t="n"/>
      <c r="I375" s="6" t="n"/>
      <c r="J375" s="6" t="n"/>
      <c r="K375" s="6" t="n"/>
      <c r="L375" s="6" t="n"/>
      <c r="M375" s="5">
        <f>IF(D375="","",IF(OR(E375="",F375=""),"",IF(TRIM(IF(AND(E375="hecho",F375="INCORRECTA"),"INC ","")&amp;IF(AND(E375="abstencion",F375="INCORRECTA"),"ABS-E ","")&amp;IF(AND(E375="hecho",F375="FUERA_REF",H375="no_resp"),"NO-ABS ","")&amp;IF(AND(E375="hecho",I375="SIN-RESPALDO"),"SIN-R ","")&amp;IF(AND(E375="hecho",I375="CITA-X"),"CITA-X ","")&amp;IF(AND(E375="hecho",I375="SIN-CITA"),"SIN-C ",""))="","-",TRIM(IF(AND(E375="hecho",F375="INCORRECTA"),"INC ","")&amp;IF(AND(E375="abstencion",F375="INCORRECTA"),"ABS-E ","")&amp;IF(AND(E375="hecho",F375="FUERA_REF",H375="no_resp"),"NO-ABS ","")&amp;IF(AND(E375="hecho",I375="SIN-RESPALDO"),"SIN-R ","")&amp;IF(AND(E375="hecho",I375="CITA-X"),"CITA-X ","")&amp;IF(AND(E375="hecho",I375="SIN-CITA"),"SIN-C ","")))))</f>
        <v/>
      </c>
      <c r="N375" s="5">
        <f>IF(D375="","",IF(OR(A375="",B375="",E375="",F375=""),"falta qid, modo, tipo o vs_ref",IF(AND(B375="llm",I375&lt;&gt;""),"respaldo no aplica en modo LLM",IF(AND(E375="abstencion",I375&lt;&gt;""),"una abstención no se califica en citas",IF(AND(B375="rag",E375="hecho",I375=""),"falta respaldo","ok")))))</f>
        <v/>
      </c>
    </row>
    <row r="376">
      <c r="A376" s="6" t="n"/>
      <c r="B376" s="6" t="n"/>
      <c r="C376" s="5">
        <f>IF(A376="","",COUNTIFS($A$2:A376,A376,$B$2:B376,B376))</f>
        <v/>
      </c>
      <c r="D376" s="6" t="n"/>
      <c r="E376" s="6" t="n"/>
      <c r="F376" s="6" t="n"/>
      <c r="G376" s="6" t="n"/>
      <c r="H376" s="6" t="n"/>
      <c r="I376" s="6" t="n"/>
      <c r="J376" s="6" t="n"/>
      <c r="K376" s="6" t="n"/>
      <c r="L376" s="6" t="n"/>
      <c r="M376" s="5">
        <f>IF(D376="","",IF(OR(E376="",F376=""),"",IF(TRIM(IF(AND(E376="hecho",F376="INCORRECTA"),"INC ","")&amp;IF(AND(E376="abstencion",F376="INCORRECTA"),"ABS-E ","")&amp;IF(AND(E376="hecho",F376="FUERA_REF",H376="no_resp"),"NO-ABS ","")&amp;IF(AND(E376="hecho",I376="SIN-RESPALDO"),"SIN-R ","")&amp;IF(AND(E376="hecho",I376="CITA-X"),"CITA-X ","")&amp;IF(AND(E376="hecho",I376="SIN-CITA"),"SIN-C ",""))="","-",TRIM(IF(AND(E376="hecho",F376="INCORRECTA"),"INC ","")&amp;IF(AND(E376="abstencion",F376="INCORRECTA"),"ABS-E ","")&amp;IF(AND(E376="hecho",F376="FUERA_REF",H376="no_resp"),"NO-ABS ","")&amp;IF(AND(E376="hecho",I376="SIN-RESPALDO"),"SIN-R ","")&amp;IF(AND(E376="hecho",I376="CITA-X"),"CITA-X ","")&amp;IF(AND(E376="hecho",I376="SIN-CITA"),"SIN-C ","")))))</f>
        <v/>
      </c>
      <c r="N376" s="5">
        <f>IF(D376="","",IF(OR(A376="",B376="",E376="",F376=""),"falta qid, modo, tipo o vs_ref",IF(AND(B376="llm",I376&lt;&gt;""),"respaldo no aplica en modo LLM",IF(AND(E376="abstencion",I376&lt;&gt;""),"una abstención no se califica en citas",IF(AND(B376="rag",E376="hecho",I376=""),"falta respaldo","ok")))))</f>
        <v/>
      </c>
    </row>
    <row r="377">
      <c r="A377" s="6" t="n"/>
      <c r="B377" s="6" t="n"/>
      <c r="C377" s="5">
        <f>IF(A377="","",COUNTIFS($A$2:A377,A377,$B$2:B377,B377))</f>
        <v/>
      </c>
      <c r="D377" s="6" t="n"/>
      <c r="E377" s="6" t="n"/>
      <c r="F377" s="6" t="n"/>
      <c r="G377" s="6" t="n"/>
      <c r="H377" s="6" t="n"/>
      <c r="I377" s="6" t="n"/>
      <c r="J377" s="6" t="n"/>
      <c r="K377" s="6" t="n"/>
      <c r="L377" s="6" t="n"/>
      <c r="M377" s="5">
        <f>IF(D377="","",IF(OR(E377="",F377=""),"",IF(TRIM(IF(AND(E377="hecho",F377="INCORRECTA"),"INC ","")&amp;IF(AND(E377="abstencion",F377="INCORRECTA"),"ABS-E ","")&amp;IF(AND(E377="hecho",F377="FUERA_REF",H377="no_resp"),"NO-ABS ","")&amp;IF(AND(E377="hecho",I377="SIN-RESPALDO"),"SIN-R ","")&amp;IF(AND(E377="hecho",I377="CITA-X"),"CITA-X ","")&amp;IF(AND(E377="hecho",I377="SIN-CITA"),"SIN-C ",""))="","-",TRIM(IF(AND(E377="hecho",F377="INCORRECTA"),"INC ","")&amp;IF(AND(E377="abstencion",F377="INCORRECTA"),"ABS-E ","")&amp;IF(AND(E377="hecho",F377="FUERA_REF",H377="no_resp"),"NO-ABS ","")&amp;IF(AND(E377="hecho",I377="SIN-RESPALDO"),"SIN-R ","")&amp;IF(AND(E377="hecho",I377="CITA-X"),"CITA-X ","")&amp;IF(AND(E377="hecho",I377="SIN-CITA"),"SIN-C ","")))))</f>
        <v/>
      </c>
      <c r="N377" s="5">
        <f>IF(D377="","",IF(OR(A377="",B377="",E377="",F377=""),"falta qid, modo, tipo o vs_ref",IF(AND(B377="llm",I377&lt;&gt;""),"respaldo no aplica en modo LLM",IF(AND(E377="abstencion",I377&lt;&gt;""),"una abstención no se califica en citas",IF(AND(B377="rag",E377="hecho",I377=""),"falta respaldo","ok")))))</f>
        <v/>
      </c>
    </row>
    <row r="378">
      <c r="A378" s="6" t="n"/>
      <c r="B378" s="6" t="n"/>
      <c r="C378" s="5">
        <f>IF(A378="","",COUNTIFS($A$2:A378,A378,$B$2:B378,B378))</f>
        <v/>
      </c>
      <c r="D378" s="6" t="n"/>
      <c r="E378" s="6" t="n"/>
      <c r="F378" s="6" t="n"/>
      <c r="G378" s="6" t="n"/>
      <c r="H378" s="6" t="n"/>
      <c r="I378" s="6" t="n"/>
      <c r="J378" s="6" t="n"/>
      <c r="K378" s="6" t="n"/>
      <c r="L378" s="6" t="n"/>
      <c r="M378" s="5">
        <f>IF(D378="","",IF(OR(E378="",F378=""),"",IF(TRIM(IF(AND(E378="hecho",F378="INCORRECTA"),"INC ","")&amp;IF(AND(E378="abstencion",F378="INCORRECTA"),"ABS-E ","")&amp;IF(AND(E378="hecho",F378="FUERA_REF",H378="no_resp"),"NO-ABS ","")&amp;IF(AND(E378="hecho",I378="SIN-RESPALDO"),"SIN-R ","")&amp;IF(AND(E378="hecho",I378="CITA-X"),"CITA-X ","")&amp;IF(AND(E378="hecho",I378="SIN-CITA"),"SIN-C ",""))="","-",TRIM(IF(AND(E378="hecho",F378="INCORRECTA"),"INC ","")&amp;IF(AND(E378="abstencion",F378="INCORRECTA"),"ABS-E ","")&amp;IF(AND(E378="hecho",F378="FUERA_REF",H378="no_resp"),"NO-ABS ","")&amp;IF(AND(E378="hecho",I378="SIN-RESPALDO"),"SIN-R ","")&amp;IF(AND(E378="hecho",I378="CITA-X"),"CITA-X ","")&amp;IF(AND(E378="hecho",I378="SIN-CITA"),"SIN-C ","")))))</f>
        <v/>
      </c>
      <c r="N378" s="5">
        <f>IF(D378="","",IF(OR(A378="",B378="",E378="",F378=""),"falta qid, modo, tipo o vs_ref",IF(AND(B378="llm",I378&lt;&gt;""),"respaldo no aplica en modo LLM",IF(AND(E378="abstencion",I378&lt;&gt;""),"una abstención no se califica en citas",IF(AND(B378="rag",E378="hecho",I378=""),"falta respaldo","ok")))))</f>
        <v/>
      </c>
    </row>
    <row r="379">
      <c r="A379" s="6" t="n"/>
      <c r="B379" s="6" t="n"/>
      <c r="C379" s="5">
        <f>IF(A379="","",COUNTIFS($A$2:A379,A379,$B$2:B379,B379))</f>
        <v/>
      </c>
      <c r="D379" s="6" t="n"/>
      <c r="E379" s="6" t="n"/>
      <c r="F379" s="6" t="n"/>
      <c r="G379" s="6" t="n"/>
      <c r="H379" s="6" t="n"/>
      <c r="I379" s="6" t="n"/>
      <c r="J379" s="6" t="n"/>
      <c r="K379" s="6" t="n"/>
      <c r="L379" s="6" t="n"/>
      <c r="M379" s="5">
        <f>IF(D379="","",IF(OR(E379="",F379=""),"",IF(TRIM(IF(AND(E379="hecho",F379="INCORRECTA"),"INC ","")&amp;IF(AND(E379="abstencion",F379="INCORRECTA"),"ABS-E ","")&amp;IF(AND(E379="hecho",F379="FUERA_REF",H379="no_resp"),"NO-ABS ","")&amp;IF(AND(E379="hecho",I379="SIN-RESPALDO"),"SIN-R ","")&amp;IF(AND(E379="hecho",I379="CITA-X"),"CITA-X ","")&amp;IF(AND(E379="hecho",I379="SIN-CITA"),"SIN-C ",""))="","-",TRIM(IF(AND(E379="hecho",F379="INCORRECTA"),"INC ","")&amp;IF(AND(E379="abstencion",F379="INCORRECTA"),"ABS-E ","")&amp;IF(AND(E379="hecho",F379="FUERA_REF",H379="no_resp"),"NO-ABS ","")&amp;IF(AND(E379="hecho",I379="SIN-RESPALDO"),"SIN-R ","")&amp;IF(AND(E379="hecho",I379="CITA-X"),"CITA-X ","")&amp;IF(AND(E379="hecho",I379="SIN-CITA"),"SIN-C ","")))))</f>
        <v/>
      </c>
      <c r="N379" s="5">
        <f>IF(D379="","",IF(OR(A379="",B379="",E379="",F379=""),"falta qid, modo, tipo o vs_ref",IF(AND(B379="llm",I379&lt;&gt;""),"respaldo no aplica en modo LLM",IF(AND(E379="abstencion",I379&lt;&gt;""),"una abstención no se califica en citas",IF(AND(B379="rag",E379="hecho",I379=""),"falta respaldo","ok")))))</f>
        <v/>
      </c>
    </row>
    <row r="380">
      <c r="A380" s="6" t="n"/>
      <c r="B380" s="6" t="n"/>
      <c r="C380" s="5">
        <f>IF(A380="","",COUNTIFS($A$2:A380,A380,$B$2:B380,B380))</f>
        <v/>
      </c>
      <c r="D380" s="6" t="n"/>
      <c r="E380" s="6" t="n"/>
      <c r="F380" s="6" t="n"/>
      <c r="G380" s="6" t="n"/>
      <c r="H380" s="6" t="n"/>
      <c r="I380" s="6" t="n"/>
      <c r="J380" s="6" t="n"/>
      <c r="K380" s="6" t="n"/>
      <c r="L380" s="6" t="n"/>
      <c r="M380" s="5">
        <f>IF(D380="","",IF(OR(E380="",F380=""),"",IF(TRIM(IF(AND(E380="hecho",F380="INCORRECTA"),"INC ","")&amp;IF(AND(E380="abstencion",F380="INCORRECTA"),"ABS-E ","")&amp;IF(AND(E380="hecho",F380="FUERA_REF",H380="no_resp"),"NO-ABS ","")&amp;IF(AND(E380="hecho",I380="SIN-RESPALDO"),"SIN-R ","")&amp;IF(AND(E380="hecho",I380="CITA-X"),"CITA-X ","")&amp;IF(AND(E380="hecho",I380="SIN-CITA"),"SIN-C ",""))="","-",TRIM(IF(AND(E380="hecho",F380="INCORRECTA"),"INC ","")&amp;IF(AND(E380="abstencion",F380="INCORRECTA"),"ABS-E ","")&amp;IF(AND(E380="hecho",F380="FUERA_REF",H380="no_resp"),"NO-ABS ","")&amp;IF(AND(E380="hecho",I380="SIN-RESPALDO"),"SIN-R ","")&amp;IF(AND(E380="hecho",I380="CITA-X"),"CITA-X ","")&amp;IF(AND(E380="hecho",I380="SIN-CITA"),"SIN-C ","")))))</f>
        <v/>
      </c>
      <c r="N380" s="5">
        <f>IF(D380="","",IF(OR(A380="",B380="",E380="",F380=""),"falta qid, modo, tipo o vs_ref",IF(AND(B380="llm",I380&lt;&gt;""),"respaldo no aplica en modo LLM",IF(AND(E380="abstencion",I380&lt;&gt;""),"una abstención no se califica en citas",IF(AND(B380="rag",E380="hecho",I380=""),"falta respaldo","ok")))))</f>
        <v/>
      </c>
    </row>
    <row r="381">
      <c r="A381" s="6" t="n"/>
      <c r="B381" s="6" t="n"/>
      <c r="C381" s="5">
        <f>IF(A381="","",COUNTIFS($A$2:A381,A381,$B$2:B381,B381))</f>
        <v/>
      </c>
      <c r="D381" s="6" t="n"/>
      <c r="E381" s="6" t="n"/>
      <c r="F381" s="6" t="n"/>
      <c r="G381" s="6" t="n"/>
      <c r="H381" s="6" t="n"/>
      <c r="I381" s="6" t="n"/>
      <c r="J381" s="6" t="n"/>
      <c r="K381" s="6" t="n"/>
      <c r="L381" s="6" t="n"/>
      <c r="M381" s="5">
        <f>IF(D381="","",IF(OR(E381="",F381=""),"",IF(TRIM(IF(AND(E381="hecho",F381="INCORRECTA"),"INC ","")&amp;IF(AND(E381="abstencion",F381="INCORRECTA"),"ABS-E ","")&amp;IF(AND(E381="hecho",F381="FUERA_REF",H381="no_resp"),"NO-ABS ","")&amp;IF(AND(E381="hecho",I381="SIN-RESPALDO"),"SIN-R ","")&amp;IF(AND(E381="hecho",I381="CITA-X"),"CITA-X ","")&amp;IF(AND(E381="hecho",I381="SIN-CITA"),"SIN-C ",""))="","-",TRIM(IF(AND(E381="hecho",F381="INCORRECTA"),"INC ","")&amp;IF(AND(E381="abstencion",F381="INCORRECTA"),"ABS-E ","")&amp;IF(AND(E381="hecho",F381="FUERA_REF",H381="no_resp"),"NO-ABS ","")&amp;IF(AND(E381="hecho",I381="SIN-RESPALDO"),"SIN-R ","")&amp;IF(AND(E381="hecho",I381="CITA-X"),"CITA-X ","")&amp;IF(AND(E381="hecho",I381="SIN-CITA"),"SIN-C ","")))))</f>
        <v/>
      </c>
      <c r="N381" s="5">
        <f>IF(D381="","",IF(OR(A381="",B381="",E381="",F381=""),"falta qid, modo, tipo o vs_ref",IF(AND(B381="llm",I381&lt;&gt;""),"respaldo no aplica en modo LLM",IF(AND(E381="abstencion",I381&lt;&gt;""),"una abstención no se califica en citas",IF(AND(B381="rag",E381="hecho",I381=""),"falta respaldo","ok")))))</f>
        <v/>
      </c>
    </row>
    <row r="382">
      <c r="A382" s="6" t="n"/>
      <c r="B382" s="6" t="n"/>
      <c r="C382" s="5">
        <f>IF(A382="","",COUNTIFS($A$2:A382,A382,$B$2:B382,B382))</f>
        <v/>
      </c>
      <c r="D382" s="6" t="n"/>
      <c r="E382" s="6" t="n"/>
      <c r="F382" s="6" t="n"/>
      <c r="G382" s="6" t="n"/>
      <c r="H382" s="6" t="n"/>
      <c r="I382" s="6" t="n"/>
      <c r="J382" s="6" t="n"/>
      <c r="K382" s="6" t="n"/>
      <c r="L382" s="6" t="n"/>
      <c r="M382" s="5">
        <f>IF(D382="","",IF(OR(E382="",F382=""),"",IF(TRIM(IF(AND(E382="hecho",F382="INCORRECTA"),"INC ","")&amp;IF(AND(E382="abstencion",F382="INCORRECTA"),"ABS-E ","")&amp;IF(AND(E382="hecho",F382="FUERA_REF",H382="no_resp"),"NO-ABS ","")&amp;IF(AND(E382="hecho",I382="SIN-RESPALDO"),"SIN-R ","")&amp;IF(AND(E382="hecho",I382="CITA-X"),"CITA-X ","")&amp;IF(AND(E382="hecho",I382="SIN-CITA"),"SIN-C ",""))="","-",TRIM(IF(AND(E382="hecho",F382="INCORRECTA"),"INC ","")&amp;IF(AND(E382="abstencion",F382="INCORRECTA"),"ABS-E ","")&amp;IF(AND(E382="hecho",F382="FUERA_REF",H382="no_resp"),"NO-ABS ","")&amp;IF(AND(E382="hecho",I382="SIN-RESPALDO"),"SIN-R ","")&amp;IF(AND(E382="hecho",I382="CITA-X"),"CITA-X ","")&amp;IF(AND(E382="hecho",I382="SIN-CITA"),"SIN-C ","")))))</f>
        <v/>
      </c>
      <c r="N382" s="5">
        <f>IF(D382="","",IF(OR(A382="",B382="",E382="",F382=""),"falta qid, modo, tipo o vs_ref",IF(AND(B382="llm",I382&lt;&gt;""),"respaldo no aplica en modo LLM",IF(AND(E382="abstencion",I382&lt;&gt;""),"una abstención no se califica en citas",IF(AND(B382="rag",E382="hecho",I382=""),"falta respaldo","ok")))))</f>
        <v/>
      </c>
    </row>
    <row r="383">
      <c r="A383" s="6" t="n"/>
      <c r="B383" s="6" t="n"/>
      <c r="C383" s="5">
        <f>IF(A383="","",COUNTIFS($A$2:A383,A383,$B$2:B383,B383))</f>
        <v/>
      </c>
      <c r="D383" s="6" t="n"/>
      <c r="E383" s="6" t="n"/>
      <c r="F383" s="6" t="n"/>
      <c r="G383" s="6" t="n"/>
      <c r="H383" s="6" t="n"/>
      <c r="I383" s="6" t="n"/>
      <c r="J383" s="6" t="n"/>
      <c r="K383" s="6" t="n"/>
      <c r="L383" s="6" t="n"/>
      <c r="M383" s="5">
        <f>IF(D383="","",IF(OR(E383="",F383=""),"",IF(TRIM(IF(AND(E383="hecho",F383="INCORRECTA"),"INC ","")&amp;IF(AND(E383="abstencion",F383="INCORRECTA"),"ABS-E ","")&amp;IF(AND(E383="hecho",F383="FUERA_REF",H383="no_resp"),"NO-ABS ","")&amp;IF(AND(E383="hecho",I383="SIN-RESPALDO"),"SIN-R ","")&amp;IF(AND(E383="hecho",I383="CITA-X"),"CITA-X ","")&amp;IF(AND(E383="hecho",I383="SIN-CITA"),"SIN-C ",""))="","-",TRIM(IF(AND(E383="hecho",F383="INCORRECTA"),"INC ","")&amp;IF(AND(E383="abstencion",F383="INCORRECTA"),"ABS-E ","")&amp;IF(AND(E383="hecho",F383="FUERA_REF",H383="no_resp"),"NO-ABS ","")&amp;IF(AND(E383="hecho",I383="SIN-RESPALDO"),"SIN-R ","")&amp;IF(AND(E383="hecho",I383="CITA-X"),"CITA-X ","")&amp;IF(AND(E383="hecho",I383="SIN-CITA"),"SIN-C ","")))))</f>
        <v/>
      </c>
      <c r="N383" s="5">
        <f>IF(D383="","",IF(OR(A383="",B383="",E383="",F383=""),"falta qid, modo, tipo o vs_ref",IF(AND(B383="llm",I383&lt;&gt;""),"respaldo no aplica en modo LLM",IF(AND(E383="abstencion",I383&lt;&gt;""),"una abstención no se califica en citas",IF(AND(B383="rag",E383="hecho",I383=""),"falta respaldo","ok")))))</f>
        <v/>
      </c>
    </row>
    <row r="384">
      <c r="A384" s="6" t="n"/>
      <c r="B384" s="6" t="n"/>
      <c r="C384" s="5">
        <f>IF(A384="","",COUNTIFS($A$2:A384,A384,$B$2:B384,B384))</f>
        <v/>
      </c>
      <c r="D384" s="6" t="n"/>
      <c r="E384" s="6" t="n"/>
      <c r="F384" s="6" t="n"/>
      <c r="G384" s="6" t="n"/>
      <c r="H384" s="6" t="n"/>
      <c r="I384" s="6" t="n"/>
      <c r="J384" s="6" t="n"/>
      <c r="K384" s="6" t="n"/>
      <c r="L384" s="6" t="n"/>
      <c r="M384" s="5">
        <f>IF(D384="","",IF(OR(E384="",F384=""),"",IF(TRIM(IF(AND(E384="hecho",F384="INCORRECTA"),"INC ","")&amp;IF(AND(E384="abstencion",F384="INCORRECTA"),"ABS-E ","")&amp;IF(AND(E384="hecho",F384="FUERA_REF",H384="no_resp"),"NO-ABS ","")&amp;IF(AND(E384="hecho",I384="SIN-RESPALDO"),"SIN-R ","")&amp;IF(AND(E384="hecho",I384="CITA-X"),"CITA-X ","")&amp;IF(AND(E384="hecho",I384="SIN-CITA"),"SIN-C ",""))="","-",TRIM(IF(AND(E384="hecho",F384="INCORRECTA"),"INC ","")&amp;IF(AND(E384="abstencion",F384="INCORRECTA"),"ABS-E ","")&amp;IF(AND(E384="hecho",F384="FUERA_REF",H384="no_resp"),"NO-ABS ","")&amp;IF(AND(E384="hecho",I384="SIN-RESPALDO"),"SIN-R ","")&amp;IF(AND(E384="hecho",I384="CITA-X"),"CITA-X ","")&amp;IF(AND(E384="hecho",I384="SIN-CITA"),"SIN-C ","")))))</f>
        <v/>
      </c>
      <c r="N384" s="5">
        <f>IF(D384="","",IF(OR(A384="",B384="",E384="",F384=""),"falta qid, modo, tipo o vs_ref",IF(AND(B384="llm",I384&lt;&gt;""),"respaldo no aplica en modo LLM",IF(AND(E384="abstencion",I384&lt;&gt;""),"una abstención no se califica en citas",IF(AND(B384="rag",E384="hecho",I384=""),"falta respaldo","ok")))))</f>
        <v/>
      </c>
    </row>
    <row r="385">
      <c r="A385" s="6" t="n"/>
      <c r="B385" s="6" t="n"/>
      <c r="C385" s="5">
        <f>IF(A385="","",COUNTIFS($A$2:A385,A385,$B$2:B385,B385))</f>
        <v/>
      </c>
      <c r="D385" s="6" t="n"/>
      <c r="E385" s="6" t="n"/>
      <c r="F385" s="6" t="n"/>
      <c r="G385" s="6" t="n"/>
      <c r="H385" s="6" t="n"/>
      <c r="I385" s="6" t="n"/>
      <c r="J385" s="6" t="n"/>
      <c r="K385" s="6" t="n"/>
      <c r="L385" s="6" t="n"/>
      <c r="M385" s="5">
        <f>IF(D385="","",IF(OR(E385="",F385=""),"",IF(TRIM(IF(AND(E385="hecho",F385="INCORRECTA"),"INC ","")&amp;IF(AND(E385="abstencion",F385="INCORRECTA"),"ABS-E ","")&amp;IF(AND(E385="hecho",F385="FUERA_REF",H385="no_resp"),"NO-ABS ","")&amp;IF(AND(E385="hecho",I385="SIN-RESPALDO"),"SIN-R ","")&amp;IF(AND(E385="hecho",I385="CITA-X"),"CITA-X ","")&amp;IF(AND(E385="hecho",I385="SIN-CITA"),"SIN-C ",""))="","-",TRIM(IF(AND(E385="hecho",F385="INCORRECTA"),"INC ","")&amp;IF(AND(E385="abstencion",F385="INCORRECTA"),"ABS-E ","")&amp;IF(AND(E385="hecho",F385="FUERA_REF",H385="no_resp"),"NO-ABS ","")&amp;IF(AND(E385="hecho",I385="SIN-RESPALDO"),"SIN-R ","")&amp;IF(AND(E385="hecho",I385="CITA-X"),"CITA-X ","")&amp;IF(AND(E385="hecho",I385="SIN-CITA"),"SIN-C ","")))))</f>
        <v/>
      </c>
      <c r="N385" s="5">
        <f>IF(D385="","",IF(OR(A385="",B385="",E385="",F385=""),"falta qid, modo, tipo o vs_ref",IF(AND(B385="llm",I385&lt;&gt;""),"respaldo no aplica en modo LLM",IF(AND(E385="abstencion",I385&lt;&gt;""),"una abstención no se califica en citas",IF(AND(B385="rag",E385="hecho",I385=""),"falta respaldo","ok")))))</f>
        <v/>
      </c>
    </row>
    <row r="386">
      <c r="A386" s="6" t="n"/>
      <c r="B386" s="6" t="n"/>
      <c r="C386" s="5">
        <f>IF(A386="","",COUNTIFS($A$2:A386,A386,$B$2:B386,B386))</f>
        <v/>
      </c>
      <c r="D386" s="6" t="n"/>
      <c r="E386" s="6" t="n"/>
      <c r="F386" s="6" t="n"/>
      <c r="G386" s="6" t="n"/>
      <c r="H386" s="6" t="n"/>
      <c r="I386" s="6" t="n"/>
      <c r="J386" s="6" t="n"/>
      <c r="K386" s="6" t="n"/>
      <c r="L386" s="6" t="n"/>
      <c r="M386" s="5">
        <f>IF(D386="","",IF(OR(E386="",F386=""),"",IF(TRIM(IF(AND(E386="hecho",F386="INCORRECTA"),"INC ","")&amp;IF(AND(E386="abstencion",F386="INCORRECTA"),"ABS-E ","")&amp;IF(AND(E386="hecho",F386="FUERA_REF",H386="no_resp"),"NO-ABS ","")&amp;IF(AND(E386="hecho",I386="SIN-RESPALDO"),"SIN-R ","")&amp;IF(AND(E386="hecho",I386="CITA-X"),"CITA-X ","")&amp;IF(AND(E386="hecho",I386="SIN-CITA"),"SIN-C ",""))="","-",TRIM(IF(AND(E386="hecho",F386="INCORRECTA"),"INC ","")&amp;IF(AND(E386="abstencion",F386="INCORRECTA"),"ABS-E ","")&amp;IF(AND(E386="hecho",F386="FUERA_REF",H386="no_resp"),"NO-ABS ","")&amp;IF(AND(E386="hecho",I386="SIN-RESPALDO"),"SIN-R ","")&amp;IF(AND(E386="hecho",I386="CITA-X"),"CITA-X ","")&amp;IF(AND(E386="hecho",I386="SIN-CITA"),"SIN-C ","")))))</f>
        <v/>
      </c>
      <c r="N386" s="5">
        <f>IF(D386="","",IF(OR(A386="",B386="",E386="",F386=""),"falta qid, modo, tipo o vs_ref",IF(AND(B386="llm",I386&lt;&gt;""),"respaldo no aplica en modo LLM",IF(AND(E386="abstencion",I386&lt;&gt;""),"una abstención no se califica en citas",IF(AND(B386="rag",E386="hecho",I386=""),"falta respaldo","ok")))))</f>
        <v/>
      </c>
    </row>
    <row r="387">
      <c r="A387" s="6" t="n"/>
      <c r="B387" s="6" t="n"/>
      <c r="C387" s="5">
        <f>IF(A387="","",COUNTIFS($A$2:A387,A387,$B$2:B387,B387))</f>
        <v/>
      </c>
      <c r="D387" s="6" t="n"/>
      <c r="E387" s="6" t="n"/>
      <c r="F387" s="6" t="n"/>
      <c r="G387" s="6" t="n"/>
      <c r="H387" s="6" t="n"/>
      <c r="I387" s="6" t="n"/>
      <c r="J387" s="6" t="n"/>
      <c r="K387" s="6" t="n"/>
      <c r="L387" s="6" t="n"/>
      <c r="M387" s="5">
        <f>IF(D387="","",IF(OR(E387="",F387=""),"",IF(TRIM(IF(AND(E387="hecho",F387="INCORRECTA"),"INC ","")&amp;IF(AND(E387="abstencion",F387="INCORRECTA"),"ABS-E ","")&amp;IF(AND(E387="hecho",F387="FUERA_REF",H387="no_resp"),"NO-ABS ","")&amp;IF(AND(E387="hecho",I387="SIN-RESPALDO"),"SIN-R ","")&amp;IF(AND(E387="hecho",I387="CITA-X"),"CITA-X ","")&amp;IF(AND(E387="hecho",I387="SIN-CITA"),"SIN-C ",""))="","-",TRIM(IF(AND(E387="hecho",F387="INCORRECTA"),"INC ","")&amp;IF(AND(E387="abstencion",F387="INCORRECTA"),"ABS-E ","")&amp;IF(AND(E387="hecho",F387="FUERA_REF",H387="no_resp"),"NO-ABS ","")&amp;IF(AND(E387="hecho",I387="SIN-RESPALDO"),"SIN-R ","")&amp;IF(AND(E387="hecho",I387="CITA-X"),"CITA-X ","")&amp;IF(AND(E387="hecho",I387="SIN-CITA"),"SIN-C ","")))))</f>
        <v/>
      </c>
      <c r="N387" s="5">
        <f>IF(D387="","",IF(OR(A387="",B387="",E387="",F387=""),"falta qid, modo, tipo o vs_ref",IF(AND(B387="llm",I387&lt;&gt;""),"respaldo no aplica en modo LLM",IF(AND(E387="abstencion",I387&lt;&gt;""),"una abstención no se califica en citas",IF(AND(B387="rag",E387="hecho",I387=""),"falta respaldo","ok")))))</f>
        <v/>
      </c>
    </row>
    <row r="388">
      <c r="A388" s="6" t="n"/>
      <c r="B388" s="6" t="n"/>
      <c r="C388" s="5">
        <f>IF(A388="","",COUNTIFS($A$2:A388,A388,$B$2:B388,B388))</f>
        <v/>
      </c>
      <c r="D388" s="6" t="n"/>
      <c r="E388" s="6" t="n"/>
      <c r="F388" s="6" t="n"/>
      <c r="G388" s="6" t="n"/>
      <c r="H388" s="6" t="n"/>
      <c r="I388" s="6" t="n"/>
      <c r="J388" s="6" t="n"/>
      <c r="K388" s="6" t="n"/>
      <c r="L388" s="6" t="n"/>
      <c r="M388" s="5">
        <f>IF(D388="","",IF(OR(E388="",F388=""),"",IF(TRIM(IF(AND(E388="hecho",F388="INCORRECTA"),"INC ","")&amp;IF(AND(E388="abstencion",F388="INCORRECTA"),"ABS-E ","")&amp;IF(AND(E388="hecho",F388="FUERA_REF",H388="no_resp"),"NO-ABS ","")&amp;IF(AND(E388="hecho",I388="SIN-RESPALDO"),"SIN-R ","")&amp;IF(AND(E388="hecho",I388="CITA-X"),"CITA-X ","")&amp;IF(AND(E388="hecho",I388="SIN-CITA"),"SIN-C ",""))="","-",TRIM(IF(AND(E388="hecho",F388="INCORRECTA"),"INC ","")&amp;IF(AND(E388="abstencion",F388="INCORRECTA"),"ABS-E ","")&amp;IF(AND(E388="hecho",F388="FUERA_REF",H388="no_resp"),"NO-ABS ","")&amp;IF(AND(E388="hecho",I388="SIN-RESPALDO"),"SIN-R ","")&amp;IF(AND(E388="hecho",I388="CITA-X"),"CITA-X ","")&amp;IF(AND(E388="hecho",I388="SIN-CITA"),"SIN-C ","")))))</f>
        <v/>
      </c>
      <c r="N388" s="5">
        <f>IF(D388="","",IF(OR(A388="",B388="",E388="",F388=""),"falta qid, modo, tipo o vs_ref",IF(AND(B388="llm",I388&lt;&gt;""),"respaldo no aplica en modo LLM",IF(AND(E388="abstencion",I388&lt;&gt;""),"una abstención no se califica en citas",IF(AND(B388="rag",E388="hecho",I388=""),"falta respaldo","ok")))))</f>
        <v/>
      </c>
    </row>
    <row r="389">
      <c r="A389" s="6" t="n"/>
      <c r="B389" s="6" t="n"/>
      <c r="C389" s="5">
        <f>IF(A389="","",COUNTIFS($A$2:A389,A389,$B$2:B389,B389))</f>
        <v/>
      </c>
      <c r="D389" s="6" t="n"/>
      <c r="E389" s="6" t="n"/>
      <c r="F389" s="6" t="n"/>
      <c r="G389" s="6" t="n"/>
      <c r="H389" s="6" t="n"/>
      <c r="I389" s="6" t="n"/>
      <c r="J389" s="6" t="n"/>
      <c r="K389" s="6" t="n"/>
      <c r="L389" s="6" t="n"/>
      <c r="M389" s="5">
        <f>IF(D389="","",IF(OR(E389="",F389=""),"",IF(TRIM(IF(AND(E389="hecho",F389="INCORRECTA"),"INC ","")&amp;IF(AND(E389="abstencion",F389="INCORRECTA"),"ABS-E ","")&amp;IF(AND(E389="hecho",F389="FUERA_REF",H389="no_resp"),"NO-ABS ","")&amp;IF(AND(E389="hecho",I389="SIN-RESPALDO"),"SIN-R ","")&amp;IF(AND(E389="hecho",I389="CITA-X"),"CITA-X ","")&amp;IF(AND(E389="hecho",I389="SIN-CITA"),"SIN-C ",""))="","-",TRIM(IF(AND(E389="hecho",F389="INCORRECTA"),"INC ","")&amp;IF(AND(E389="abstencion",F389="INCORRECTA"),"ABS-E ","")&amp;IF(AND(E389="hecho",F389="FUERA_REF",H389="no_resp"),"NO-ABS ","")&amp;IF(AND(E389="hecho",I389="SIN-RESPALDO"),"SIN-R ","")&amp;IF(AND(E389="hecho",I389="CITA-X"),"CITA-X ","")&amp;IF(AND(E389="hecho",I389="SIN-CITA"),"SIN-C ","")))))</f>
        <v/>
      </c>
      <c r="N389" s="5">
        <f>IF(D389="","",IF(OR(A389="",B389="",E389="",F389=""),"falta qid, modo, tipo o vs_ref",IF(AND(B389="llm",I389&lt;&gt;""),"respaldo no aplica en modo LLM",IF(AND(E389="abstencion",I389&lt;&gt;""),"una abstención no se califica en citas",IF(AND(B389="rag",E389="hecho",I389=""),"falta respaldo","ok")))))</f>
        <v/>
      </c>
    </row>
    <row r="390">
      <c r="A390" s="6" t="n"/>
      <c r="B390" s="6" t="n"/>
      <c r="C390" s="5">
        <f>IF(A390="","",COUNTIFS($A$2:A390,A390,$B$2:B390,B390))</f>
        <v/>
      </c>
      <c r="D390" s="6" t="n"/>
      <c r="E390" s="6" t="n"/>
      <c r="F390" s="6" t="n"/>
      <c r="G390" s="6" t="n"/>
      <c r="H390" s="6" t="n"/>
      <c r="I390" s="6" t="n"/>
      <c r="J390" s="6" t="n"/>
      <c r="K390" s="6" t="n"/>
      <c r="L390" s="6" t="n"/>
      <c r="M390" s="5">
        <f>IF(D390="","",IF(OR(E390="",F390=""),"",IF(TRIM(IF(AND(E390="hecho",F390="INCORRECTA"),"INC ","")&amp;IF(AND(E390="abstencion",F390="INCORRECTA"),"ABS-E ","")&amp;IF(AND(E390="hecho",F390="FUERA_REF",H390="no_resp"),"NO-ABS ","")&amp;IF(AND(E390="hecho",I390="SIN-RESPALDO"),"SIN-R ","")&amp;IF(AND(E390="hecho",I390="CITA-X"),"CITA-X ","")&amp;IF(AND(E390="hecho",I390="SIN-CITA"),"SIN-C ",""))="","-",TRIM(IF(AND(E390="hecho",F390="INCORRECTA"),"INC ","")&amp;IF(AND(E390="abstencion",F390="INCORRECTA"),"ABS-E ","")&amp;IF(AND(E390="hecho",F390="FUERA_REF",H390="no_resp"),"NO-ABS ","")&amp;IF(AND(E390="hecho",I390="SIN-RESPALDO"),"SIN-R ","")&amp;IF(AND(E390="hecho",I390="CITA-X"),"CITA-X ","")&amp;IF(AND(E390="hecho",I390="SIN-CITA"),"SIN-C ","")))))</f>
        <v/>
      </c>
      <c r="N390" s="5">
        <f>IF(D390="","",IF(OR(A390="",B390="",E390="",F390=""),"falta qid, modo, tipo o vs_ref",IF(AND(B390="llm",I390&lt;&gt;""),"respaldo no aplica en modo LLM",IF(AND(E390="abstencion",I390&lt;&gt;""),"una abstención no se califica en citas",IF(AND(B390="rag",E390="hecho",I390=""),"falta respaldo","ok")))))</f>
        <v/>
      </c>
    </row>
    <row r="391">
      <c r="A391" s="6" t="n"/>
      <c r="B391" s="6" t="n"/>
      <c r="C391" s="5">
        <f>IF(A391="","",COUNTIFS($A$2:A391,A391,$B$2:B391,B391))</f>
        <v/>
      </c>
      <c r="D391" s="6" t="n"/>
      <c r="E391" s="6" t="n"/>
      <c r="F391" s="6" t="n"/>
      <c r="G391" s="6" t="n"/>
      <c r="H391" s="6" t="n"/>
      <c r="I391" s="6" t="n"/>
      <c r="J391" s="6" t="n"/>
      <c r="K391" s="6" t="n"/>
      <c r="L391" s="6" t="n"/>
      <c r="M391" s="5">
        <f>IF(D391="","",IF(OR(E391="",F391=""),"",IF(TRIM(IF(AND(E391="hecho",F391="INCORRECTA"),"INC ","")&amp;IF(AND(E391="abstencion",F391="INCORRECTA"),"ABS-E ","")&amp;IF(AND(E391="hecho",F391="FUERA_REF",H391="no_resp"),"NO-ABS ","")&amp;IF(AND(E391="hecho",I391="SIN-RESPALDO"),"SIN-R ","")&amp;IF(AND(E391="hecho",I391="CITA-X"),"CITA-X ","")&amp;IF(AND(E391="hecho",I391="SIN-CITA"),"SIN-C ",""))="","-",TRIM(IF(AND(E391="hecho",F391="INCORRECTA"),"INC ","")&amp;IF(AND(E391="abstencion",F391="INCORRECTA"),"ABS-E ","")&amp;IF(AND(E391="hecho",F391="FUERA_REF",H391="no_resp"),"NO-ABS ","")&amp;IF(AND(E391="hecho",I391="SIN-RESPALDO"),"SIN-R ","")&amp;IF(AND(E391="hecho",I391="CITA-X"),"CITA-X ","")&amp;IF(AND(E391="hecho",I391="SIN-CITA"),"SIN-C ","")))))</f>
        <v/>
      </c>
      <c r="N391" s="5">
        <f>IF(D391="","",IF(OR(A391="",B391="",E391="",F391=""),"falta qid, modo, tipo o vs_ref",IF(AND(B391="llm",I391&lt;&gt;""),"respaldo no aplica en modo LLM",IF(AND(E391="abstencion",I391&lt;&gt;""),"una abstención no se califica en citas",IF(AND(B391="rag",E391="hecho",I391=""),"falta respaldo","ok")))))</f>
        <v/>
      </c>
    </row>
    <row r="392">
      <c r="A392" s="6" t="n"/>
      <c r="B392" s="6" t="n"/>
      <c r="C392" s="5">
        <f>IF(A392="","",COUNTIFS($A$2:A392,A392,$B$2:B392,B392))</f>
        <v/>
      </c>
      <c r="D392" s="6" t="n"/>
      <c r="E392" s="6" t="n"/>
      <c r="F392" s="6" t="n"/>
      <c r="G392" s="6" t="n"/>
      <c r="H392" s="6" t="n"/>
      <c r="I392" s="6" t="n"/>
      <c r="J392" s="6" t="n"/>
      <c r="K392" s="6" t="n"/>
      <c r="L392" s="6" t="n"/>
      <c r="M392" s="5">
        <f>IF(D392="","",IF(OR(E392="",F392=""),"",IF(TRIM(IF(AND(E392="hecho",F392="INCORRECTA"),"INC ","")&amp;IF(AND(E392="abstencion",F392="INCORRECTA"),"ABS-E ","")&amp;IF(AND(E392="hecho",F392="FUERA_REF",H392="no_resp"),"NO-ABS ","")&amp;IF(AND(E392="hecho",I392="SIN-RESPALDO"),"SIN-R ","")&amp;IF(AND(E392="hecho",I392="CITA-X"),"CITA-X ","")&amp;IF(AND(E392="hecho",I392="SIN-CITA"),"SIN-C ",""))="","-",TRIM(IF(AND(E392="hecho",F392="INCORRECTA"),"INC ","")&amp;IF(AND(E392="abstencion",F392="INCORRECTA"),"ABS-E ","")&amp;IF(AND(E392="hecho",F392="FUERA_REF",H392="no_resp"),"NO-ABS ","")&amp;IF(AND(E392="hecho",I392="SIN-RESPALDO"),"SIN-R ","")&amp;IF(AND(E392="hecho",I392="CITA-X"),"CITA-X ","")&amp;IF(AND(E392="hecho",I392="SIN-CITA"),"SIN-C ","")))))</f>
        <v/>
      </c>
      <c r="N392" s="5">
        <f>IF(D392="","",IF(OR(A392="",B392="",E392="",F392=""),"falta qid, modo, tipo o vs_ref",IF(AND(B392="llm",I392&lt;&gt;""),"respaldo no aplica en modo LLM",IF(AND(E392="abstencion",I392&lt;&gt;""),"una abstención no se califica en citas",IF(AND(B392="rag",E392="hecho",I392=""),"falta respaldo","ok")))))</f>
        <v/>
      </c>
    </row>
    <row r="393">
      <c r="A393" s="6" t="n"/>
      <c r="B393" s="6" t="n"/>
      <c r="C393" s="5">
        <f>IF(A393="","",COUNTIFS($A$2:A393,A393,$B$2:B393,B393))</f>
        <v/>
      </c>
      <c r="D393" s="6" t="n"/>
      <c r="E393" s="6" t="n"/>
      <c r="F393" s="6" t="n"/>
      <c r="G393" s="6" t="n"/>
      <c r="H393" s="6" t="n"/>
      <c r="I393" s="6" t="n"/>
      <c r="J393" s="6" t="n"/>
      <c r="K393" s="6" t="n"/>
      <c r="L393" s="6" t="n"/>
      <c r="M393" s="5">
        <f>IF(D393="","",IF(OR(E393="",F393=""),"",IF(TRIM(IF(AND(E393="hecho",F393="INCORRECTA"),"INC ","")&amp;IF(AND(E393="abstencion",F393="INCORRECTA"),"ABS-E ","")&amp;IF(AND(E393="hecho",F393="FUERA_REF",H393="no_resp"),"NO-ABS ","")&amp;IF(AND(E393="hecho",I393="SIN-RESPALDO"),"SIN-R ","")&amp;IF(AND(E393="hecho",I393="CITA-X"),"CITA-X ","")&amp;IF(AND(E393="hecho",I393="SIN-CITA"),"SIN-C ",""))="","-",TRIM(IF(AND(E393="hecho",F393="INCORRECTA"),"INC ","")&amp;IF(AND(E393="abstencion",F393="INCORRECTA"),"ABS-E ","")&amp;IF(AND(E393="hecho",F393="FUERA_REF",H393="no_resp"),"NO-ABS ","")&amp;IF(AND(E393="hecho",I393="SIN-RESPALDO"),"SIN-R ","")&amp;IF(AND(E393="hecho",I393="CITA-X"),"CITA-X ","")&amp;IF(AND(E393="hecho",I393="SIN-CITA"),"SIN-C ","")))))</f>
        <v/>
      </c>
      <c r="N393" s="5">
        <f>IF(D393="","",IF(OR(A393="",B393="",E393="",F393=""),"falta qid, modo, tipo o vs_ref",IF(AND(B393="llm",I393&lt;&gt;""),"respaldo no aplica en modo LLM",IF(AND(E393="abstencion",I393&lt;&gt;""),"una abstención no se califica en citas",IF(AND(B393="rag",E393="hecho",I393=""),"falta respaldo","ok")))))</f>
        <v/>
      </c>
    </row>
    <row r="394">
      <c r="A394" s="6" t="n"/>
      <c r="B394" s="6" t="n"/>
      <c r="C394" s="5">
        <f>IF(A394="","",COUNTIFS($A$2:A394,A394,$B$2:B394,B394))</f>
        <v/>
      </c>
      <c r="D394" s="6" t="n"/>
      <c r="E394" s="6" t="n"/>
      <c r="F394" s="6" t="n"/>
      <c r="G394" s="6" t="n"/>
      <c r="H394" s="6" t="n"/>
      <c r="I394" s="6" t="n"/>
      <c r="J394" s="6" t="n"/>
      <c r="K394" s="6" t="n"/>
      <c r="L394" s="6" t="n"/>
      <c r="M394" s="5">
        <f>IF(D394="","",IF(OR(E394="",F394=""),"",IF(TRIM(IF(AND(E394="hecho",F394="INCORRECTA"),"INC ","")&amp;IF(AND(E394="abstencion",F394="INCORRECTA"),"ABS-E ","")&amp;IF(AND(E394="hecho",F394="FUERA_REF",H394="no_resp"),"NO-ABS ","")&amp;IF(AND(E394="hecho",I394="SIN-RESPALDO"),"SIN-R ","")&amp;IF(AND(E394="hecho",I394="CITA-X"),"CITA-X ","")&amp;IF(AND(E394="hecho",I394="SIN-CITA"),"SIN-C ",""))="","-",TRIM(IF(AND(E394="hecho",F394="INCORRECTA"),"INC ","")&amp;IF(AND(E394="abstencion",F394="INCORRECTA"),"ABS-E ","")&amp;IF(AND(E394="hecho",F394="FUERA_REF",H394="no_resp"),"NO-ABS ","")&amp;IF(AND(E394="hecho",I394="SIN-RESPALDO"),"SIN-R ","")&amp;IF(AND(E394="hecho",I394="CITA-X"),"CITA-X ","")&amp;IF(AND(E394="hecho",I394="SIN-CITA"),"SIN-C ","")))))</f>
        <v/>
      </c>
      <c r="N394" s="5">
        <f>IF(D394="","",IF(OR(A394="",B394="",E394="",F394=""),"falta qid, modo, tipo o vs_ref",IF(AND(B394="llm",I394&lt;&gt;""),"respaldo no aplica en modo LLM",IF(AND(E394="abstencion",I394&lt;&gt;""),"una abstención no se califica en citas",IF(AND(B394="rag",E394="hecho",I394=""),"falta respaldo","ok")))))</f>
        <v/>
      </c>
    </row>
    <row r="395">
      <c r="A395" s="6" t="n"/>
      <c r="B395" s="6" t="n"/>
      <c r="C395" s="5">
        <f>IF(A395="","",COUNTIFS($A$2:A395,A395,$B$2:B395,B395))</f>
        <v/>
      </c>
      <c r="D395" s="6" t="n"/>
      <c r="E395" s="6" t="n"/>
      <c r="F395" s="6" t="n"/>
      <c r="G395" s="6" t="n"/>
      <c r="H395" s="6" t="n"/>
      <c r="I395" s="6" t="n"/>
      <c r="J395" s="6" t="n"/>
      <c r="K395" s="6" t="n"/>
      <c r="L395" s="6" t="n"/>
      <c r="M395" s="5">
        <f>IF(D395="","",IF(OR(E395="",F395=""),"",IF(TRIM(IF(AND(E395="hecho",F395="INCORRECTA"),"INC ","")&amp;IF(AND(E395="abstencion",F395="INCORRECTA"),"ABS-E ","")&amp;IF(AND(E395="hecho",F395="FUERA_REF",H395="no_resp"),"NO-ABS ","")&amp;IF(AND(E395="hecho",I395="SIN-RESPALDO"),"SIN-R ","")&amp;IF(AND(E395="hecho",I395="CITA-X"),"CITA-X ","")&amp;IF(AND(E395="hecho",I395="SIN-CITA"),"SIN-C ",""))="","-",TRIM(IF(AND(E395="hecho",F395="INCORRECTA"),"INC ","")&amp;IF(AND(E395="abstencion",F395="INCORRECTA"),"ABS-E ","")&amp;IF(AND(E395="hecho",F395="FUERA_REF",H395="no_resp"),"NO-ABS ","")&amp;IF(AND(E395="hecho",I395="SIN-RESPALDO"),"SIN-R ","")&amp;IF(AND(E395="hecho",I395="CITA-X"),"CITA-X ","")&amp;IF(AND(E395="hecho",I395="SIN-CITA"),"SIN-C ","")))))</f>
        <v/>
      </c>
      <c r="N395" s="5">
        <f>IF(D395="","",IF(OR(A395="",B395="",E395="",F395=""),"falta qid, modo, tipo o vs_ref",IF(AND(B395="llm",I395&lt;&gt;""),"respaldo no aplica en modo LLM",IF(AND(E395="abstencion",I395&lt;&gt;""),"una abstención no se califica en citas",IF(AND(B395="rag",E395="hecho",I395=""),"falta respaldo","ok")))))</f>
        <v/>
      </c>
    </row>
    <row r="396">
      <c r="A396" s="6" t="n"/>
      <c r="B396" s="6" t="n"/>
      <c r="C396" s="5">
        <f>IF(A396="","",COUNTIFS($A$2:A396,A396,$B$2:B396,B396))</f>
        <v/>
      </c>
      <c r="D396" s="6" t="n"/>
      <c r="E396" s="6" t="n"/>
      <c r="F396" s="6" t="n"/>
      <c r="G396" s="6" t="n"/>
      <c r="H396" s="6" t="n"/>
      <c r="I396" s="6" t="n"/>
      <c r="J396" s="6" t="n"/>
      <c r="K396" s="6" t="n"/>
      <c r="L396" s="6" t="n"/>
      <c r="M396" s="5">
        <f>IF(D396="","",IF(OR(E396="",F396=""),"",IF(TRIM(IF(AND(E396="hecho",F396="INCORRECTA"),"INC ","")&amp;IF(AND(E396="abstencion",F396="INCORRECTA"),"ABS-E ","")&amp;IF(AND(E396="hecho",F396="FUERA_REF",H396="no_resp"),"NO-ABS ","")&amp;IF(AND(E396="hecho",I396="SIN-RESPALDO"),"SIN-R ","")&amp;IF(AND(E396="hecho",I396="CITA-X"),"CITA-X ","")&amp;IF(AND(E396="hecho",I396="SIN-CITA"),"SIN-C ",""))="","-",TRIM(IF(AND(E396="hecho",F396="INCORRECTA"),"INC ","")&amp;IF(AND(E396="abstencion",F396="INCORRECTA"),"ABS-E ","")&amp;IF(AND(E396="hecho",F396="FUERA_REF",H396="no_resp"),"NO-ABS ","")&amp;IF(AND(E396="hecho",I396="SIN-RESPALDO"),"SIN-R ","")&amp;IF(AND(E396="hecho",I396="CITA-X"),"CITA-X ","")&amp;IF(AND(E396="hecho",I396="SIN-CITA"),"SIN-C ","")))))</f>
        <v/>
      </c>
      <c r="N396" s="5">
        <f>IF(D396="","",IF(OR(A396="",B396="",E396="",F396=""),"falta qid, modo, tipo o vs_ref",IF(AND(B396="llm",I396&lt;&gt;""),"respaldo no aplica en modo LLM",IF(AND(E396="abstencion",I396&lt;&gt;""),"una abstención no se califica en citas",IF(AND(B396="rag",E396="hecho",I396=""),"falta respaldo","ok")))))</f>
        <v/>
      </c>
    </row>
    <row r="397">
      <c r="A397" s="6" t="n"/>
      <c r="B397" s="6" t="n"/>
      <c r="C397" s="5">
        <f>IF(A397="","",COUNTIFS($A$2:A397,A397,$B$2:B397,B397))</f>
        <v/>
      </c>
      <c r="D397" s="6" t="n"/>
      <c r="E397" s="6" t="n"/>
      <c r="F397" s="6" t="n"/>
      <c r="G397" s="6" t="n"/>
      <c r="H397" s="6" t="n"/>
      <c r="I397" s="6" t="n"/>
      <c r="J397" s="6" t="n"/>
      <c r="K397" s="6" t="n"/>
      <c r="L397" s="6" t="n"/>
      <c r="M397" s="5">
        <f>IF(D397="","",IF(OR(E397="",F397=""),"",IF(TRIM(IF(AND(E397="hecho",F397="INCORRECTA"),"INC ","")&amp;IF(AND(E397="abstencion",F397="INCORRECTA"),"ABS-E ","")&amp;IF(AND(E397="hecho",F397="FUERA_REF",H397="no_resp"),"NO-ABS ","")&amp;IF(AND(E397="hecho",I397="SIN-RESPALDO"),"SIN-R ","")&amp;IF(AND(E397="hecho",I397="CITA-X"),"CITA-X ","")&amp;IF(AND(E397="hecho",I397="SIN-CITA"),"SIN-C ",""))="","-",TRIM(IF(AND(E397="hecho",F397="INCORRECTA"),"INC ","")&amp;IF(AND(E397="abstencion",F397="INCORRECTA"),"ABS-E ","")&amp;IF(AND(E397="hecho",F397="FUERA_REF",H397="no_resp"),"NO-ABS ","")&amp;IF(AND(E397="hecho",I397="SIN-RESPALDO"),"SIN-R ","")&amp;IF(AND(E397="hecho",I397="CITA-X"),"CITA-X ","")&amp;IF(AND(E397="hecho",I397="SIN-CITA"),"SIN-C ","")))))</f>
        <v/>
      </c>
      <c r="N397" s="5">
        <f>IF(D397="","",IF(OR(A397="",B397="",E397="",F397=""),"falta qid, modo, tipo o vs_ref",IF(AND(B397="llm",I397&lt;&gt;""),"respaldo no aplica en modo LLM",IF(AND(E397="abstencion",I397&lt;&gt;""),"una abstención no se califica en citas",IF(AND(B397="rag",E397="hecho",I397=""),"falta respaldo","ok")))))</f>
        <v/>
      </c>
    </row>
    <row r="398">
      <c r="A398" s="6" t="n"/>
      <c r="B398" s="6" t="n"/>
      <c r="C398" s="5">
        <f>IF(A398="","",COUNTIFS($A$2:A398,A398,$B$2:B398,B398))</f>
        <v/>
      </c>
      <c r="D398" s="6" t="n"/>
      <c r="E398" s="6" t="n"/>
      <c r="F398" s="6" t="n"/>
      <c r="G398" s="6" t="n"/>
      <c r="H398" s="6" t="n"/>
      <c r="I398" s="6" t="n"/>
      <c r="J398" s="6" t="n"/>
      <c r="K398" s="6" t="n"/>
      <c r="L398" s="6" t="n"/>
      <c r="M398" s="5">
        <f>IF(D398="","",IF(OR(E398="",F398=""),"",IF(TRIM(IF(AND(E398="hecho",F398="INCORRECTA"),"INC ","")&amp;IF(AND(E398="abstencion",F398="INCORRECTA"),"ABS-E ","")&amp;IF(AND(E398="hecho",F398="FUERA_REF",H398="no_resp"),"NO-ABS ","")&amp;IF(AND(E398="hecho",I398="SIN-RESPALDO"),"SIN-R ","")&amp;IF(AND(E398="hecho",I398="CITA-X"),"CITA-X ","")&amp;IF(AND(E398="hecho",I398="SIN-CITA"),"SIN-C ",""))="","-",TRIM(IF(AND(E398="hecho",F398="INCORRECTA"),"INC ","")&amp;IF(AND(E398="abstencion",F398="INCORRECTA"),"ABS-E ","")&amp;IF(AND(E398="hecho",F398="FUERA_REF",H398="no_resp"),"NO-ABS ","")&amp;IF(AND(E398="hecho",I398="SIN-RESPALDO"),"SIN-R ","")&amp;IF(AND(E398="hecho",I398="CITA-X"),"CITA-X ","")&amp;IF(AND(E398="hecho",I398="SIN-CITA"),"SIN-C ","")))))</f>
        <v/>
      </c>
      <c r="N398" s="5">
        <f>IF(D398="","",IF(OR(A398="",B398="",E398="",F398=""),"falta qid, modo, tipo o vs_ref",IF(AND(B398="llm",I398&lt;&gt;""),"respaldo no aplica en modo LLM",IF(AND(E398="abstencion",I398&lt;&gt;""),"una abstención no se califica en citas",IF(AND(B398="rag",E398="hecho",I398=""),"falta respaldo","ok")))))</f>
        <v/>
      </c>
    </row>
    <row r="399">
      <c r="A399" s="6" t="n"/>
      <c r="B399" s="6" t="n"/>
      <c r="C399" s="5">
        <f>IF(A399="","",COUNTIFS($A$2:A399,A399,$B$2:B399,B399))</f>
        <v/>
      </c>
      <c r="D399" s="6" t="n"/>
      <c r="E399" s="6" t="n"/>
      <c r="F399" s="6" t="n"/>
      <c r="G399" s="6" t="n"/>
      <c r="H399" s="6" t="n"/>
      <c r="I399" s="6" t="n"/>
      <c r="J399" s="6" t="n"/>
      <c r="K399" s="6" t="n"/>
      <c r="L399" s="6" t="n"/>
      <c r="M399" s="5">
        <f>IF(D399="","",IF(OR(E399="",F399=""),"",IF(TRIM(IF(AND(E399="hecho",F399="INCORRECTA"),"INC ","")&amp;IF(AND(E399="abstencion",F399="INCORRECTA"),"ABS-E ","")&amp;IF(AND(E399="hecho",F399="FUERA_REF",H399="no_resp"),"NO-ABS ","")&amp;IF(AND(E399="hecho",I399="SIN-RESPALDO"),"SIN-R ","")&amp;IF(AND(E399="hecho",I399="CITA-X"),"CITA-X ","")&amp;IF(AND(E399="hecho",I399="SIN-CITA"),"SIN-C ",""))="","-",TRIM(IF(AND(E399="hecho",F399="INCORRECTA"),"INC ","")&amp;IF(AND(E399="abstencion",F399="INCORRECTA"),"ABS-E ","")&amp;IF(AND(E399="hecho",F399="FUERA_REF",H399="no_resp"),"NO-ABS ","")&amp;IF(AND(E399="hecho",I399="SIN-RESPALDO"),"SIN-R ","")&amp;IF(AND(E399="hecho",I399="CITA-X"),"CITA-X ","")&amp;IF(AND(E399="hecho",I399="SIN-CITA"),"SIN-C ","")))))</f>
        <v/>
      </c>
      <c r="N399" s="5">
        <f>IF(D399="","",IF(OR(A399="",B399="",E399="",F399=""),"falta qid, modo, tipo o vs_ref",IF(AND(B399="llm",I399&lt;&gt;""),"respaldo no aplica en modo LLM",IF(AND(E399="abstencion",I399&lt;&gt;""),"una abstención no se califica en citas",IF(AND(B399="rag",E399="hecho",I399=""),"falta respaldo","ok")))))</f>
        <v/>
      </c>
    </row>
    <row r="400">
      <c r="A400" s="6" t="n"/>
      <c r="B400" s="6" t="n"/>
      <c r="C400" s="5">
        <f>IF(A400="","",COUNTIFS($A$2:A400,A400,$B$2:B400,B400))</f>
        <v/>
      </c>
      <c r="D400" s="6" t="n"/>
      <c r="E400" s="6" t="n"/>
      <c r="F400" s="6" t="n"/>
      <c r="G400" s="6" t="n"/>
      <c r="H400" s="6" t="n"/>
      <c r="I400" s="6" t="n"/>
      <c r="J400" s="6" t="n"/>
      <c r="K400" s="6" t="n"/>
      <c r="L400" s="6" t="n"/>
      <c r="M400" s="5">
        <f>IF(D400="","",IF(OR(E400="",F400=""),"",IF(TRIM(IF(AND(E400="hecho",F400="INCORRECTA"),"INC ","")&amp;IF(AND(E400="abstencion",F400="INCORRECTA"),"ABS-E ","")&amp;IF(AND(E400="hecho",F400="FUERA_REF",H400="no_resp"),"NO-ABS ","")&amp;IF(AND(E400="hecho",I400="SIN-RESPALDO"),"SIN-R ","")&amp;IF(AND(E400="hecho",I400="CITA-X"),"CITA-X ","")&amp;IF(AND(E400="hecho",I400="SIN-CITA"),"SIN-C ",""))="","-",TRIM(IF(AND(E400="hecho",F400="INCORRECTA"),"INC ","")&amp;IF(AND(E400="abstencion",F400="INCORRECTA"),"ABS-E ","")&amp;IF(AND(E400="hecho",F400="FUERA_REF",H400="no_resp"),"NO-ABS ","")&amp;IF(AND(E400="hecho",I400="SIN-RESPALDO"),"SIN-R ","")&amp;IF(AND(E400="hecho",I400="CITA-X"),"CITA-X ","")&amp;IF(AND(E400="hecho",I400="SIN-CITA"),"SIN-C ","")))))</f>
        <v/>
      </c>
      <c r="N400" s="5">
        <f>IF(D400="","",IF(OR(A400="",B400="",E400="",F400=""),"falta qid, modo, tipo o vs_ref",IF(AND(B400="llm",I400&lt;&gt;""),"respaldo no aplica en modo LLM",IF(AND(E400="abstencion",I400&lt;&gt;""),"una abstención no se califica en citas",IF(AND(B400="rag",E400="hecho",I400=""),"falta respaldo","ok")))))</f>
        <v/>
      </c>
    </row>
    <row r="401">
      <c r="A401" s="6" t="n"/>
      <c r="B401" s="6" t="n"/>
      <c r="C401" s="5">
        <f>IF(A401="","",COUNTIFS($A$2:A401,A401,$B$2:B401,B401))</f>
        <v/>
      </c>
      <c r="D401" s="6" t="n"/>
      <c r="E401" s="6" t="n"/>
      <c r="F401" s="6" t="n"/>
      <c r="G401" s="6" t="n"/>
      <c r="H401" s="6" t="n"/>
      <c r="I401" s="6" t="n"/>
      <c r="J401" s="6" t="n"/>
      <c r="K401" s="6" t="n"/>
      <c r="L401" s="6" t="n"/>
      <c r="M401" s="5">
        <f>IF(D401="","",IF(OR(E401="",F401=""),"",IF(TRIM(IF(AND(E401="hecho",F401="INCORRECTA"),"INC ","")&amp;IF(AND(E401="abstencion",F401="INCORRECTA"),"ABS-E ","")&amp;IF(AND(E401="hecho",F401="FUERA_REF",H401="no_resp"),"NO-ABS ","")&amp;IF(AND(E401="hecho",I401="SIN-RESPALDO"),"SIN-R ","")&amp;IF(AND(E401="hecho",I401="CITA-X"),"CITA-X ","")&amp;IF(AND(E401="hecho",I401="SIN-CITA"),"SIN-C ",""))="","-",TRIM(IF(AND(E401="hecho",F401="INCORRECTA"),"INC ","")&amp;IF(AND(E401="abstencion",F401="INCORRECTA"),"ABS-E ","")&amp;IF(AND(E401="hecho",F401="FUERA_REF",H401="no_resp"),"NO-ABS ","")&amp;IF(AND(E401="hecho",I401="SIN-RESPALDO"),"SIN-R ","")&amp;IF(AND(E401="hecho",I401="CITA-X"),"CITA-X ","")&amp;IF(AND(E401="hecho",I401="SIN-CITA"),"SIN-C ","")))))</f>
        <v/>
      </c>
      <c r="N401" s="5">
        <f>IF(D401="","",IF(OR(A401="",B401="",E401="",F401=""),"falta qid, modo, tipo o vs_ref",IF(AND(B401="llm",I401&lt;&gt;""),"respaldo no aplica en modo LLM",IF(AND(E401="abstencion",I401&lt;&gt;""),"una abstención no se califica en citas",IF(AND(B401="rag",E401="hecho",I401=""),"falta respaldo","ok")))))</f>
        <v/>
      </c>
    </row>
  </sheetData>
  <sheetProtection selectLockedCells="0" selectUnlockedCells="0" sheet="1" objects="0" insertRows="1" insertHyperlinks="1" autoFilter="0" scenarios="0" formatColumns="0" deleteColumns="1" insertColumns="1" pivotTables="1" deleteRows="1" formatCells="1" formatRows="0" sort="0"/>
  <dataValidations count="6">
    <dataValidation sqref="A2:A401" showDropDown="0" showInputMessage="0" showErrorMessage="1" allowBlank="1" type="list">
      <formula1>"p01,p02,p03,p04,p05,p06,p07,p08,p09,p10,p11,p12,p13"</formula1>
    </dataValidation>
    <dataValidation sqref="B2:B401" showDropDown="0" showInputMessage="0" showErrorMessage="1" allowBlank="1" type="list">
      <formula1>"rag,llm"</formula1>
    </dataValidation>
    <dataValidation sqref="E2:E401" showDropDown="0" showInputMessage="0" showErrorMessage="1" allowBlank="1" type="list">
      <formula1>"hecho,abstencion"</formula1>
    </dataValidation>
    <dataValidation sqref="F2:F401" showDropDown="0" showInputMessage="0" showErrorMessage="1" allowBlank="1" type="list">
      <formula1>"CORRECTA,INCORRECTA,FUERA_REF"</formula1>
    </dataValidation>
    <dataValidation sqref="H2:H401" showDropDown="0" showInputMessage="0" showErrorMessage="1" allowBlank="1" type="list">
      <formula1>"ref,no_resp"</formula1>
    </dataValidation>
    <dataValidation sqref="I2:I401" showDropDown="0" showInputMessage="0" showErrorMessage="1" allowBlank="1" type="list">
      <formula1>"SOSTENIDA,CITA-X,SIN-CITA,SIN-RESPALDO"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62" customWidth="1" min="3" max="3"/>
    <col width="12" customWidth="1" min="4" max="4"/>
    <col width="12" customWidth="1" min="5" max="5"/>
    <col width="12" customWidth="1" min="6" max="6"/>
    <col width="12" customWidth="1" min="7" max="7"/>
    <col width="14" customWidth="1" min="8" max="8"/>
  </cols>
  <sheetData>
    <row r="1" ht="34" customHeight="1">
      <c r="A1" s="3" t="inlineStr">
        <is>
          <t>qid</t>
        </is>
      </c>
      <c r="B1" s="3" t="inlineStr">
        <is>
          <t>hecho</t>
        </is>
      </c>
      <c r="C1" s="3" t="inlineStr">
        <is>
          <t>texto del hecho</t>
        </is>
      </c>
      <c r="D1" s="3" t="inlineStr">
        <is>
          <t>evidencia (n frag.)</t>
        </is>
      </c>
      <c r="E1" s="3" t="inlineStr">
        <is>
          <t>llegó (RAG)</t>
        </is>
      </c>
      <c r="F1" s="3" t="inlineStr">
        <is>
          <t>cubierto RAG</t>
        </is>
      </c>
      <c r="G1" s="3" t="inlineStr">
        <is>
          <t>cubierto LLM</t>
        </is>
      </c>
      <c r="H1" s="3" t="inlineStr">
        <is>
          <t>cubierto y citado RAG</t>
        </is>
      </c>
    </row>
    <row r="2">
      <c r="A2" s="4" t="inlineStr">
        <is>
          <t>p01</t>
        </is>
      </c>
      <c r="B2" s="4" t="inlineStr">
        <is>
          <t>H1</t>
        </is>
      </c>
      <c r="C2" s="4" t="inlineStr">
        <is>
          <t>M1038 Execution Prevention</t>
        </is>
      </c>
      <c r="D2" s="4" t="n">
        <v>1</v>
      </c>
      <c r="E2" s="6" t="inlineStr">
        <is>
          <t>NO</t>
        </is>
      </c>
      <c r="F2" s="5">
        <f>IF(COUNTIFS(Afirmaciones!$A$2:$A$401,$A2,Afirmaciones!$B$2:$B$401,"rag")=0,"",IF(SUMPRODUCT((Afirmaciones!$A$2:$A$401=$A2)*(Afirmaciones!$F$2:$F$401="CORRECTA")*(Afirmaciones!$H$2:$H$401&lt;&gt;"no_resp")*ISNUMBER(SEARCH(";"&amp;$B2&amp;";",";"&amp;SUBSTITUTE(Afirmaciones!$G$2:$G$401," ","")&amp;";"))*(Afirmaciones!$B$2:$B$401="rag"))&gt;0,1,0))</f>
        <v/>
      </c>
      <c r="G2" s="5">
        <f>IF(COUNTIFS(Afirmaciones!$A$2:$A$401,$A2,Afirmaciones!$B$2:$B$401,"llm")=0,"",IF(SUMPRODUCT((Afirmaciones!$A$2:$A$401=$A2)*(Afirmaciones!$F$2:$F$401="CORRECTA")*(Afirmaciones!$H$2:$H$401&lt;&gt;"no_resp")*ISNUMBER(SEARCH(";"&amp;$B2&amp;";",";"&amp;SUBSTITUTE(Afirmaciones!$G$2:$G$401," ","")&amp;";"))*(Afirmaciones!$B$2:$B$401="llm"))&gt;0,1,0))</f>
        <v/>
      </c>
      <c r="H2" s="5">
        <f>IF(COUNTIFS(Afirmaciones!$A$2:$A$401,$A2,Afirmaciones!$B$2:$B$401,"rag")=0,"",IF(SUMPRODUCT((Afirmaciones!$A$2:$A$401=$A2)*(Afirmaciones!$F$2:$F$401="CORRECTA")*(Afirmaciones!$H$2:$H$401&lt;&gt;"no_resp")*ISNUMBER(SEARCH(";"&amp;$B2&amp;";",";"&amp;SUBSTITUTE(Afirmaciones!$G$2:$G$401," ","")&amp;";"))*(Afirmaciones!$B$2:$B$401="rag")*(Afirmaciones!$I$2:$I$401="SOSTENIDA"))&gt;0,1,0))</f>
        <v/>
      </c>
    </row>
    <row r="3">
      <c r="A3" s="4" t="inlineStr">
        <is>
          <t>p01</t>
        </is>
      </c>
      <c r="B3" s="4" t="inlineStr">
        <is>
          <t>H2</t>
        </is>
      </c>
      <c r="C3" s="4" t="inlineStr">
        <is>
          <t>M1045 Code Signing</t>
        </is>
      </c>
      <c r="D3" s="4" t="n">
        <v>1</v>
      </c>
      <c r="E3" s="6" t="inlineStr">
        <is>
          <t>NO</t>
        </is>
      </c>
      <c r="F3" s="5">
        <f>IF(COUNTIFS(Afirmaciones!$A$2:$A$401,$A3,Afirmaciones!$B$2:$B$401,"rag")=0,"",IF(SUMPRODUCT((Afirmaciones!$A$2:$A$401=$A3)*(Afirmaciones!$F$2:$F$401="CORRECTA")*(Afirmaciones!$H$2:$H$401&lt;&gt;"no_resp")*ISNUMBER(SEARCH(";"&amp;$B3&amp;";",";"&amp;SUBSTITUTE(Afirmaciones!$G$2:$G$401," ","")&amp;";"))*(Afirmaciones!$B$2:$B$401="rag"))&gt;0,1,0))</f>
        <v/>
      </c>
      <c r="G3" s="5">
        <f>IF(COUNTIFS(Afirmaciones!$A$2:$A$401,$A3,Afirmaciones!$B$2:$B$401,"llm")=0,"",IF(SUMPRODUCT((Afirmaciones!$A$2:$A$401=$A3)*(Afirmaciones!$F$2:$F$401="CORRECTA")*(Afirmaciones!$H$2:$H$401&lt;&gt;"no_resp")*ISNUMBER(SEARCH(";"&amp;$B3&amp;";",";"&amp;SUBSTITUTE(Afirmaciones!$G$2:$G$401," ","")&amp;";"))*(Afirmaciones!$B$2:$B$401="llm"))&gt;0,1,0))</f>
        <v/>
      </c>
      <c r="H3" s="5">
        <f>IF(COUNTIFS(Afirmaciones!$A$2:$A$401,$A3,Afirmaciones!$B$2:$B$401,"rag")=0,"",IF(SUMPRODUCT((Afirmaciones!$A$2:$A$401=$A3)*(Afirmaciones!$F$2:$F$401="CORRECTA")*(Afirmaciones!$H$2:$H$401&lt;&gt;"no_resp")*ISNUMBER(SEARCH(";"&amp;$B3&amp;";",";"&amp;SUBSTITUTE(Afirmaciones!$G$2:$G$401," ","")&amp;";"))*(Afirmaciones!$B$2:$B$401="rag")*(Afirmaciones!$I$2:$I$401="SOSTENIDA"))&gt;0,1,0))</f>
        <v/>
      </c>
    </row>
    <row r="4">
      <c r="A4" s="4" t="inlineStr">
        <is>
          <t>p01</t>
        </is>
      </c>
      <c r="B4" s="4" t="inlineStr">
        <is>
          <t>H3</t>
        </is>
      </c>
      <c r="C4" s="4" t="inlineStr">
        <is>
          <t>M1026 Privileged Account Management</t>
        </is>
      </c>
      <c r="D4" s="4" t="n">
        <v>1</v>
      </c>
      <c r="E4" s="6" t="inlineStr">
        <is>
          <t>NO</t>
        </is>
      </c>
      <c r="F4" s="5">
        <f>IF(COUNTIFS(Afirmaciones!$A$2:$A$401,$A4,Afirmaciones!$B$2:$B$401,"rag")=0,"",IF(SUMPRODUCT((Afirmaciones!$A$2:$A$401=$A4)*(Afirmaciones!$F$2:$F$401="CORRECTA")*(Afirmaciones!$H$2:$H$401&lt;&gt;"no_resp")*ISNUMBER(SEARCH(";"&amp;$B4&amp;";",";"&amp;SUBSTITUTE(Afirmaciones!$G$2:$G$401," ","")&amp;";"))*(Afirmaciones!$B$2:$B$401="rag"))&gt;0,1,0))</f>
        <v/>
      </c>
      <c r="G4" s="5">
        <f>IF(COUNTIFS(Afirmaciones!$A$2:$A$401,$A4,Afirmaciones!$B$2:$B$401,"llm")=0,"",IF(SUMPRODUCT((Afirmaciones!$A$2:$A$401=$A4)*(Afirmaciones!$F$2:$F$401="CORRECTA")*(Afirmaciones!$H$2:$H$401&lt;&gt;"no_resp")*ISNUMBER(SEARCH(";"&amp;$B4&amp;";",";"&amp;SUBSTITUTE(Afirmaciones!$G$2:$G$401," ","")&amp;";"))*(Afirmaciones!$B$2:$B$401="llm"))&gt;0,1,0))</f>
        <v/>
      </c>
      <c r="H4" s="5">
        <f>IF(COUNTIFS(Afirmaciones!$A$2:$A$401,$A4,Afirmaciones!$B$2:$B$401,"rag")=0,"",IF(SUMPRODUCT((Afirmaciones!$A$2:$A$401=$A4)*(Afirmaciones!$F$2:$F$401="CORRECTA")*(Afirmaciones!$H$2:$H$401&lt;&gt;"no_resp")*ISNUMBER(SEARCH(";"&amp;$B4&amp;";",";"&amp;SUBSTITUTE(Afirmaciones!$G$2:$G$401," ","")&amp;";"))*(Afirmaciones!$B$2:$B$401="rag")*(Afirmaciones!$I$2:$I$401="SOSTENIDA"))&gt;0,1,0))</f>
        <v/>
      </c>
    </row>
    <row r="5">
      <c r="A5" s="4" t="inlineStr">
        <is>
          <t>p01</t>
        </is>
      </c>
      <c r="B5" s="4" t="inlineStr">
        <is>
          <t>H4</t>
        </is>
      </c>
      <c r="C5" s="4" t="inlineStr">
        <is>
          <t>M1049 Antivirus/Antimalware</t>
        </is>
      </c>
      <c r="D5" s="4" t="n">
        <v>1</v>
      </c>
      <c r="E5" s="6" t="inlineStr">
        <is>
          <t>NO</t>
        </is>
      </c>
      <c r="F5" s="5">
        <f>IF(COUNTIFS(Afirmaciones!$A$2:$A$401,$A5,Afirmaciones!$B$2:$B$401,"rag")=0,"",IF(SUMPRODUCT((Afirmaciones!$A$2:$A$401=$A5)*(Afirmaciones!$F$2:$F$401="CORRECTA")*(Afirmaciones!$H$2:$H$401&lt;&gt;"no_resp")*ISNUMBER(SEARCH(";"&amp;$B5&amp;";",";"&amp;SUBSTITUTE(Afirmaciones!$G$2:$G$401," ","")&amp;";"))*(Afirmaciones!$B$2:$B$401="rag"))&gt;0,1,0))</f>
        <v/>
      </c>
      <c r="G5" s="5">
        <f>IF(COUNTIFS(Afirmaciones!$A$2:$A$401,$A5,Afirmaciones!$B$2:$B$401,"llm")=0,"",IF(SUMPRODUCT((Afirmaciones!$A$2:$A$401=$A5)*(Afirmaciones!$F$2:$F$401="CORRECTA")*(Afirmaciones!$H$2:$H$401&lt;&gt;"no_resp")*ISNUMBER(SEARCH(";"&amp;$B5&amp;";",";"&amp;SUBSTITUTE(Afirmaciones!$G$2:$G$401," ","")&amp;";"))*(Afirmaciones!$B$2:$B$401="llm"))&gt;0,1,0))</f>
        <v/>
      </c>
      <c r="H5" s="5">
        <f>IF(COUNTIFS(Afirmaciones!$A$2:$A$401,$A5,Afirmaciones!$B$2:$B$401,"rag")=0,"",IF(SUMPRODUCT((Afirmaciones!$A$2:$A$401=$A5)*(Afirmaciones!$F$2:$F$401="CORRECTA")*(Afirmaciones!$H$2:$H$401&lt;&gt;"no_resp")*ISNUMBER(SEARCH(";"&amp;$B5&amp;";",";"&amp;SUBSTITUTE(Afirmaciones!$G$2:$G$401," ","")&amp;";"))*(Afirmaciones!$B$2:$B$401="rag")*(Afirmaciones!$I$2:$I$401="SOSTENIDA"))&gt;0,1,0))</f>
        <v/>
      </c>
    </row>
    <row r="6">
      <c r="A6" s="4" t="inlineStr">
        <is>
          <t>p01</t>
        </is>
      </c>
      <c r="B6" s="4" t="inlineStr">
        <is>
          <t>H5</t>
        </is>
      </c>
      <c r="C6" s="4" t="inlineStr">
        <is>
          <t>M1042 Disable or Remove Feature or Program (PowerShell/WinRM)</t>
        </is>
      </c>
      <c r="D6" s="4" t="n">
        <v>3</v>
      </c>
      <c r="E6" s="6" t="inlineStr">
        <is>
          <t>ALT-P</t>
        </is>
      </c>
      <c r="F6" s="5">
        <f>IF(COUNTIFS(Afirmaciones!$A$2:$A$401,$A6,Afirmaciones!$B$2:$B$401,"rag")=0,"",IF(SUMPRODUCT((Afirmaciones!$A$2:$A$401=$A6)*(Afirmaciones!$F$2:$F$401="CORRECTA")*(Afirmaciones!$H$2:$H$401&lt;&gt;"no_resp")*ISNUMBER(SEARCH(";"&amp;$B6&amp;";",";"&amp;SUBSTITUTE(Afirmaciones!$G$2:$G$401," ","")&amp;";"))*(Afirmaciones!$B$2:$B$401="rag"))&gt;0,1,0))</f>
        <v/>
      </c>
      <c r="G6" s="5">
        <f>IF(COUNTIFS(Afirmaciones!$A$2:$A$401,$A6,Afirmaciones!$B$2:$B$401,"llm")=0,"",IF(SUMPRODUCT((Afirmaciones!$A$2:$A$401=$A6)*(Afirmaciones!$F$2:$F$401="CORRECTA")*(Afirmaciones!$H$2:$H$401&lt;&gt;"no_resp")*ISNUMBER(SEARCH(";"&amp;$B6&amp;";",";"&amp;SUBSTITUTE(Afirmaciones!$G$2:$G$401," ","")&amp;";"))*(Afirmaciones!$B$2:$B$401="llm"))&gt;0,1,0))</f>
        <v/>
      </c>
      <c r="H6" s="5">
        <f>IF(COUNTIFS(Afirmaciones!$A$2:$A$401,$A6,Afirmaciones!$B$2:$B$401,"rag")=0,"",IF(SUMPRODUCT((Afirmaciones!$A$2:$A$401=$A6)*(Afirmaciones!$F$2:$F$401="CORRECTA")*(Afirmaciones!$H$2:$H$401&lt;&gt;"no_resp")*ISNUMBER(SEARCH(";"&amp;$B6&amp;";",";"&amp;SUBSTITUTE(Afirmaciones!$G$2:$G$401," ","")&amp;";"))*(Afirmaciones!$B$2:$B$401="rag")*(Afirmaciones!$I$2:$I$401="SOSTENIDA"))&gt;0,1,0))</f>
        <v/>
      </c>
    </row>
    <row r="7">
      <c r="A7" s="4" t="inlineStr">
        <is>
          <t>p02</t>
        </is>
      </c>
      <c r="B7" s="4" t="inlineStr">
        <is>
          <t>H1</t>
        </is>
      </c>
      <c r="C7" s="4" t="inlineStr">
        <is>
          <t>Phishing pertenece a Initial Access</t>
        </is>
      </c>
      <c r="D7" s="4" t="n">
        <v>1</v>
      </c>
      <c r="E7" s="6" t="inlineStr">
        <is>
          <t>SI</t>
        </is>
      </c>
      <c r="F7" s="5">
        <f>IF(COUNTIFS(Afirmaciones!$A$2:$A$401,$A7,Afirmaciones!$B$2:$B$401,"rag")=0,"",IF(SUMPRODUCT((Afirmaciones!$A$2:$A$401=$A7)*(Afirmaciones!$F$2:$F$401="CORRECTA")*(Afirmaciones!$H$2:$H$401&lt;&gt;"no_resp")*ISNUMBER(SEARCH(";"&amp;$B7&amp;";",";"&amp;SUBSTITUTE(Afirmaciones!$G$2:$G$401," ","")&amp;";"))*(Afirmaciones!$B$2:$B$401="rag"))&gt;0,1,0))</f>
        <v/>
      </c>
      <c r="G7" s="5">
        <f>IF(COUNTIFS(Afirmaciones!$A$2:$A$401,$A7,Afirmaciones!$B$2:$B$401,"llm")=0,"",IF(SUMPRODUCT((Afirmaciones!$A$2:$A$401=$A7)*(Afirmaciones!$F$2:$F$401="CORRECTA")*(Afirmaciones!$H$2:$H$401&lt;&gt;"no_resp")*ISNUMBER(SEARCH(";"&amp;$B7&amp;";",";"&amp;SUBSTITUTE(Afirmaciones!$G$2:$G$401," ","")&amp;";"))*(Afirmaciones!$B$2:$B$401="llm"))&gt;0,1,0))</f>
        <v/>
      </c>
      <c r="H7" s="5">
        <f>IF(COUNTIFS(Afirmaciones!$A$2:$A$401,$A7,Afirmaciones!$B$2:$B$401,"rag")=0,"",IF(SUMPRODUCT((Afirmaciones!$A$2:$A$401=$A7)*(Afirmaciones!$F$2:$F$401="CORRECTA")*(Afirmaciones!$H$2:$H$401&lt;&gt;"no_resp")*ISNUMBER(SEARCH(";"&amp;$B7&amp;";",";"&amp;SUBSTITUTE(Afirmaciones!$G$2:$G$401," ","")&amp;";"))*(Afirmaciones!$B$2:$B$401="rag")*(Afirmaciones!$I$2:$I$401="SOSTENIDA"))&gt;0,1,0))</f>
        <v/>
      </c>
    </row>
    <row r="8">
      <c r="A8" s="4" t="inlineStr">
        <is>
          <t>p02</t>
        </is>
      </c>
      <c r="B8" s="4" t="inlineStr">
        <is>
          <t>H2</t>
        </is>
      </c>
      <c r="C8" s="4" t="inlineStr">
        <is>
          <t>T1566.001 Spearphishing Attachment</t>
        </is>
      </c>
      <c r="D8" s="4" t="n">
        <v>1</v>
      </c>
      <c r="E8" s="6" t="inlineStr">
        <is>
          <t>NO</t>
        </is>
      </c>
      <c r="F8" s="5">
        <f>IF(COUNTIFS(Afirmaciones!$A$2:$A$401,$A8,Afirmaciones!$B$2:$B$401,"rag")=0,"",IF(SUMPRODUCT((Afirmaciones!$A$2:$A$401=$A8)*(Afirmaciones!$F$2:$F$401="CORRECTA")*(Afirmaciones!$H$2:$H$401&lt;&gt;"no_resp")*ISNUMBER(SEARCH(";"&amp;$B8&amp;";",";"&amp;SUBSTITUTE(Afirmaciones!$G$2:$G$401," ","")&amp;";"))*(Afirmaciones!$B$2:$B$401="rag"))&gt;0,1,0))</f>
        <v/>
      </c>
      <c r="G8" s="5">
        <f>IF(COUNTIFS(Afirmaciones!$A$2:$A$401,$A8,Afirmaciones!$B$2:$B$401,"llm")=0,"",IF(SUMPRODUCT((Afirmaciones!$A$2:$A$401=$A8)*(Afirmaciones!$F$2:$F$401="CORRECTA")*(Afirmaciones!$H$2:$H$401&lt;&gt;"no_resp")*ISNUMBER(SEARCH(";"&amp;$B8&amp;";",";"&amp;SUBSTITUTE(Afirmaciones!$G$2:$G$401," ","")&amp;";"))*(Afirmaciones!$B$2:$B$401="llm"))&gt;0,1,0))</f>
        <v/>
      </c>
      <c r="H8" s="5">
        <f>IF(COUNTIFS(Afirmaciones!$A$2:$A$401,$A8,Afirmaciones!$B$2:$B$401,"rag")=0,"",IF(SUMPRODUCT((Afirmaciones!$A$2:$A$401=$A8)*(Afirmaciones!$F$2:$F$401="CORRECTA")*(Afirmaciones!$H$2:$H$401&lt;&gt;"no_resp")*ISNUMBER(SEARCH(";"&amp;$B8&amp;";",";"&amp;SUBSTITUTE(Afirmaciones!$G$2:$G$401," ","")&amp;";"))*(Afirmaciones!$B$2:$B$401="rag")*(Afirmaciones!$I$2:$I$401="SOSTENIDA"))&gt;0,1,0))</f>
        <v/>
      </c>
    </row>
    <row r="9">
      <c r="A9" s="4" t="inlineStr">
        <is>
          <t>p02</t>
        </is>
      </c>
      <c r="B9" s="4" t="inlineStr">
        <is>
          <t>H3</t>
        </is>
      </c>
      <c r="C9" s="4" t="inlineStr">
        <is>
          <t>T1566.002 Spearphishing Link</t>
        </is>
      </c>
      <c r="D9" s="4" t="n">
        <v>1</v>
      </c>
      <c r="E9" s="6" t="inlineStr">
        <is>
          <t>NO</t>
        </is>
      </c>
      <c r="F9" s="5">
        <f>IF(COUNTIFS(Afirmaciones!$A$2:$A$401,$A9,Afirmaciones!$B$2:$B$401,"rag")=0,"",IF(SUMPRODUCT((Afirmaciones!$A$2:$A$401=$A9)*(Afirmaciones!$F$2:$F$401="CORRECTA")*(Afirmaciones!$H$2:$H$401&lt;&gt;"no_resp")*ISNUMBER(SEARCH(";"&amp;$B9&amp;";",";"&amp;SUBSTITUTE(Afirmaciones!$G$2:$G$401," ","")&amp;";"))*(Afirmaciones!$B$2:$B$401="rag"))&gt;0,1,0))</f>
        <v/>
      </c>
      <c r="G9" s="5">
        <f>IF(COUNTIFS(Afirmaciones!$A$2:$A$401,$A9,Afirmaciones!$B$2:$B$401,"llm")=0,"",IF(SUMPRODUCT((Afirmaciones!$A$2:$A$401=$A9)*(Afirmaciones!$F$2:$F$401="CORRECTA")*(Afirmaciones!$H$2:$H$401&lt;&gt;"no_resp")*ISNUMBER(SEARCH(";"&amp;$B9&amp;";",";"&amp;SUBSTITUTE(Afirmaciones!$G$2:$G$401," ","")&amp;";"))*(Afirmaciones!$B$2:$B$401="llm"))&gt;0,1,0))</f>
        <v/>
      </c>
      <c r="H9" s="5">
        <f>IF(COUNTIFS(Afirmaciones!$A$2:$A$401,$A9,Afirmaciones!$B$2:$B$401,"rag")=0,"",IF(SUMPRODUCT((Afirmaciones!$A$2:$A$401=$A9)*(Afirmaciones!$F$2:$F$401="CORRECTA")*(Afirmaciones!$H$2:$H$401&lt;&gt;"no_resp")*ISNUMBER(SEARCH(";"&amp;$B9&amp;";",";"&amp;SUBSTITUTE(Afirmaciones!$G$2:$G$401," ","")&amp;";"))*(Afirmaciones!$B$2:$B$401="rag")*(Afirmaciones!$I$2:$I$401="SOSTENIDA"))&gt;0,1,0))</f>
        <v/>
      </c>
    </row>
    <row r="10">
      <c r="A10" s="4" t="inlineStr">
        <is>
          <t>p02</t>
        </is>
      </c>
      <c r="B10" s="4" t="inlineStr">
        <is>
          <t>H4</t>
        </is>
      </c>
      <c r="C10" s="4" t="inlineStr">
        <is>
          <t>T1566.003 Spearphishing via Service</t>
        </is>
      </c>
      <c r="D10" s="4" t="n">
        <v>1</v>
      </c>
      <c r="E10" s="6" t="inlineStr">
        <is>
          <t>NO</t>
        </is>
      </c>
      <c r="F10" s="5">
        <f>IF(COUNTIFS(Afirmaciones!$A$2:$A$401,$A10,Afirmaciones!$B$2:$B$401,"rag")=0,"",IF(SUMPRODUCT((Afirmaciones!$A$2:$A$401=$A10)*(Afirmaciones!$F$2:$F$401="CORRECTA")*(Afirmaciones!$H$2:$H$401&lt;&gt;"no_resp")*ISNUMBER(SEARCH(";"&amp;$B10&amp;";",";"&amp;SUBSTITUTE(Afirmaciones!$G$2:$G$401," ","")&amp;";"))*(Afirmaciones!$B$2:$B$401="rag"))&gt;0,1,0))</f>
        <v/>
      </c>
      <c r="G10" s="5">
        <f>IF(COUNTIFS(Afirmaciones!$A$2:$A$401,$A10,Afirmaciones!$B$2:$B$401,"llm")=0,"",IF(SUMPRODUCT((Afirmaciones!$A$2:$A$401=$A10)*(Afirmaciones!$F$2:$F$401="CORRECTA")*(Afirmaciones!$H$2:$H$401&lt;&gt;"no_resp")*ISNUMBER(SEARCH(";"&amp;$B10&amp;";",";"&amp;SUBSTITUTE(Afirmaciones!$G$2:$G$401," ","")&amp;";"))*(Afirmaciones!$B$2:$B$401="llm"))&gt;0,1,0))</f>
        <v/>
      </c>
      <c r="H10" s="5">
        <f>IF(COUNTIFS(Afirmaciones!$A$2:$A$401,$A10,Afirmaciones!$B$2:$B$401,"rag")=0,"",IF(SUMPRODUCT((Afirmaciones!$A$2:$A$401=$A10)*(Afirmaciones!$F$2:$F$401="CORRECTA")*(Afirmaciones!$H$2:$H$401&lt;&gt;"no_resp")*ISNUMBER(SEARCH(";"&amp;$B10&amp;";",";"&amp;SUBSTITUTE(Afirmaciones!$G$2:$G$401," ","")&amp;";"))*(Afirmaciones!$B$2:$B$401="rag")*(Afirmaciones!$I$2:$I$401="SOSTENIDA"))&gt;0,1,0))</f>
        <v/>
      </c>
    </row>
    <row r="11">
      <c r="A11" s="4" t="inlineStr">
        <is>
          <t>p02</t>
        </is>
      </c>
      <c r="B11" s="4" t="inlineStr">
        <is>
          <t>H5</t>
        </is>
      </c>
      <c r="C11" s="4" t="inlineStr">
        <is>
          <t>T1566.004 Spearphishing Voice</t>
        </is>
      </c>
      <c r="D11" s="4" t="n">
        <v>1</v>
      </c>
      <c r="E11" s="6" t="inlineStr">
        <is>
          <t>NO</t>
        </is>
      </c>
      <c r="F11" s="5">
        <f>IF(COUNTIFS(Afirmaciones!$A$2:$A$401,$A11,Afirmaciones!$B$2:$B$401,"rag")=0,"",IF(SUMPRODUCT((Afirmaciones!$A$2:$A$401=$A11)*(Afirmaciones!$F$2:$F$401="CORRECTA")*(Afirmaciones!$H$2:$H$401&lt;&gt;"no_resp")*ISNUMBER(SEARCH(";"&amp;$B11&amp;";",";"&amp;SUBSTITUTE(Afirmaciones!$G$2:$G$401," ","")&amp;";"))*(Afirmaciones!$B$2:$B$401="rag"))&gt;0,1,0))</f>
        <v/>
      </c>
      <c r="G11" s="5">
        <f>IF(COUNTIFS(Afirmaciones!$A$2:$A$401,$A11,Afirmaciones!$B$2:$B$401,"llm")=0,"",IF(SUMPRODUCT((Afirmaciones!$A$2:$A$401=$A11)*(Afirmaciones!$F$2:$F$401="CORRECTA")*(Afirmaciones!$H$2:$H$401&lt;&gt;"no_resp")*ISNUMBER(SEARCH(";"&amp;$B11&amp;";",";"&amp;SUBSTITUTE(Afirmaciones!$G$2:$G$401," ","")&amp;";"))*(Afirmaciones!$B$2:$B$401="llm"))&gt;0,1,0))</f>
        <v/>
      </c>
      <c r="H11" s="5">
        <f>IF(COUNTIFS(Afirmaciones!$A$2:$A$401,$A11,Afirmaciones!$B$2:$B$401,"rag")=0,"",IF(SUMPRODUCT((Afirmaciones!$A$2:$A$401=$A11)*(Afirmaciones!$F$2:$F$401="CORRECTA")*(Afirmaciones!$H$2:$H$401&lt;&gt;"no_resp")*ISNUMBER(SEARCH(";"&amp;$B11&amp;";",";"&amp;SUBSTITUTE(Afirmaciones!$G$2:$G$401," ","")&amp;";"))*(Afirmaciones!$B$2:$B$401="rag")*(Afirmaciones!$I$2:$I$401="SOSTENIDA"))&gt;0,1,0))</f>
        <v/>
      </c>
    </row>
    <row r="12">
      <c r="A12" s="4" t="inlineStr">
        <is>
          <t>p03</t>
        </is>
      </c>
      <c r="B12" s="4" t="inlineStr">
        <is>
          <t>H1</t>
        </is>
      </c>
      <c r="C12" s="4" t="inlineStr">
        <is>
          <t>Persistencia = el adversario intenta mantener su punto de apoyo</t>
        </is>
      </c>
      <c r="D12" s="4" t="n">
        <v>2</v>
      </c>
      <c r="E12" s="6" t="inlineStr">
        <is>
          <t>SI</t>
        </is>
      </c>
      <c r="F12" s="5">
        <f>IF(COUNTIFS(Afirmaciones!$A$2:$A$401,$A12,Afirmaciones!$B$2:$B$401,"rag")=0,"",IF(SUMPRODUCT((Afirmaciones!$A$2:$A$401=$A12)*(Afirmaciones!$F$2:$F$401="CORRECTA")*(Afirmaciones!$H$2:$H$401&lt;&gt;"no_resp")*ISNUMBER(SEARCH(";"&amp;$B12&amp;";",";"&amp;SUBSTITUTE(Afirmaciones!$G$2:$G$401," ","")&amp;";"))*(Afirmaciones!$B$2:$B$401="rag"))&gt;0,1,0))</f>
        <v/>
      </c>
      <c r="G12" s="5">
        <f>IF(COUNTIFS(Afirmaciones!$A$2:$A$401,$A12,Afirmaciones!$B$2:$B$401,"llm")=0,"",IF(SUMPRODUCT((Afirmaciones!$A$2:$A$401=$A12)*(Afirmaciones!$F$2:$F$401="CORRECTA")*(Afirmaciones!$H$2:$H$401&lt;&gt;"no_resp")*ISNUMBER(SEARCH(";"&amp;$B12&amp;";",";"&amp;SUBSTITUTE(Afirmaciones!$G$2:$G$401," ","")&amp;";"))*(Afirmaciones!$B$2:$B$401="llm"))&gt;0,1,0))</f>
        <v/>
      </c>
      <c r="H12" s="5">
        <f>IF(COUNTIFS(Afirmaciones!$A$2:$A$401,$A12,Afirmaciones!$B$2:$B$401,"rag")=0,"",IF(SUMPRODUCT((Afirmaciones!$A$2:$A$401=$A12)*(Afirmaciones!$F$2:$F$401="CORRECTA")*(Afirmaciones!$H$2:$H$401&lt;&gt;"no_resp")*ISNUMBER(SEARCH(";"&amp;$B12&amp;";",";"&amp;SUBSTITUTE(Afirmaciones!$G$2:$G$401," ","")&amp;";"))*(Afirmaciones!$B$2:$B$401="rag")*(Afirmaciones!$I$2:$I$401="SOSTENIDA"))&gt;0,1,0))</f>
        <v/>
      </c>
    </row>
    <row r="13">
      <c r="A13" s="4" t="inlineStr">
        <is>
          <t>p03</t>
        </is>
      </c>
      <c r="B13" s="4" t="inlineStr">
        <is>
          <t>H2</t>
        </is>
      </c>
      <c r="C13" s="4" t="inlineStr">
        <is>
          <t>Conservar acceso pese a reinicios, cambios de credenciales u otras interrupciones</t>
        </is>
      </c>
      <c r="D13" s="4" t="n">
        <v>1</v>
      </c>
      <c r="E13" s="6" t="inlineStr">
        <is>
          <t>SI</t>
        </is>
      </c>
      <c r="F13" s="5">
        <f>IF(COUNTIFS(Afirmaciones!$A$2:$A$401,$A13,Afirmaciones!$B$2:$B$401,"rag")=0,"",IF(SUMPRODUCT((Afirmaciones!$A$2:$A$401=$A13)*(Afirmaciones!$F$2:$F$401="CORRECTA")*(Afirmaciones!$H$2:$H$401&lt;&gt;"no_resp")*ISNUMBER(SEARCH(";"&amp;$B13&amp;";",";"&amp;SUBSTITUTE(Afirmaciones!$G$2:$G$401," ","")&amp;";"))*(Afirmaciones!$B$2:$B$401="rag"))&gt;0,1,0))</f>
        <v/>
      </c>
      <c r="G13" s="5">
        <f>IF(COUNTIFS(Afirmaciones!$A$2:$A$401,$A13,Afirmaciones!$B$2:$B$401,"llm")=0,"",IF(SUMPRODUCT((Afirmaciones!$A$2:$A$401=$A13)*(Afirmaciones!$F$2:$F$401="CORRECTA")*(Afirmaciones!$H$2:$H$401&lt;&gt;"no_resp")*ISNUMBER(SEARCH(";"&amp;$B13&amp;";",";"&amp;SUBSTITUTE(Afirmaciones!$G$2:$G$401," ","")&amp;";"))*(Afirmaciones!$B$2:$B$401="llm"))&gt;0,1,0))</f>
        <v/>
      </c>
      <c r="H13" s="5">
        <f>IF(COUNTIFS(Afirmaciones!$A$2:$A$401,$A13,Afirmaciones!$B$2:$B$401,"rag")=0,"",IF(SUMPRODUCT((Afirmaciones!$A$2:$A$401=$A13)*(Afirmaciones!$F$2:$F$401="CORRECTA")*(Afirmaciones!$H$2:$H$401&lt;&gt;"no_resp")*ISNUMBER(SEARCH(";"&amp;$B13&amp;";",";"&amp;SUBSTITUTE(Afirmaciones!$G$2:$G$401," ","")&amp;";"))*(Afirmaciones!$B$2:$B$401="rag")*(Afirmaciones!$I$2:$I$401="SOSTENIDA"))&gt;0,1,0))</f>
        <v/>
      </c>
    </row>
    <row r="14">
      <c r="A14" s="4" t="inlineStr">
        <is>
          <t>p04</t>
        </is>
      </c>
      <c r="B14" s="4" t="inlineStr">
        <is>
          <t>H1</t>
        </is>
      </c>
      <c r="C14" s="4" t="inlineStr">
        <is>
          <t>Cobalt Strike: herramienta comercial de acceso remoto / simulación de adversarios</t>
        </is>
      </c>
      <c r="D14" s="4" t="n">
        <v>1</v>
      </c>
      <c r="E14" s="6" t="inlineStr">
        <is>
          <t>SI</t>
        </is>
      </c>
      <c r="F14" s="5">
        <f>IF(COUNTIFS(Afirmaciones!$A$2:$A$401,$A14,Afirmaciones!$B$2:$B$401,"rag")=0,"",IF(SUMPRODUCT((Afirmaciones!$A$2:$A$401=$A14)*(Afirmaciones!$F$2:$F$401="CORRECTA")*(Afirmaciones!$H$2:$H$401&lt;&gt;"no_resp")*ISNUMBER(SEARCH(";"&amp;$B14&amp;";",";"&amp;SUBSTITUTE(Afirmaciones!$G$2:$G$401," ","")&amp;";"))*(Afirmaciones!$B$2:$B$401="rag"))&gt;0,1,0))</f>
        <v/>
      </c>
      <c r="G14" s="5">
        <f>IF(COUNTIFS(Afirmaciones!$A$2:$A$401,$A14,Afirmaciones!$B$2:$B$401,"llm")=0,"",IF(SUMPRODUCT((Afirmaciones!$A$2:$A$401=$A14)*(Afirmaciones!$F$2:$F$401="CORRECTA")*(Afirmaciones!$H$2:$H$401&lt;&gt;"no_resp")*ISNUMBER(SEARCH(";"&amp;$B14&amp;";",";"&amp;SUBSTITUTE(Afirmaciones!$G$2:$G$401," ","")&amp;";"))*(Afirmaciones!$B$2:$B$401="llm"))&gt;0,1,0))</f>
        <v/>
      </c>
      <c r="H14" s="5">
        <f>IF(COUNTIFS(Afirmaciones!$A$2:$A$401,$A14,Afirmaciones!$B$2:$B$401,"rag")=0,"",IF(SUMPRODUCT((Afirmaciones!$A$2:$A$401=$A14)*(Afirmaciones!$F$2:$F$401="CORRECTA")*(Afirmaciones!$H$2:$H$401&lt;&gt;"no_resp")*ISNUMBER(SEARCH(";"&amp;$B14&amp;";",";"&amp;SUBSTITUTE(Afirmaciones!$G$2:$G$401," ","")&amp;";"))*(Afirmaciones!$B$2:$B$401="rag")*(Afirmaciones!$I$2:$I$401="SOSTENIDA"))&gt;0,1,0))</f>
        <v/>
      </c>
    </row>
    <row r="15">
      <c r="A15" s="4" t="inlineStr">
        <is>
          <t>p04</t>
        </is>
      </c>
      <c r="B15" s="4" t="inlineStr">
        <is>
          <t>H2</t>
        </is>
      </c>
      <c r="C15" s="4" t="inlineStr">
        <is>
          <t>Aprovecha capacidades de Metasploit y Mimikatz</t>
        </is>
      </c>
      <c r="D15" s="4" t="n">
        <v>2</v>
      </c>
      <c r="E15" s="6" t="inlineStr">
        <is>
          <t>SI</t>
        </is>
      </c>
      <c r="F15" s="5">
        <f>IF(COUNTIFS(Afirmaciones!$A$2:$A$401,$A15,Afirmaciones!$B$2:$B$401,"rag")=0,"",IF(SUMPRODUCT((Afirmaciones!$A$2:$A$401=$A15)*(Afirmaciones!$F$2:$F$401="CORRECTA")*(Afirmaciones!$H$2:$H$401&lt;&gt;"no_resp")*ISNUMBER(SEARCH(";"&amp;$B15&amp;";",";"&amp;SUBSTITUTE(Afirmaciones!$G$2:$G$401," ","")&amp;";"))*(Afirmaciones!$B$2:$B$401="rag"))&gt;0,1,0))</f>
        <v/>
      </c>
      <c r="G15" s="5">
        <f>IF(COUNTIFS(Afirmaciones!$A$2:$A$401,$A15,Afirmaciones!$B$2:$B$401,"llm")=0,"",IF(SUMPRODUCT((Afirmaciones!$A$2:$A$401=$A15)*(Afirmaciones!$F$2:$F$401="CORRECTA")*(Afirmaciones!$H$2:$H$401&lt;&gt;"no_resp")*ISNUMBER(SEARCH(";"&amp;$B15&amp;";",";"&amp;SUBSTITUTE(Afirmaciones!$G$2:$G$401," ","")&amp;";"))*(Afirmaciones!$B$2:$B$401="llm"))&gt;0,1,0))</f>
        <v/>
      </c>
      <c r="H15" s="5">
        <f>IF(COUNTIFS(Afirmaciones!$A$2:$A$401,$A15,Afirmaciones!$B$2:$B$401,"rag")=0,"",IF(SUMPRODUCT((Afirmaciones!$A$2:$A$401=$A15)*(Afirmaciones!$F$2:$F$401="CORRECTA")*(Afirmaciones!$H$2:$H$401&lt;&gt;"no_resp")*ISNUMBER(SEARCH(";"&amp;$B15&amp;";",";"&amp;SUBSTITUTE(Afirmaciones!$G$2:$G$401," ","")&amp;";"))*(Afirmaciones!$B$2:$B$401="rag")*(Afirmaciones!$I$2:$I$401="SOSTENIDA"))&gt;0,1,0))</f>
        <v/>
      </c>
    </row>
    <row r="16">
      <c r="A16" s="4" t="inlineStr">
        <is>
          <t>p05</t>
        </is>
      </c>
      <c r="B16" s="4" t="inlineStr">
        <is>
          <t>H1</t>
        </is>
      </c>
      <c r="C16" s="4" t="inlineStr">
        <is>
          <t>APT29 usa Mimikatz (G0016 &lt;-&gt; S0002)</t>
        </is>
      </c>
      <c r="D16" s="4" t="n">
        <v>2</v>
      </c>
      <c r="E16" s="6" t="inlineStr">
        <is>
          <t>NO</t>
        </is>
      </c>
      <c r="F16" s="5">
        <f>IF(COUNTIFS(Afirmaciones!$A$2:$A$401,$A16,Afirmaciones!$B$2:$B$401,"rag")=0,"",IF(SUMPRODUCT((Afirmaciones!$A$2:$A$401=$A16)*(Afirmaciones!$F$2:$F$401="CORRECTA")*(Afirmaciones!$H$2:$H$401&lt;&gt;"no_resp")*ISNUMBER(SEARCH(";"&amp;$B16&amp;";",";"&amp;SUBSTITUTE(Afirmaciones!$G$2:$G$401," ","")&amp;";"))*(Afirmaciones!$B$2:$B$401="rag"))&gt;0,1,0))</f>
        <v/>
      </c>
      <c r="G16" s="5">
        <f>IF(COUNTIFS(Afirmaciones!$A$2:$A$401,$A16,Afirmaciones!$B$2:$B$401,"llm")=0,"",IF(SUMPRODUCT((Afirmaciones!$A$2:$A$401=$A16)*(Afirmaciones!$F$2:$F$401="CORRECTA")*(Afirmaciones!$H$2:$H$401&lt;&gt;"no_resp")*ISNUMBER(SEARCH(";"&amp;$B16&amp;";",";"&amp;SUBSTITUTE(Afirmaciones!$G$2:$G$401," ","")&amp;";"))*(Afirmaciones!$B$2:$B$401="llm"))&gt;0,1,0))</f>
        <v/>
      </c>
      <c r="H16" s="5">
        <f>IF(COUNTIFS(Afirmaciones!$A$2:$A$401,$A16,Afirmaciones!$B$2:$B$401,"rag")=0,"",IF(SUMPRODUCT((Afirmaciones!$A$2:$A$401=$A16)*(Afirmaciones!$F$2:$F$401="CORRECTA")*(Afirmaciones!$H$2:$H$401&lt;&gt;"no_resp")*ISNUMBER(SEARCH(";"&amp;$B16&amp;";",";"&amp;SUBSTITUTE(Afirmaciones!$G$2:$G$401," ","")&amp;";"))*(Afirmaciones!$B$2:$B$401="rag")*(Afirmaciones!$I$2:$I$401="SOSTENIDA"))&gt;0,1,0))</f>
        <v/>
      </c>
    </row>
    <row r="17">
      <c r="A17" s="4" t="inlineStr">
        <is>
          <t>p05</t>
        </is>
      </c>
      <c r="B17" s="4" t="inlineStr">
        <is>
          <t>H2</t>
        </is>
      </c>
      <c r="C17" s="4" t="inlineStr">
        <is>
          <t>Mimikatz implementa T1550.003 Pass the Ticket</t>
        </is>
      </c>
      <c r="D17" s="4" t="n">
        <v>2</v>
      </c>
      <c r="E17" s="6" t="inlineStr">
        <is>
          <t>ALT</t>
        </is>
      </c>
      <c r="F17" s="5">
        <f>IF(COUNTIFS(Afirmaciones!$A$2:$A$401,$A17,Afirmaciones!$B$2:$B$401,"rag")=0,"",IF(SUMPRODUCT((Afirmaciones!$A$2:$A$401=$A17)*(Afirmaciones!$F$2:$F$401="CORRECTA")*(Afirmaciones!$H$2:$H$401&lt;&gt;"no_resp")*ISNUMBER(SEARCH(";"&amp;$B17&amp;";",";"&amp;SUBSTITUTE(Afirmaciones!$G$2:$G$401," ","")&amp;";"))*(Afirmaciones!$B$2:$B$401="rag"))&gt;0,1,0))</f>
        <v/>
      </c>
      <c r="G17" s="5">
        <f>IF(COUNTIFS(Afirmaciones!$A$2:$A$401,$A17,Afirmaciones!$B$2:$B$401,"llm")=0,"",IF(SUMPRODUCT((Afirmaciones!$A$2:$A$401=$A17)*(Afirmaciones!$F$2:$F$401="CORRECTA")*(Afirmaciones!$H$2:$H$401&lt;&gt;"no_resp")*ISNUMBER(SEARCH(";"&amp;$B17&amp;";",";"&amp;SUBSTITUTE(Afirmaciones!$G$2:$G$401," ","")&amp;";"))*(Afirmaciones!$B$2:$B$401="llm"))&gt;0,1,0))</f>
        <v/>
      </c>
      <c r="H17" s="5">
        <f>IF(COUNTIFS(Afirmaciones!$A$2:$A$401,$A17,Afirmaciones!$B$2:$B$401,"rag")=0,"",IF(SUMPRODUCT((Afirmaciones!$A$2:$A$401=$A17)*(Afirmaciones!$F$2:$F$401="CORRECTA")*(Afirmaciones!$H$2:$H$401&lt;&gt;"no_resp")*ISNUMBER(SEARCH(";"&amp;$B17&amp;";",";"&amp;SUBSTITUTE(Afirmaciones!$G$2:$G$401," ","")&amp;";"))*(Afirmaciones!$B$2:$B$401="rag")*(Afirmaciones!$I$2:$I$401="SOSTENIDA"))&gt;0,1,0))</f>
        <v/>
      </c>
    </row>
    <row r="18">
      <c r="A18" s="4" t="inlineStr">
        <is>
          <t>p05</t>
        </is>
      </c>
      <c r="B18" s="4" t="inlineStr">
        <is>
          <t>H3</t>
        </is>
      </c>
      <c r="C18" s="4" t="inlineStr">
        <is>
          <t>Mimikatz implementa T1558.001 Golden Ticket</t>
        </is>
      </c>
      <c r="D18" s="4" t="n">
        <v>3</v>
      </c>
      <c r="E18" s="6" t="inlineStr">
        <is>
          <t>ALT</t>
        </is>
      </c>
      <c r="F18" s="5">
        <f>IF(COUNTIFS(Afirmaciones!$A$2:$A$401,$A18,Afirmaciones!$B$2:$B$401,"rag")=0,"",IF(SUMPRODUCT((Afirmaciones!$A$2:$A$401=$A18)*(Afirmaciones!$F$2:$F$401="CORRECTA")*(Afirmaciones!$H$2:$H$401&lt;&gt;"no_resp")*ISNUMBER(SEARCH(";"&amp;$B18&amp;";",";"&amp;SUBSTITUTE(Afirmaciones!$G$2:$G$401," ","")&amp;";"))*(Afirmaciones!$B$2:$B$401="rag"))&gt;0,1,0))</f>
        <v/>
      </c>
      <c r="G18" s="5">
        <f>IF(COUNTIFS(Afirmaciones!$A$2:$A$401,$A18,Afirmaciones!$B$2:$B$401,"llm")=0,"",IF(SUMPRODUCT((Afirmaciones!$A$2:$A$401=$A18)*(Afirmaciones!$F$2:$F$401="CORRECTA")*(Afirmaciones!$H$2:$H$401&lt;&gt;"no_resp")*ISNUMBER(SEARCH(";"&amp;$B18&amp;";",";"&amp;SUBSTITUTE(Afirmaciones!$G$2:$G$401," ","")&amp;";"))*(Afirmaciones!$B$2:$B$401="llm"))&gt;0,1,0))</f>
        <v/>
      </c>
      <c r="H18" s="5">
        <f>IF(COUNTIFS(Afirmaciones!$A$2:$A$401,$A18,Afirmaciones!$B$2:$B$401,"rag")=0,"",IF(SUMPRODUCT((Afirmaciones!$A$2:$A$401=$A18)*(Afirmaciones!$F$2:$F$401="CORRECTA")*(Afirmaciones!$H$2:$H$401&lt;&gt;"no_resp")*ISNUMBER(SEARCH(";"&amp;$B18&amp;";",";"&amp;SUBSTITUTE(Afirmaciones!$G$2:$G$401," ","")&amp;";"))*(Afirmaciones!$B$2:$B$401="rag")*(Afirmaciones!$I$2:$I$401="SOSTENIDA"))&gt;0,1,0))</f>
        <v/>
      </c>
    </row>
    <row r="19">
      <c r="A19" s="4" t="inlineStr">
        <is>
          <t>p05</t>
        </is>
      </c>
      <c r="B19" s="4" t="inlineStr">
        <is>
          <t>H4</t>
        </is>
      </c>
      <c r="C19" s="4" t="inlineStr">
        <is>
          <t>Mimikatz implementa T1558.002 Silver Ticket</t>
        </is>
      </c>
      <c r="D19" s="4" t="n">
        <v>3</v>
      </c>
      <c r="E19" s="6" t="inlineStr">
        <is>
          <t>NO</t>
        </is>
      </c>
      <c r="F19" s="5">
        <f>IF(COUNTIFS(Afirmaciones!$A$2:$A$401,$A19,Afirmaciones!$B$2:$B$401,"rag")=0,"",IF(SUMPRODUCT((Afirmaciones!$A$2:$A$401=$A19)*(Afirmaciones!$F$2:$F$401="CORRECTA")*(Afirmaciones!$H$2:$H$401&lt;&gt;"no_resp")*ISNUMBER(SEARCH(";"&amp;$B19&amp;";",";"&amp;SUBSTITUTE(Afirmaciones!$G$2:$G$401," ","")&amp;";"))*(Afirmaciones!$B$2:$B$401="rag"))&gt;0,1,0))</f>
        <v/>
      </c>
      <c r="G19" s="5">
        <f>IF(COUNTIFS(Afirmaciones!$A$2:$A$401,$A19,Afirmaciones!$B$2:$B$401,"llm")=0,"",IF(SUMPRODUCT((Afirmaciones!$A$2:$A$401=$A19)*(Afirmaciones!$F$2:$F$401="CORRECTA")*(Afirmaciones!$H$2:$H$401&lt;&gt;"no_resp")*ISNUMBER(SEARCH(";"&amp;$B19&amp;";",";"&amp;SUBSTITUTE(Afirmaciones!$G$2:$G$401," ","")&amp;";"))*(Afirmaciones!$B$2:$B$401="llm"))&gt;0,1,0))</f>
        <v/>
      </c>
      <c r="H19" s="5">
        <f>IF(COUNTIFS(Afirmaciones!$A$2:$A$401,$A19,Afirmaciones!$B$2:$B$401,"rag")=0,"",IF(SUMPRODUCT((Afirmaciones!$A$2:$A$401=$A19)*(Afirmaciones!$F$2:$F$401="CORRECTA")*(Afirmaciones!$H$2:$H$401&lt;&gt;"no_resp")*ISNUMBER(SEARCH(";"&amp;$B19&amp;";",";"&amp;SUBSTITUTE(Afirmaciones!$G$2:$G$401," ","")&amp;";"))*(Afirmaciones!$B$2:$B$401="rag")*(Afirmaciones!$I$2:$I$401="SOSTENIDA"))&gt;0,1,0))</f>
        <v/>
      </c>
    </row>
    <row r="20">
      <c r="A20" s="4" t="inlineStr">
        <is>
          <t>p06</t>
        </is>
      </c>
      <c r="B20" s="4" t="inlineStr">
        <is>
          <t>H1</t>
        </is>
      </c>
      <c r="C20" s="4" t="inlineStr">
        <is>
          <t>Lazarus usa T1059.001 PowerShell</t>
        </is>
      </c>
      <c r="D20" s="4" t="n">
        <v>7</v>
      </c>
      <c r="E20" s="6" t="inlineStr">
        <is>
          <t>SI</t>
        </is>
      </c>
      <c r="F20" s="5">
        <f>IF(COUNTIFS(Afirmaciones!$A$2:$A$401,$A20,Afirmaciones!$B$2:$B$401,"rag")=0,"",IF(SUMPRODUCT((Afirmaciones!$A$2:$A$401=$A20)*(Afirmaciones!$F$2:$F$401="CORRECTA")*(Afirmaciones!$H$2:$H$401&lt;&gt;"no_resp")*ISNUMBER(SEARCH(";"&amp;$B20&amp;";",";"&amp;SUBSTITUTE(Afirmaciones!$G$2:$G$401," ","")&amp;";"))*(Afirmaciones!$B$2:$B$401="rag"))&gt;0,1,0))</f>
        <v/>
      </c>
      <c r="G20" s="5">
        <f>IF(COUNTIFS(Afirmaciones!$A$2:$A$401,$A20,Afirmaciones!$B$2:$B$401,"llm")=0,"",IF(SUMPRODUCT((Afirmaciones!$A$2:$A$401=$A20)*(Afirmaciones!$F$2:$F$401="CORRECTA")*(Afirmaciones!$H$2:$H$401&lt;&gt;"no_resp")*ISNUMBER(SEARCH(";"&amp;$B20&amp;";",";"&amp;SUBSTITUTE(Afirmaciones!$G$2:$G$401," ","")&amp;";"))*(Afirmaciones!$B$2:$B$401="llm"))&gt;0,1,0))</f>
        <v/>
      </c>
      <c r="H20" s="5">
        <f>IF(COUNTIFS(Afirmaciones!$A$2:$A$401,$A20,Afirmaciones!$B$2:$B$401,"rag")=0,"",IF(SUMPRODUCT((Afirmaciones!$A$2:$A$401=$A20)*(Afirmaciones!$F$2:$F$401="CORRECTA")*(Afirmaciones!$H$2:$H$401&lt;&gt;"no_resp")*ISNUMBER(SEARCH(";"&amp;$B20&amp;";",";"&amp;SUBSTITUTE(Afirmaciones!$G$2:$G$401," ","")&amp;";"))*(Afirmaciones!$B$2:$B$401="rag")*(Afirmaciones!$I$2:$I$401="SOSTENIDA"))&gt;0,1,0))</f>
        <v/>
      </c>
    </row>
    <row r="21">
      <c r="A21" s="4" t="inlineStr">
        <is>
          <t>p06</t>
        </is>
      </c>
      <c r="B21" s="4" t="inlineStr">
        <is>
          <t>H2</t>
        </is>
      </c>
      <c r="C21" s="4" t="inlineStr">
        <is>
          <t>Lazarus usa T1059.003 Windows Command Shell</t>
        </is>
      </c>
      <c r="D21" s="4" t="n">
        <v>20</v>
      </c>
      <c r="E21" s="6" t="inlineStr">
        <is>
          <t>SI</t>
        </is>
      </c>
      <c r="F21" s="5">
        <f>IF(COUNTIFS(Afirmaciones!$A$2:$A$401,$A21,Afirmaciones!$B$2:$B$401,"rag")=0,"",IF(SUMPRODUCT((Afirmaciones!$A$2:$A$401=$A21)*(Afirmaciones!$F$2:$F$401="CORRECTA")*(Afirmaciones!$H$2:$H$401&lt;&gt;"no_resp")*ISNUMBER(SEARCH(";"&amp;$B21&amp;";",";"&amp;SUBSTITUTE(Afirmaciones!$G$2:$G$401," ","")&amp;";"))*(Afirmaciones!$B$2:$B$401="rag"))&gt;0,1,0))</f>
        <v/>
      </c>
      <c r="G21" s="5">
        <f>IF(COUNTIFS(Afirmaciones!$A$2:$A$401,$A21,Afirmaciones!$B$2:$B$401,"llm")=0,"",IF(SUMPRODUCT((Afirmaciones!$A$2:$A$401=$A21)*(Afirmaciones!$F$2:$F$401="CORRECTA")*(Afirmaciones!$H$2:$H$401&lt;&gt;"no_resp")*ISNUMBER(SEARCH(";"&amp;$B21&amp;";",";"&amp;SUBSTITUTE(Afirmaciones!$G$2:$G$401," ","")&amp;";"))*(Afirmaciones!$B$2:$B$401="llm"))&gt;0,1,0))</f>
        <v/>
      </c>
      <c r="H21" s="5">
        <f>IF(COUNTIFS(Afirmaciones!$A$2:$A$401,$A21,Afirmaciones!$B$2:$B$401,"rag")=0,"",IF(SUMPRODUCT((Afirmaciones!$A$2:$A$401=$A21)*(Afirmaciones!$F$2:$F$401="CORRECTA")*(Afirmaciones!$H$2:$H$401&lt;&gt;"no_resp")*ISNUMBER(SEARCH(";"&amp;$B21&amp;";",";"&amp;SUBSTITUTE(Afirmaciones!$G$2:$G$401," ","")&amp;";"))*(Afirmaciones!$B$2:$B$401="rag")*(Afirmaciones!$I$2:$I$401="SOSTENIDA"))&gt;0,1,0))</f>
        <v/>
      </c>
    </row>
    <row r="22">
      <c r="A22" s="4" t="inlineStr">
        <is>
          <t>p06</t>
        </is>
      </c>
      <c r="B22" s="4" t="inlineStr">
        <is>
          <t>H3</t>
        </is>
      </c>
      <c r="C22" s="4" t="inlineStr">
        <is>
          <t>Lazarus usa T1059.005 Visual Basic</t>
        </is>
      </c>
      <c r="D22" s="4" t="n">
        <v>8</v>
      </c>
      <c r="E22" s="6" t="inlineStr">
        <is>
          <t>SI</t>
        </is>
      </c>
      <c r="F22" s="5">
        <f>IF(COUNTIFS(Afirmaciones!$A$2:$A$401,$A22,Afirmaciones!$B$2:$B$401,"rag")=0,"",IF(SUMPRODUCT((Afirmaciones!$A$2:$A$401=$A22)*(Afirmaciones!$F$2:$F$401="CORRECTA")*(Afirmaciones!$H$2:$H$401&lt;&gt;"no_resp")*ISNUMBER(SEARCH(";"&amp;$B22&amp;";",";"&amp;SUBSTITUTE(Afirmaciones!$G$2:$G$401," ","")&amp;";"))*(Afirmaciones!$B$2:$B$401="rag"))&gt;0,1,0))</f>
        <v/>
      </c>
      <c r="G22" s="5">
        <f>IF(COUNTIFS(Afirmaciones!$A$2:$A$401,$A22,Afirmaciones!$B$2:$B$401,"llm")=0,"",IF(SUMPRODUCT((Afirmaciones!$A$2:$A$401=$A22)*(Afirmaciones!$F$2:$F$401="CORRECTA")*(Afirmaciones!$H$2:$H$401&lt;&gt;"no_resp")*ISNUMBER(SEARCH(";"&amp;$B22&amp;";",";"&amp;SUBSTITUTE(Afirmaciones!$G$2:$G$401," ","")&amp;";"))*(Afirmaciones!$B$2:$B$401="llm"))&gt;0,1,0))</f>
        <v/>
      </c>
      <c r="H22" s="5">
        <f>IF(COUNTIFS(Afirmaciones!$A$2:$A$401,$A22,Afirmaciones!$B$2:$B$401,"rag")=0,"",IF(SUMPRODUCT((Afirmaciones!$A$2:$A$401=$A22)*(Afirmaciones!$F$2:$F$401="CORRECTA")*(Afirmaciones!$H$2:$H$401&lt;&gt;"no_resp")*ISNUMBER(SEARCH(";"&amp;$B22&amp;";",";"&amp;SUBSTITUTE(Afirmaciones!$G$2:$G$401," ","")&amp;";"))*(Afirmaciones!$B$2:$B$401="rag")*(Afirmaciones!$I$2:$I$401="SOSTENIDA"))&gt;0,1,0))</f>
        <v/>
      </c>
    </row>
    <row r="23">
      <c r="A23" s="4" t="inlineStr">
        <is>
          <t>p07</t>
        </is>
      </c>
      <c r="B23" s="4" t="inlineStr">
        <is>
          <t>H1</t>
        </is>
      </c>
      <c r="C23" s="4" t="inlineStr">
        <is>
          <t>Nearest Neighbor Campaign: APT28 password spray contra servicios públicos</t>
        </is>
      </c>
      <c r="D23" s="4" t="n">
        <v>4</v>
      </c>
      <c r="E23" s="6" t="inlineStr">
        <is>
          <t>SI</t>
        </is>
      </c>
      <c r="F23" s="5">
        <f>IF(COUNTIFS(Afirmaciones!$A$2:$A$401,$A23,Afirmaciones!$B$2:$B$401,"rag")=0,"",IF(SUMPRODUCT((Afirmaciones!$A$2:$A$401=$A23)*(Afirmaciones!$F$2:$F$401="CORRECTA")*(Afirmaciones!$H$2:$H$401&lt;&gt;"no_resp")*ISNUMBER(SEARCH(";"&amp;$B23&amp;";",";"&amp;SUBSTITUTE(Afirmaciones!$G$2:$G$401," ","")&amp;";"))*(Afirmaciones!$B$2:$B$401="rag"))&gt;0,1,0))</f>
        <v/>
      </c>
      <c r="G23" s="5">
        <f>IF(COUNTIFS(Afirmaciones!$A$2:$A$401,$A23,Afirmaciones!$B$2:$B$401,"llm")=0,"",IF(SUMPRODUCT((Afirmaciones!$A$2:$A$401=$A23)*(Afirmaciones!$F$2:$F$401="CORRECTA")*(Afirmaciones!$H$2:$H$401&lt;&gt;"no_resp")*ISNUMBER(SEARCH(";"&amp;$B23&amp;";",";"&amp;SUBSTITUTE(Afirmaciones!$G$2:$G$401," ","")&amp;";"))*(Afirmaciones!$B$2:$B$401="llm"))&gt;0,1,0))</f>
        <v/>
      </c>
      <c r="H23" s="5">
        <f>IF(COUNTIFS(Afirmaciones!$A$2:$A$401,$A23,Afirmaciones!$B$2:$B$401,"rag")=0,"",IF(SUMPRODUCT((Afirmaciones!$A$2:$A$401=$A23)*(Afirmaciones!$F$2:$F$401="CORRECTA")*(Afirmaciones!$H$2:$H$401&lt;&gt;"no_resp")*ISNUMBER(SEARCH(";"&amp;$B23&amp;";",";"&amp;SUBSTITUTE(Afirmaciones!$G$2:$G$401," ","")&amp;";"))*(Afirmaciones!$B$2:$B$401="rag")*(Afirmaciones!$I$2:$I$401="SOSTENIDA"))&gt;0,1,0))</f>
        <v/>
      </c>
    </row>
    <row r="24">
      <c r="A24" s="4" t="inlineStr">
        <is>
          <t>p07</t>
        </is>
      </c>
      <c r="B24" s="4" t="inlineStr">
        <is>
          <t>H2</t>
        </is>
      </c>
      <c r="C24" s="4" t="inlineStr">
        <is>
          <t>Herramienta de fuerza bruta: ~4 intentos por hora por cuenta</t>
        </is>
      </c>
      <c r="D24" s="4" t="n">
        <v>1</v>
      </c>
      <c r="E24" s="6" t="inlineStr">
        <is>
          <t>SI</t>
        </is>
      </c>
      <c r="F24" s="5">
        <f>IF(COUNTIFS(Afirmaciones!$A$2:$A$401,$A24,Afirmaciones!$B$2:$B$401,"rag")=0,"",IF(SUMPRODUCT((Afirmaciones!$A$2:$A$401=$A24)*(Afirmaciones!$F$2:$F$401="CORRECTA")*(Afirmaciones!$H$2:$H$401&lt;&gt;"no_resp")*ISNUMBER(SEARCH(";"&amp;$B24&amp;";",";"&amp;SUBSTITUTE(Afirmaciones!$G$2:$G$401," ","")&amp;";"))*(Afirmaciones!$B$2:$B$401="rag"))&gt;0,1,0))</f>
        <v/>
      </c>
      <c r="G24" s="5">
        <f>IF(COUNTIFS(Afirmaciones!$A$2:$A$401,$A24,Afirmaciones!$B$2:$B$401,"llm")=0,"",IF(SUMPRODUCT((Afirmaciones!$A$2:$A$401=$A24)*(Afirmaciones!$F$2:$F$401="CORRECTA")*(Afirmaciones!$H$2:$H$401&lt;&gt;"no_resp")*ISNUMBER(SEARCH(";"&amp;$B24&amp;";",";"&amp;SUBSTITUTE(Afirmaciones!$G$2:$G$401," ","")&amp;";"))*(Afirmaciones!$B$2:$B$401="llm"))&gt;0,1,0))</f>
        <v/>
      </c>
      <c r="H24" s="5">
        <f>IF(COUNTIFS(Afirmaciones!$A$2:$A$401,$A24,Afirmaciones!$B$2:$B$401,"rag")=0,"",IF(SUMPRODUCT((Afirmaciones!$A$2:$A$401=$A24)*(Afirmaciones!$F$2:$F$401="CORRECTA")*(Afirmaciones!$H$2:$H$401&lt;&gt;"no_resp")*ISNUMBER(SEARCH(";"&amp;$B24&amp;";",";"&amp;SUBSTITUTE(Afirmaciones!$G$2:$G$401," ","")&amp;";"))*(Afirmaciones!$B$2:$B$401="rag")*(Afirmaciones!$I$2:$I$401="SOSTENIDA"))&gt;0,1,0))</f>
        <v/>
      </c>
    </row>
    <row r="25">
      <c r="A25" s="4" t="inlineStr">
        <is>
          <t>p07</t>
        </is>
      </c>
      <c r="B25" s="4" t="inlineStr">
        <is>
          <t>H3</t>
        </is>
      </c>
      <c r="C25" s="4" t="inlineStr">
        <is>
          <t>Clúster de Kubernetes para password spray distribuido</t>
        </is>
      </c>
      <c r="D25" s="4" t="n">
        <v>1</v>
      </c>
      <c r="E25" s="6" t="inlineStr">
        <is>
          <t>SI</t>
        </is>
      </c>
      <c r="F25" s="5">
        <f>IF(COUNTIFS(Afirmaciones!$A$2:$A$401,$A25,Afirmaciones!$B$2:$B$401,"rag")=0,"",IF(SUMPRODUCT((Afirmaciones!$A$2:$A$401=$A25)*(Afirmaciones!$F$2:$F$401="CORRECTA")*(Afirmaciones!$H$2:$H$401&lt;&gt;"no_resp")*ISNUMBER(SEARCH(";"&amp;$B25&amp;";",";"&amp;SUBSTITUTE(Afirmaciones!$G$2:$G$401," ","")&amp;";"))*(Afirmaciones!$B$2:$B$401="rag"))&gt;0,1,0))</f>
        <v/>
      </c>
      <c r="G25" s="5">
        <f>IF(COUNTIFS(Afirmaciones!$A$2:$A$401,$A25,Afirmaciones!$B$2:$B$401,"llm")=0,"",IF(SUMPRODUCT((Afirmaciones!$A$2:$A$401=$A25)*(Afirmaciones!$F$2:$F$401="CORRECTA")*(Afirmaciones!$H$2:$H$401&lt;&gt;"no_resp")*ISNUMBER(SEARCH(";"&amp;$B25&amp;";",";"&amp;SUBSTITUTE(Afirmaciones!$G$2:$G$401," ","")&amp;";"))*(Afirmaciones!$B$2:$B$401="llm"))&gt;0,1,0))</f>
        <v/>
      </c>
      <c r="H25" s="5">
        <f>IF(COUNTIFS(Afirmaciones!$A$2:$A$401,$A25,Afirmaciones!$B$2:$B$401,"rag")=0,"",IF(SUMPRODUCT((Afirmaciones!$A$2:$A$401=$A25)*(Afirmaciones!$F$2:$F$401="CORRECTA")*(Afirmaciones!$H$2:$H$401&lt;&gt;"no_resp")*ISNUMBER(SEARCH(";"&amp;$B25&amp;";",";"&amp;SUBSTITUTE(Afirmaciones!$G$2:$G$401," ","")&amp;";"))*(Afirmaciones!$B$2:$B$401="rag")*(Afirmaciones!$I$2:$I$401="SOSTENIDA"))&gt;0,1,0))</f>
        <v/>
      </c>
    </row>
    <row r="26">
      <c r="A26" s="4" t="inlineStr">
        <is>
          <t>p08</t>
        </is>
      </c>
      <c r="B26" s="4" t="inlineStr">
        <is>
          <t>H1</t>
        </is>
      </c>
      <c r="C26" s="4" t="inlineStr">
        <is>
          <t>M1027 Password Policies (NIST)</t>
        </is>
      </c>
      <c r="D26" s="4" t="n">
        <v>1</v>
      </c>
      <c r="E26" s="6" t="inlineStr">
        <is>
          <t>NO</t>
        </is>
      </c>
      <c r="F26" s="5">
        <f>IF(COUNTIFS(Afirmaciones!$A$2:$A$401,$A26,Afirmaciones!$B$2:$B$401,"rag")=0,"",IF(SUMPRODUCT((Afirmaciones!$A$2:$A$401=$A26)*(Afirmaciones!$F$2:$F$401="CORRECTA")*(Afirmaciones!$H$2:$H$401&lt;&gt;"no_resp")*ISNUMBER(SEARCH(";"&amp;$B26&amp;";",";"&amp;SUBSTITUTE(Afirmaciones!$G$2:$G$401," ","")&amp;";"))*(Afirmaciones!$B$2:$B$401="rag"))&gt;0,1,0))</f>
        <v/>
      </c>
      <c r="G26" s="5">
        <f>IF(COUNTIFS(Afirmaciones!$A$2:$A$401,$A26,Afirmaciones!$B$2:$B$401,"llm")=0,"",IF(SUMPRODUCT((Afirmaciones!$A$2:$A$401=$A26)*(Afirmaciones!$F$2:$F$401="CORRECTA")*(Afirmaciones!$H$2:$H$401&lt;&gt;"no_resp")*ISNUMBER(SEARCH(";"&amp;$B26&amp;";",";"&amp;SUBSTITUTE(Afirmaciones!$G$2:$G$401," ","")&amp;";"))*(Afirmaciones!$B$2:$B$401="llm"))&gt;0,1,0))</f>
        <v/>
      </c>
      <c r="H26" s="5">
        <f>IF(COUNTIFS(Afirmaciones!$A$2:$A$401,$A26,Afirmaciones!$B$2:$B$401,"rag")=0,"",IF(SUMPRODUCT((Afirmaciones!$A$2:$A$401=$A26)*(Afirmaciones!$F$2:$F$401="CORRECTA")*(Afirmaciones!$H$2:$H$401&lt;&gt;"no_resp")*ISNUMBER(SEARCH(";"&amp;$B26&amp;";",";"&amp;SUBSTITUTE(Afirmaciones!$G$2:$G$401," ","")&amp;";"))*(Afirmaciones!$B$2:$B$401="rag")*(Afirmaciones!$I$2:$I$401="SOSTENIDA"))&gt;0,1,0))</f>
        <v/>
      </c>
    </row>
    <row r="27">
      <c r="A27" s="4" t="inlineStr">
        <is>
          <t>p08</t>
        </is>
      </c>
      <c r="B27" s="4" t="inlineStr">
        <is>
          <t>H2</t>
        </is>
      </c>
      <c r="C27" s="4" t="inlineStr">
        <is>
          <t>M1032 Multi-factor Authentication</t>
        </is>
      </c>
      <c r="D27" s="4" t="n">
        <v>1</v>
      </c>
      <c r="E27" s="6" t="inlineStr">
        <is>
          <t>NO</t>
        </is>
      </c>
      <c r="F27" s="5">
        <f>IF(COUNTIFS(Afirmaciones!$A$2:$A$401,$A27,Afirmaciones!$B$2:$B$401,"rag")=0,"",IF(SUMPRODUCT((Afirmaciones!$A$2:$A$401=$A27)*(Afirmaciones!$F$2:$F$401="CORRECTA")*(Afirmaciones!$H$2:$H$401&lt;&gt;"no_resp")*ISNUMBER(SEARCH(";"&amp;$B27&amp;";",";"&amp;SUBSTITUTE(Afirmaciones!$G$2:$G$401," ","")&amp;";"))*(Afirmaciones!$B$2:$B$401="rag"))&gt;0,1,0))</f>
        <v/>
      </c>
      <c r="G27" s="5">
        <f>IF(COUNTIFS(Afirmaciones!$A$2:$A$401,$A27,Afirmaciones!$B$2:$B$401,"llm")=0,"",IF(SUMPRODUCT((Afirmaciones!$A$2:$A$401=$A27)*(Afirmaciones!$F$2:$F$401="CORRECTA")*(Afirmaciones!$H$2:$H$401&lt;&gt;"no_resp")*ISNUMBER(SEARCH(";"&amp;$B27&amp;";",";"&amp;SUBSTITUTE(Afirmaciones!$G$2:$G$401," ","")&amp;";"))*(Afirmaciones!$B$2:$B$401="llm"))&gt;0,1,0))</f>
        <v/>
      </c>
      <c r="H27" s="5">
        <f>IF(COUNTIFS(Afirmaciones!$A$2:$A$401,$A27,Afirmaciones!$B$2:$B$401,"rag")=0,"",IF(SUMPRODUCT((Afirmaciones!$A$2:$A$401=$A27)*(Afirmaciones!$F$2:$F$401="CORRECTA")*(Afirmaciones!$H$2:$H$401&lt;&gt;"no_resp")*ISNUMBER(SEARCH(";"&amp;$B27&amp;";",";"&amp;SUBSTITUTE(Afirmaciones!$G$2:$G$401," ","")&amp;";"))*(Afirmaciones!$B$2:$B$401="rag")*(Afirmaciones!$I$2:$I$401="SOSTENIDA"))&gt;0,1,0))</f>
        <v/>
      </c>
    </row>
    <row r="28">
      <c r="A28" s="4" t="inlineStr">
        <is>
          <t>p08</t>
        </is>
      </c>
      <c r="B28" s="4" t="inlineStr">
        <is>
          <t>H3</t>
        </is>
      </c>
      <c r="C28" s="4" t="inlineStr">
        <is>
          <t>M1036 Account Use Policies</t>
        </is>
      </c>
      <c r="D28" s="4" t="n">
        <v>1</v>
      </c>
      <c r="E28" s="6" t="inlineStr">
        <is>
          <t>NO</t>
        </is>
      </c>
      <c r="F28" s="5">
        <f>IF(COUNTIFS(Afirmaciones!$A$2:$A$401,$A28,Afirmaciones!$B$2:$B$401,"rag")=0,"",IF(SUMPRODUCT((Afirmaciones!$A$2:$A$401=$A28)*(Afirmaciones!$F$2:$F$401="CORRECTA")*(Afirmaciones!$H$2:$H$401&lt;&gt;"no_resp")*ISNUMBER(SEARCH(";"&amp;$B28&amp;";",";"&amp;SUBSTITUTE(Afirmaciones!$G$2:$G$401," ","")&amp;";"))*(Afirmaciones!$B$2:$B$401="rag"))&gt;0,1,0))</f>
        <v/>
      </c>
      <c r="G28" s="5">
        <f>IF(COUNTIFS(Afirmaciones!$A$2:$A$401,$A28,Afirmaciones!$B$2:$B$401,"llm")=0,"",IF(SUMPRODUCT((Afirmaciones!$A$2:$A$401=$A28)*(Afirmaciones!$F$2:$F$401="CORRECTA")*(Afirmaciones!$H$2:$H$401&lt;&gt;"no_resp")*ISNUMBER(SEARCH(";"&amp;$B28&amp;";",";"&amp;SUBSTITUTE(Afirmaciones!$G$2:$G$401," ","")&amp;";"))*(Afirmaciones!$B$2:$B$401="llm"))&gt;0,1,0))</f>
        <v/>
      </c>
      <c r="H28" s="5">
        <f>IF(COUNTIFS(Afirmaciones!$A$2:$A$401,$A28,Afirmaciones!$B$2:$B$401,"rag")=0,"",IF(SUMPRODUCT((Afirmaciones!$A$2:$A$401=$A28)*(Afirmaciones!$F$2:$F$401="CORRECTA")*(Afirmaciones!$H$2:$H$401&lt;&gt;"no_resp")*ISNUMBER(SEARCH(";"&amp;$B28&amp;";",";"&amp;SUBSTITUTE(Afirmaciones!$G$2:$G$401," ","")&amp;";"))*(Afirmaciones!$B$2:$B$401="rag")*(Afirmaciones!$I$2:$I$401="SOSTENIDA"))&gt;0,1,0))</f>
        <v/>
      </c>
    </row>
    <row r="29">
      <c r="A29" s="4" t="inlineStr">
        <is>
          <t>p09</t>
        </is>
      </c>
      <c r="B29" s="4" t="inlineStr">
        <is>
          <t>H1</t>
        </is>
      </c>
      <c r="C29" s="4" t="inlineStr">
        <is>
          <t>M1031 Network Intrusion Prevention</t>
        </is>
      </c>
      <c r="D29" s="4" t="n">
        <v>1</v>
      </c>
      <c r="E29" s="6" t="inlineStr">
        <is>
          <t>NO</t>
        </is>
      </c>
      <c r="F29" s="5">
        <f>IF(COUNTIFS(Afirmaciones!$A$2:$A$401,$A29,Afirmaciones!$B$2:$B$401,"rag")=0,"",IF(SUMPRODUCT((Afirmaciones!$A$2:$A$401=$A29)*(Afirmaciones!$F$2:$F$401="CORRECTA")*(Afirmaciones!$H$2:$H$401&lt;&gt;"no_resp")*ISNUMBER(SEARCH(";"&amp;$B29&amp;";",";"&amp;SUBSTITUTE(Afirmaciones!$G$2:$G$401," ","")&amp;";"))*(Afirmaciones!$B$2:$B$401="rag"))&gt;0,1,0))</f>
        <v/>
      </c>
      <c r="G29" s="5">
        <f>IF(COUNTIFS(Afirmaciones!$A$2:$A$401,$A29,Afirmaciones!$B$2:$B$401,"llm")=0,"",IF(SUMPRODUCT((Afirmaciones!$A$2:$A$401=$A29)*(Afirmaciones!$F$2:$F$401="CORRECTA")*(Afirmaciones!$H$2:$H$401&lt;&gt;"no_resp")*ISNUMBER(SEARCH(";"&amp;$B29&amp;";",";"&amp;SUBSTITUTE(Afirmaciones!$G$2:$G$401," ","")&amp;";"))*(Afirmaciones!$B$2:$B$401="llm"))&gt;0,1,0))</f>
        <v/>
      </c>
      <c r="H29" s="5">
        <f>IF(COUNTIFS(Afirmaciones!$A$2:$A$401,$A29,Afirmaciones!$B$2:$B$401,"rag")=0,"",IF(SUMPRODUCT((Afirmaciones!$A$2:$A$401=$A29)*(Afirmaciones!$F$2:$F$401="CORRECTA")*(Afirmaciones!$H$2:$H$401&lt;&gt;"no_resp")*ISNUMBER(SEARCH(";"&amp;$B29&amp;";",";"&amp;SUBSTITUTE(Afirmaciones!$G$2:$G$401," ","")&amp;";"))*(Afirmaciones!$B$2:$B$401="rag")*(Afirmaciones!$I$2:$I$401="SOSTENIDA"))&gt;0,1,0))</f>
        <v/>
      </c>
    </row>
    <row r="30">
      <c r="A30" s="4" t="inlineStr">
        <is>
          <t>p09</t>
        </is>
      </c>
      <c r="B30" s="4" t="inlineStr">
        <is>
          <t>H2</t>
        </is>
      </c>
      <c r="C30" s="4" t="inlineStr">
        <is>
          <t>M1021 Restrict Web-Based Content</t>
        </is>
      </c>
      <c r="D30" s="4" t="n">
        <v>1</v>
      </c>
      <c r="E30" s="6" t="inlineStr">
        <is>
          <t>NO</t>
        </is>
      </c>
      <c r="F30" s="5">
        <f>IF(COUNTIFS(Afirmaciones!$A$2:$A$401,$A30,Afirmaciones!$B$2:$B$401,"rag")=0,"",IF(SUMPRODUCT((Afirmaciones!$A$2:$A$401=$A30)*(Afirmaciones!$F$2:$F$401="CORRECTA")*(Afirmaciones!$H$2:$H$401&lt;&gt;"no_resp")*ISNUMBER(SEARCH(";"&amp;$B30&amp;";",";"&amp;SUBSTITUTE(Afirmaciones!$G$2:$G$401," ","")&amp;";"))*(Afirmaciones!$B$2:$B$401="rag"))&gt;0,1,0))</f>
        <v/>
      </c>
      <c r="G30" s="5">
        <f>IF(COUNTIFS(Afirmaciones!$A$2:$A$401,$A30,Afirmaciones!$B$2:$B$401,"llm")=0,"",IF(SUMPRODUCT((Afirmaciones!$A$2:$A$401=$A30)*(Afirmaciones!$F$2:$F$401="CORRECTA")*(Afirmaciones!$H$2:$H$401&lt;&gt;"no_resp")*ISNUMBER(SEARCH(";"&amp;$B30&amp;";",";"&amp;SUBSTITUTE(Afirmaciones!$G$2:$G$401," ","")&amp;";"))*(Afirmaciones!$B$2:$B$401="llm"))&gt;0,1,0))</f>
        <v/>
      </c>
      <c r="H30" s="5">
        <f>IF(COUNTIFS(Afirmaciones!$A$2:$A$401,$A30,Afirmaciones!$B$2:$B$401,"rag")=0,"",IF(SUMPRODUCT((Afirmaciones!$A$2:$A$401=$A30)*(Afirmaciones!$F$2:$F$401="CORRECTA")*(Afirmaciones!$H$2:$H$401&lt;&gt;"no_resp")*ISNUMBER(SEARCH(";"&amp;$B30&amp;";",";"&amp;SUBSTITUTE(Afirmaciones!$G$2:$G$401," ","")&amp;";"))*(Afirmaciones!$B$2:$B$401="rag")*(Afirmaciones!$I$2:$I$401="SOSTENIDA"))&gt;0,1,0))</f>
        <v/>
      </c>
    </row>
    <row r="31">
      <c r="A31" s="4" t="inlineStr">
        <is>
          <t>p09</t>
        </is>
      </c>
      <c r="B31" s="4" t="inlineStr">
        <is>
          <t>H3</t>
        </is>
      </c>
      <c r="C31" s="4" t="inlineStr">
        <is>
          <t>M1017 User Training</t>
        </is>
      </c>
      <c r="D31" s="4" t="n">
        <v>1</v>
      </c>
      <c r="E31" s="6" t="inlineStr">
        <is>
          <t>NO</t>
        </is>
      </c>
      <c r="F31" s="5">
        <f>IF(COUNTIFS(Afirmaciones!$A$2:$A$401,$A31,Afirmaciones!$B$2:$B$401,"rag")=0,"",IF(SUMPRODUCT((Afirmaciones!$A$2:$A$401=$A31)*(Afirmaciones!$F$2:$F$401="CORRECTA")*(Afirmaciones!$H$2:$H$401&lt;&gt;"no_resp")*ISNUMBER(SEARCH(";"&amp;$B31&amp;";",";"&amp;SUBSTITUTE(Afirmaciones!$G$2:$G$401," ","")&amp;";"))*(Afirmaciones!$B$2:$B$401="rag"))&gt;0,1,0))</f>
        <v/>
      </c>
      <c r="G31" s="5">
        <f>IF(COUNTIFS(Afirmaciones!$A$2:$A$401,$A31,Afirmaciones!$B$2:$B$401,"llm")=0,"",IF(SUMPRODUCT((Afirmaciones!$A$2:$A$401=$A31)*(Afirmaciones!$F$2:$F$401="CORRECTA")*(Afirmaciones!$H$2:$H$401&lt;&gt;"no_resp")*ISNUMBER(SEARCH(";"&amp;$B31&amp;";",";"&amp;SUBSTITUTE(Afirmaciones!$G$2:$G$401," ","")&amp;";"))*(Afirmaciones!$B$2:$B$401="llm"))&gt;0,1,0))</f>
        <v/>
      </c>
      <c r="H31" s="5">
        <f>IF(COUNTIFS(Afirmaciones!$A$2:$A$401,$A31,Afirmaciones!$B$2:$B$401,"rag")=0,"",IF(SUMPRODUCT((Afirmaciones!$A$2:$A$401=$A31)*(Afirmaciones!$F$2:$F$401="CORRECTA")*(Afirmaciones!$H$2:$H$401&lt;&gt;"no_resp")*ISNUMBER(SEARCH(";"&amp;$B31&amp;";",";"&amp;SUBSTITUTE(Afirmaciones!$G$2:$G$401," ","")&amp;";"))*(Afirmaciones!$B$2:$B$401="rag")*(Afirmaciones!$I$2:$I$401="SOSTENIDA"))&gt;0,1,0))</f>
        <v/>
      </c>
    </row>
    <row r="32">
      <c r="A32" s="4" t="inlineStr">
        <is>
          <t>p09</t>
        </is>
      </c>
      <c r="B32" s="4" t="inlineStr">
        <is>
          <t>H4</t>
        </is>
      </c>
      <c r="C32" s="4" t="inlineStr">
        <is>
          <t>M1049 Antivirus/Antimalware</t>
        </is>
      </c>
      <c r="D32" s="4" t="n">
        <v>1</v>
      </c>
      <c r="E32" s="6" t="inlineStr">
        <is>
          <t>NO</t>
        </is>
      </c>
      <c r="F32" s="5">
        <f>IF(COUNTIFS(Afirmaciones!$A$2:$A$401,$A32,Afirmaciones!$B$2:$B$401,"rag")=0,"",IF(SUMPRODUCT((Afirmaciones!$A$2:$A$401=$A32)*(Afirmaciones!$F$2:$F$401="CORRECTA")*(Afirmaciones!$H$2:$H$401&lt;&gt;"no_resp")*ISNUMBER(SEARCH(";"&amp;$B32&amp;";",";"&amp;SUBSTITUTE(Afirmaciones!$G$2:$G$401," ","")&amp;";"))*(Afirmaciones!$B$2:$B$401="rag"))&gt;0,1,0))</f>
        <v/>
      </c>
      <c r="G32" s="5">
        <f>IF(COUNTIFS(Afirmaciones!$A$2:$A$401,$A32,Afirmaciones!$B$2:$B$401,"llm")=0,"",IF(SUMPRODUCT((Afirmaciones!$A$2:$A$401=$A32)*(Afirmaciones!$F$2:$F$401="CORRECTA")*(Afirmaciones!$H$2:$H$401&lt;&gt;"no_resp")*ISNUMBER(SEARCH(";"&amp;$B32&amp;";",";"&amp;SUBSTITUTE(Afirmaciones!$G$2:$G$401," ","")&amp;";"))*(Afirmaciones!$B$2:$B$401="llm"))&gt;0,1,0))</f>
        <v/>
      </c>
      <c r="H32" s="5">
        <f>IF(COUNTIFS(Afirmaciones!$A$2:$A$401,$A32,Afirmaciones!$B$2:$B$401,"rag")=0,"",IF(SUMPRODUCT((Afirmaciones!$A$2:$A$401=$A32)*(Afirmaciones!$F$2:$F$401="CORRECTA")*(Afirmaciones!$H$2:$H$401&lt;&gt;"no_resp")*ISNUMBER(SEARCH(";"&amp;$B32&amp;";",";"&amp;SUBSTITUTE(Afirmaciones!$G$2:$G$401," ","")&amp;";"))*(Afirmaciones!$B$2:$B$401="rag")*(Afirmaciones!$I$2:$I$401="SOSTENIDA"))&gt;0,1,0))</f>
        <v/>
      </c>
    </row>
    <row r="33">
      <c r="A33" s="4" t="inlineStr">
        <is>
          <t>p09</t>
        </is>
      </c>
      <c r="B33" s="4" t="inlineStr">
        <is>
          <t>H5</t>
        </is>
      </c>
      <c r="C33" s="4" t="inlineStr">
        <is>
          <t>M1054 Software Configuration (SPF, DKIM, DMARC)</t>
        </is>
      </c>
      <c r="D33" s="4" t="n">
        <v>2</v>
      </c>
      <c r="E33" s="6" t="inlineStr">
        <is>
          <t>SI</t>
        </is>
      </c>
      <c r="F33" s="5">
        <f>IF(COUNTIFS(Afirmaciones!$A$2:$A$401,$A33,Afirmaciones!$B$2:$B$401,"rag")=0,"",IF(SUMPRODUCT((Afirmaciones!$A$2:$A$401=$A33)*(Afirmaciones!$F$2:$F$401="CORRECTA")*(Afirmaciones!$H$2:$H$401&lt;&gt;"no_resp")*ISNUMBER(SEARCH(";"&amp;$B33&amp;";",";"&amp;SUBSTITUTE(Afirmaciones!$G$2:$G$401," ","")&amp;";"))*(Afirmaciones!$B$2:$B$401="rag"))&gt;0,1,0))</f>
        <v/>
      </c>
      <c r="G33" s="5">
        <f>IF(COUNTIFS(Afirmaciones!$A$2:$A$401,$A33,Afirmaciones!$B$2:$B$401,"llm")=0,"",IF(SUMPRODUCT((Afirmaciones!$A$2:$A$401=$A33)*(Afirmaciones!$F$2:$F$401="CORRECTA")*(Afirmaciones!$H$2:$H$401&lt;&gt;"no_resp")*ISNUMBER(SEARCH(";"&amp;$B33&amp;";",";"&amp;SUBSTITUTE(Afirmaciones!$G$2:$G$401," ","")&amp;";"))*(Afirmaciones!$B$2:$B$401="llm"))&gt;0,1,0))</f>
        <v/>
      </c>
      <c r="H33" s="5">
        <f>IF(COUNTIFS(Afirmaciones!$A$2:$A$401,$A33,Afirmaciones!$B$2:$B$401,"rag")=0,"",IF(SUMPRODUCT((Afirmaciones!$A$2:$A$401=$A33)*(Afirmaciones!$F$2:$F$401="CORRECTA")*(Afirmaciones!$H$2:$H$401&lt;&gt;"no_resp")*ISNUMBER(SEARCH(";"&amp;$B33&amp;";",";"&amp;SUBSTITUTE(Afirmaciones!$G$2:$G$401," ","")&amp;";"))*(Afirmaciones!$B$2:$B$401="rag")*(Afirmaciones!$I$2:$I$401="SOSTENIDA"))&gt;0,1,0))</f>
        <v/>
      </c>
    </row>
    <row r="34">
      <c r="A34" s="4" t="inlineStr">
        <is>
          <t>p09</t>
        </is>
      </c>
      <c r="B34" s="4" t="inlineStr">
        <is>
          <t>H6</t>
        </is>
      </c>
      <c r="C34" s="4" t="inlineStr">
        <is>
          <t>M1047 Audit</t>
        </is>
      </c>
      <c r="D34" s="4" t="n">
        <v>1</v>
      </c>
      <c r="E34" s="6" t="inlineStr">
        <is>
          <t>SI</t>
        </is>
      </c>
      <c r="F34" s="5">
        <f>IF(COUNTIFS(Afirmaciones!$A$2:$A$401,$A34,Afirmaciones!$B$2:$B$401,"rag")=0,"",IF(SUMPRODUCT((Afirmaciones!$A$2:$A$401=$A34)*(Afirmaciones!$F$2:$F$401="CORRECTA")*(Afirmaciones!$H$2:$H$401&lt;&gt;"no_resp")*ISNUMBER(SEARCH(";"&amp;$B34&amp;";",";"&amp;SUBSTITUTE(Afirmaciones!$G$2:$G$401," ","")&amp;";"))*(Afirmaciones!$B$2:$B$401="rag"))&gt;0,1,0))</f>
        <v/>
      </c>
      <c r="G34" s="5">
        <f>IF(COUNTIFS(Afirmaciones!$A$2:$A$401,$A34,Afirmaciones!$B$2:$B$401,"llm")=0,"",IF(SUMPRODUCT((Afirmaciones!$A$2:$A$401=$A34)*(Afirmaciones!$F$2:$F$401="CORRECTA")*(Afirmaciones!$H$2:$H$401&lt;&gt;"no_resp")*ISNUMBER(SEARCH(";"&amp;$B34&amp;";",";"&amp;SUBSTITUTE(Afirmaciones!$G$2:$G$401," ","")&amp;";"))*(Afirmaciones!$B$2:$B$401="llm"))&gt;0,1,0))</f>
        <v/>
      </c>
      <c r="H34" s="5">
        <f>IF(COUNTIFS(Afirmaciones!$A$2:$A$401,$A34,Afirmaciones!$B$2:$B$401,"rag")=0,"",IF(SUMPRODUCT((Afirmaciones!$A$2:$A$401=$A34)*(Afirmaciones!$F$2:$F$401="CORRECTA")*(Afirmaciones!$H$2:$H$401&lt;&gt;"no_resp")*ISNUMBER(SEARCH(";"&amp;$B34&amp;";",";"&amp;SUBSTITUTE(Afirmaciones!$G$2:$G$401," ","")&amp;";"))*(Afirmaciones!$B$2:$B$401="rag")*(Afirmaciones!$I$2:$I$401="SOSTENIDA"))&gt;0,1,0))</f>
        <v/>
      </c>
    </row>
  </sheetData>
  <sheetProtection selectLockedCells="0" selectUnlockedCells="0" sheet="1" objects="0" insertRows="1" insertHyperlinks="1" autoFilter="0" scenarios="0" formatColumns="0" deleteColumns="1" insertColumns="1" pivotTables="1" deleteRows="1" formatCells="1" formatRows="0" sort="0"/>
  <dataValidations count="1">
    <dataValidation sqref="E2:E201" showDropDown="0" showInputMessage="0" showErrorMessage="0" allowBlank="1" type="list">
      <formula1>"SI,ALT,ALT-P,NO"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6"/>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38" customWidth="1" min="3" max="3"/>
    <col width="11" customWidth="1" min="4" max="4"/>
    <col width="8" customWidth="1" min="5" max="5"/>
    <col width="8" customWidth="1" min="6" max="6"/>
    <col width="110" customWidth="1" min="7" max="7"/>
  </cols>
  <sheetData>
    <row r="1" ht="34" customHeight="1">
      <c r="A1" s="3" t="inlineStr">
        <is>
          <t>qid</t>
        </is>
      </c>
      <c r="B1" s="3" t="inlineStr">
        <is>
          <t>rank</t>
        </is>
      </c>
      <c r="C1" s="3" t="inlineStr">
        <is>
          <t>point_id</t>
        </is>
      </c>
      <c r="D1" s="3" t="inlineStr">
        <is>
          <t>attack_id</t>
        </is>
      </c>
      <c r="E1" s="3" t="inlineStr">
        <is>
          <t>chunk</t>
        </is>
      </c>
      <c r="F1" s="3" t="inlineStr">
        <is>
          <t>score</t>
        </is>
      </c>
      <c r="G1" s="3" t="inlineStr">
        <is>
          <t>texto del fragmento</t>
        </is>
      </c>
    </row>
    <row r="2" ht="120" customHeight="1">
      <c r="A2" s="2" t="inlineStr">
        <is>
          <t>p01</t>
        </is>
      </c>
      <c r="B2" s="2" t="n">
        <v>1</v>
      </c>
      <c r="C2" s="2" t="inlineStr">
        <is>
          <t>0a79d1de-5953-5bf1-91d8-c87bbbf93bc8</t>
        </is>
      </c>
      <c r="D2" s="2" t="inlineStr">
        <is>
          <t>T1059.001</t>
        </is>
      </c>
      <c r="E2" s="2" t="inlineStr">
        <is>
          <t>0/11</t>
        </is>
      </c>
      <c r="F2" s="2" t="n">
        <v>1</v>
      </c>
      <c r="G2" s="2" t="inlineStr">
        <is>
          <t># T1059.001 - PowerShell
Type: sub-technique | Domain: enterprise-attack | ATT&amp;CK version: 19.2
Tactics: execution
Platforms: Windows
Sub-technique of: T1059 Command and Scripting Interpreter
## Description
Adversaries may abuse PowerShell commands and scripts for execution. PowerShell is a powerful interactive command-line interface and scripting environment included in the Windows operating system.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t>
        </is>
      </c>
    </row>
    <row r="3" ht="120" customHeight="1">
      <c r="A3" s="2" t="inlineStr">
        <is>
          <t>p01</t>
        </is>
      </c>
      <c r="B3" s="2" t="n">
        <v>2</v>
      </c>
      <c r="C3" s="2" t="inlineStr">
        <is>
          <t>4890209d-7610-5835-817d-6f8eb92c4ff3</t>
        </is>
      </c>
      <c r="D3" s="2" t="inlineStr">
        <is>
          <t>S1193</t>
        </is>
      </c>
      <c r="E3" s="2" t="inlineStr">
        <is>
          <t>0/1</t>
        </is>
      </c>
      <c r="F3" s="2" t="n">
        <v>0.3922</v>
      </c>
      <c r="G3" s="2" t="inlineStr">
        <is>
          <t># S1193 - TAMECAT
Type: software | Domain: enterprise-attack | ATT&amp;CK version: 19.2
Software type: malware | Aliases: TAMECAT | Platforms: Windows
## Description
[TAMECAT](https://attack.mitre.org/software/S1193) is a malware that is used by [APT42](https://attack.mitre.org/groups/G1044) to execute PowerShell or C# content.
## Techniques used
- T1047 Windows Management Instrumentation
- T1059.001 PowerShell
- T1059.003 Windows Command Shell
- T1059.005 Visual Basic
- T1071.001 Web Protocols
- T1105 Ingress Tool Transfer
- T1132.001 Standard Encoding
- T1518.001 Security Software Discovery
- T1573.001 Symmetric Cryptography
## Used by
- G1044 APT42</t>
        </is>
      </c>
    </row>
    <row r="4" ht="120" customHeight="1">
      <c r="A4" s="2" t="inlineStr">
        <is>
          <t>p01</t>
        </is>
      </c>
      <c r="B4" s="2" t="n">
        <v>3</v>
      </c>
      <c r="C4" s="2" t="inlineStr">
        <is>
          <t>a2e64c2d-7e66-5e5a-86df-0543d7957b56</t>
        </is>
      </c>
      <c r="D4" s="2" t="inlineStr">
        <is>
          <t>G0099</t>
        </is>
      </c>
      <c r="E4" s="2" t="inlineStr">
        <is>
          <t>1/3</t>
        </is>
      </c>
      <c r="F4" s="2" t="n">
        <v>0.3333</v>
      </c>
      <c r="G4" s="2" t="inlineStr">
        <is>
          <t># G0099 - APT-C-36
institutions and entities in the financial, energy, and professional manufacturing sectors across Colombia and other Latin American countries.
## Techniques used
- T1027 Obfuscated Files or Information
- T1027.003 Steganography
- T1027.013 Encrypted/Encoded File
- T1027.016 Junk Code Insertion
- T1036.004 Masquerade Task or Service
- T1036.005 Match Legitimate Resource Name or Location
- T1047 Windows Management Instrumentation
- T1053.005 Scheduled Task
- T1055.012 Process Hollowing
- T1059.001 PowerShell
- T1059.005 Visual Basic
- T1059.007 JavaScript
- T1105 Ingress Tool Transfer
- T1133 External Remote Services
- T1204.001 Malicious Link
- T1204.002 Malicious File
- T1480 Execution Guardrails
- T1534 Internal Spearphishing
- T1564.003 Hidden Window
- T1566.001 Spearphishing Attachment
- T1566.002 Spearphishing Link
- T1568 Dynamic Resolution
- T1571 Non-Standard Port
- T1574.001 DLL
- T1583.001 Domains
- T1583.003 Virtual Private Server
- T1583.006 Web Services
- T1584.005 Botnet
- T1586.002 Email Accounts
- T1586.003 Cloud Accounts
- T1587.001 Malware
- T1588.001 Malware
- T1588.002 Tool
- T1593 Search Open Websites/Domains
- T1608.001 Upload Malware
- T1683.001 Written Content
- T1683.002 Audio-Visual Content
- T1684.001 Impersonation</t>
        </is>
      </c>
    </row>
    <row r="5" ht="120" customHeight="1">
      <c r="A5" s="2" t="inlineStr">
        <is>
          <t>p01</t>
        </is>
      </c>
      <c r="B5" s="2" t="n">
        <v>4</v>
      </c>
      <c r="C5" s="2" t="inlineStr">
        <is>
          <t>12155368-afb0-5e72-bdbd-189ee840f96e</t>
        </is>
      </c>
      <c r="D5" s="2" t="inlineStr">
        <is>
          <t>T1059</t>
        </is>
      </c>
      <c r="E5" s="2" t="inlineStr">
        <is>
          <t>5/10</t>
        </is>
      </c>
      <c r="F5" s="2" t="n">
        <v>0.2556</v>
      </c>
      <c r="G5" s="2" t="inlineStr">
        <is>
          <t># T1059 - Command and Scripting Interpreter
interpreter installations.
- M1042 Disable or Remove Feature or Program: Disable or remove any unnecessary or unused shells or interpreters.
## Sub-techniques
- T1059.007 JavaScript
- T1059.002 AppleScript
- T1059.010 AutoHotKey &amp; AutoIT
- T1059.009 Cloud API
- T1059.008 Network Device CLI
- T1059.001 PowerShell
- T1059.004 Unix Shell
- T1059.011 Lua
- T1059.013 Container CLI/API
- T1059.005 Visual Basic
- T1059.003 Windows Command Shell
- T1059.012 Hypervisor CLI
- T1059.006 Python
## Procedure examples
- C0005 Operation Spalax (campaign): For [Operation Spalax](https://attack.mitre.org/campaigns/C0005), the threat actors used Nullsoft Scriptable Install System (NSIS) scripts to install malware.
- C0029 Cutting Edge (campaign): During [Cutting Edge](https://attack.mitre.org/campaigns/C0029), threat actors used Perl scripts to enable the deployment of the THINSPOOL shell script dropper and for enumerating host data.
- C0046 ArcaneDoor (campaign): [ArcaneDoor](https://attack.mitre.org/campaigns/C0046) included the adversary executing command line interface (CLI) commands.</t>
        </is>
      </c>
    </row>
    <row r="6" ht="120" customHeight="1">
      <c r="A6" s="2" t="inlineStr">
        <is>
          <t>p01</t>
        </is>
      </c>
      <c r="B6" s="2" t="n">
        <v>5</v>
      </c>
      <c r="C6" s="2" t="inlineStr">
        <is>
          <t>3176af7f-1b20-500d-8754-9e2746f08472</t>
        </is>
      </c>
      <c r="D6" s="2" t="inlineStr">
        <is>
          <t>S0393</t>
        </is>
      </c>
      <c r="E6" s="2" t="inlineStr">
        <is>
          <t>0/1</t>
        </is>
      </c>
      <c r="F6" s="2" t="n">
        <v>0.25</v>
      </c>
      <c r="G6" s="2" t="inlineStr">
        <is>
          <t># S0393 - PowerStallion
Type: software | Domain: enterprise-attack | ATT&amp;CK version: 19.2
Software type: malware | Aliases: PowerStallion | Platforms: Windows
## Description
[PowerStallion](https://attack.mitre.org/software/S0393) is a lightweight [PowerShell](https://attack.mitre.org/techniques/T1059/001) backdoor used by [Turla](https://attack.mitre.org/groups/G0010), possibly as a recovery access tool to install other backdoors.
## Techniques used
- T1027 Obfuscated Files or Information
- T1057 Process Discovery
- T1059.001 PowerShell
- T1070.006 Timestomp
- T1102.002 Bidirectional Communication
## Used by
- G0010 Turla</t>
        </is>
      </c>
    </row>
    <row r="7" ht="120" customHeight="1">
      <c r="A7" s="2" t="inlineStr">
        <is>
          <t>p02</t>
        </is>
      </c>
      <c r="B7" s="2" t="n">
        <v>1</v>
      </c>
      <c r="C7" s="2" t="inlineStr">
        <is>
          <t>b2a9cfd5-44fa-5197-8cfd-a36ce303763f</t>
        </is>
      </c>
      <c r="D7" s="2" t="inlineStr">
        <is>
          <t>T1586</t>
        </is>
      </c>
      <c r="E7" s="2" t="inlineStr">
        <is>
          <t>2/3</t>
        </is>
      </c>
      <c r="F7" s="2" t="n">
        <v>0.5</v>
      </c>
      <c r="G7" s="2" t="inlineStr">
        <is>
          <t># T1586 - Compromise Accounts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 Mitigations
- M1056 Pre-compromise: This technique cannot be easily mitigated with preventive controls since it is based on behaviors performed outside of the scope of enterprise defenses and controls.
## Sub-techniques
- T1586.001 Social Media Accounts
- T1586.003 Cloud Accounts
- T1586.002 Email Accounts</t>
        </is>
      </c>
    </row>
    <row r="8" ht="120" customHeight="1">
      <c r="A8" s="2" t="inlineStr">
        <is>
          <t>p02</t>
        </is>
      </c>
      <c r="B8" s="2" t="n">
        <v>2</v>
      </c>
      <c r="C8" s="2" t="inlineStr">
        <is>
          <t>af42649d-952f-5dfb-afab-8c8e51a00019</t>
        </is>
      </c>
      <c r="D8" s="2" t="inlineStr">
        <is>
          <t>T1566</t>
        </is>
      </c>
      <c r="E8" s="2" t="inlineStr">
        <is>
          <t>0/8</t>
        </is>
      </c>
      <c r="F8" s="2" t="n">
        <v>0.5</v>
      </c>
      <c r="G8" s="2" t="inlineStr">
        <is>
          <t># T1566 - Phishing
Type: technique | Domain: enterprise-attack | ATT&amp;CK version: 19.2
Tactics: initial-access
Platforms: Identity Provider, Linux, macOS, Office Suite, SaaS, Windows
## Description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t>
        </is>
      </c>
    </row>
    <row r="9" ht="120" customHeight="1">
      <c r="A9" s="2" t="inlineStr">
        <is>
          <t>p02</t>
        </is>
      </c>
      <c r="B9" s="2" t="n">
        <v>3</v>
      </c>
      <c r="C9" s="2" t="inlineStr">
        <is>
          <t>7d5a91ab-56d5-5ca2-b89b-c33ea61c6f5c</t>
        </is>
      </c>
      <c r="D9" s="2" t="inlineStr">
        <is>
          <t>T1566.004</t>
        </is>
      </c>
      <c r="E9" s="2" t="inlineStr">
        <is>
          <t>0/4</t>
        </is>
      </c>
      <c r="F9" s="2" t="n">
        <v>0.3611</v>
      </c>
      <c r="G9" s="2" t="inlineStr">
        <is>
          <t># T1566.004 - Spearphishing Voice
Type: sub-technique | Domain: enterprise-attack | ATT&amp;CK version: 19.2
Tactics: initial-access
Platforms: Linux, macOS, Windows, Identity Provider
Sub-technique of: T1566 Phishing
## Description
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[Impersonation](https://attack.mitre.org/techniques/T1684/001)) and/or creating a sense of urgency or alarm for the recipient.</t>
        </is>
      </c>
    </row>
    <row r="10" ht="120" customHeight="1">
      <c r="A10" s="2" t="inlineStr">
        <is>
          <t>p02</t>
        </is>
      </c>
      <c r="B10" s="2" t="n">
        <v>4</v>
      </c>
      <c r="C10" s="2" t="inlineStr">
        <is>
          <t>ff4c0835-7fe5-59cd-a94d-d82a9c87c07c</t>
        </is>
      </c>
      <c r="D10" s="2" t="inlineStr">
        <is>
          <t>TA0001</t>
        </is>
      </c>
      <c r="E10" s="2" t="inlineStr">
        <is>
          <t>0/1</t>
        </is>
      </c>
      <c r="F10" s="2" t="n">
        <v>0.3333</v>
      </c>
      <c r="G10" s="2" t="inlineStr">
        <is>
          <t># TA0001 - Initial Access
Type: tactic | Domain: enterprise-attack | ATT&amp;CK version: 19.2
Shortname: initial-access
## Description
The adversary is trying to get into your network.
Initial Access consists of techniques that use various entry vectors to gain their initial foothold within a network. Techniques used to gain a foothold include targeted spearphishing and exploiting weaknesses on public-facing web servers. Footholds gained through initial access may allow for continued access, like valid accounts and use of external remote services, or may be limited-use due to changing passwords.
## Techniques in this tactic
- T1078 Valid Accounts
- T1091 Replication Through Removable Media
- T1133 External Remote Services
- T1189 Drive-by Compromise
- T1190 Exploit Public-Facing Application
- T1195 Supply Chain Compromise
- T1199 Trusted Relationship
- T1200 Hardware Additions
- T1566 Phishing
- T1659 Content Injection
- T1669 Wi-Fi Networks</t>
        </is>
      </c>
    </row>
    <row r="11" ht="120" customHeight="1">
      <c r="A11" s="2" t="inlineStr">
        <is>
          <t>p02</t>
        </is>
      </c>
      <c r="B11" s="2" t="n">
        <v>5</v>
      </c>
      <c r="C11" s="2" t="inlineStr">
        <is>
          <t>f4d8f7cf-221f-59d8-8020-429a851befef</t>
        </is>
      </c>
      <c r="D11" s="2" t="inlineStr">
        <is>
          <t>T1598</t>
        </is>
      </c>
      <c r="E11" s="2" t="inlineStr">
        <is>
          <t>0/6</t>
        </is>
      </c>
      <c r="F11" s="2" t="n">
        <v>0.3333</v>
      </c>
      <c r="G11" s="2" t="inlineStr">
        <is>
          <t># T1598 - Phishing for Information
Type: technique | Domain: enterprise-attack | ATT&amp;CK version: 19.2
Tactics: reconnaissance
Platforms: PRE
## Description
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t>
        </is>
      </c>
    </row>
    <row r="12" ht="120" customHeight="1">
      <c r="A12" s="2" t="inlineStr">
        <is>
          <t>p03</t>
        </is>
      </c>
      <c r="B12" s="2" t="n">
        <v>1</v>
      </c>
      <c r="C12" s="2" t="inlineStr">
        <is>
          <t>259ce106-5bf5-5095-9060-49c5e3501b01</t>
        </is>
      </c>
      <c r="D12" s="2" t="inlineStr">
        <is>
          <t>TA0003</t>
        </is>
      </c>
      <c r="E12" s="2" t="inlineStr">
        <is>
          <t>0/2</t>
        </is>
      </c>
      <c r="F12" s="2" t="n">
        <v>1</v>
      </c>
      <c r="G12" s="2" t="inlineStr">
        <is>
          <t># TA0003 - Persistence
Type: tactic | Domain: enterprise-attack | ATT&amp;CK version: 19.2
Shortname: persistence
## Description
The adversary is trying to maintain their foothold.
Persistence consists of techniques that adversaries use to keep access to systems across restarts, changed credentials, and other interruptions that could cut off their access. Techniques used for persistence include any access, action, or configuration changes that let them maintain their foothold on systems, such as replacing or hijacking legitimate code or adding startup code.</t>
        </is>
      </c>
    </row>
    <row r="13" ht="120" customHeight="1">
      <c r="A13" s="2" t="inlineStr">
        <is>
          <t>p03</t>
        </is>
      </c>
      <c r="B13" s="2" t="n">
        <v>2</v>
      </c>
      <c r="C13" s="2" t="inlineStr">
        <is>
          <t>e10a631d-09ba-51f0-875b-5eb8736daa53</t>
        </is>
      </c>
      <c r="D13" s="2" t="inlineStr">
        <is>
          <t>T1070.010</t>
        </is>
      </c>
      <c r="E13" s="2" t="inlineStr">
        <is>
          <t>0/4</t>
        </is>
      </c>
      <c r="F13" s="2" t="n">
        <v>0.3333</v>
      </c>
      <c r="G13" s="2" t="inlineStr">
        <is>
          <t># T1070.010 - Relocate Malware
Type: sub-technique | Domain: enterprise-attack | ATT&amp;CK version: 19.2
Tactics: stealth
Platforms: Linux, macOS, Network Devices, Windows
Sub-technique of: T1070 Indicator Removal
## Description
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 Payloads may also be repositioned to target [File/Path Exclusions](https://attack.mitre.org/techniques/T1564/012) as well as specific locations associated with establishing [Persistence](https://attack.mitre.org/tactics/TA0003).</t>
        </is>
      </c>
    </row>
    <row r="14" ht="120" customHeight="1">
      <c r="A14" s="2" t="inlineStr">
        <is>
          <t>p03</t>
        </is>
      </c>
      <c r="B14" s="2" t="n">
        <v>3</v>
      </c>
      <c r="C14" s="2" t="inlineStr">
        <is>
          <t>b0eccfc2-c562-56d9-a9c2-b5fb87c09c21</t>
        </is>
      </c>
      <c r="D14" s="2" t="inlineStr">
        <is>
          <t>T1668</t>
        </is>
      </c>
      <c r="E14" s="2" t="inlineStr">
        <is>
          <t>0/3</t>
        </is>
      </c>
      <c r="F14" s="2" t="n">
        <v>0.3333</v>
      </c>
      <c r="G14" s="2" t="inlineStr">
        <is>
          <t># T1668 - Exclusive Control
Type: technique | Domain: enterprise-attack | ATT&amp;CK version: 19.2
Tactics: persistence
Platforms: Linux, macOS, Windows
## Description
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 to prevent other threat actors from leveraging that vulnerability in the future. They may “close the door” in other ways, such as disabling vulnerable services, stripping privileges from accounts, or removing other malware already on the compromised device.</t>
        </is>
      </c>
    </row>
    <row r="15" ht="120" customHeight="1">
      <c r="A15" s="2" t="inlineStr">
        <is>
          <t>p03</t>
        </is>
      </c>
      <c r="B15" s="2" t="n">
        <v>4</v>
      </c>
      <c r="C15" s="2" t="inlineStr">
        <is>
          <t>5eecfeb4-7ff3-5476-a857-a696b2cfa777</t>
        </is>
      </c>
      <c r="D15" s="2" t="inlineStr">
        <is>
          <t>T1596.003</t>
        </is>
      </c>
      <c r="E15" s="2" t="inlineStr">
        <is>
          <t>0/3</t>
        </is>
      </c>
      <c r="F15" s="2" t="n">
        <v>0.25</v>
      </c>
      <c r="G15" s="2" t="inlineStr">
        <is>
          <t># T1596.003 - Digital Certificates
Type: sub-technique | Domain: enterprise-attack | ATT&amp;CK version: 19.2
Tactics: reconnaissance
Platforms: PRE
Sub-technique of: T1596 Search Open Technical Databases
## Description
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t>
        </is>
      </c>
    </row>
    <row r="16" ht="120" customHeight="1">
      <c r="A16" s="2" t="inlineStr">
        <is>
          <t>p03</t>
        </is>
      </c>
      <c r="B16" s="2" t="n">
        <v>5</v>
      </c>
      <c r="C16" s="2" t="inlineStr">
        <is>
          <t>d594b40b-00a7-5682-b595-8e660593de1f</t>
        </is>
      </c>
      <c r="D16" s="2" t="inlineStr">
        <is>
          <t>T1547.007</t>
        </is>
      </c>
      <c r="E16" s="2" t="inlineStr">
        <is>
          <t>0/2</t>
        </is>
      </c>
      <c r="F16" s="2" t="n">
        <v>0.25</v>
      </c>
      <c r="G16" s="2" t="inlineStr">
        <is>
          <t># T1547.007 - Re-opened Applications
Type: sub-technique | Domain: enterprise-attack | ATT&amp;CK version: 19.2
Tactics: persistence, privilege-escalation
Platforms: macOS
Sub-technique of: T1547 Boot or Logon Autostart Execution
## Description
Adversaries may modify plist files to automatically run an application when a user logs in. When a user logs out or restarts via the macOS Graphical User Interface (GUI), a prompt is provided to the user with a checkbox to "Reopen windows when logging back in". When selected, all applications currently open are added to a property list file named &lt;code&gt;com.apple.loginwindow.[UUID].plist&lt;/code&gt; within the &lt;code&gt;~/Library/Preferences/ByHost&lt;/code&gt; directory.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is>
      </c>
    </row>
    <row r="17" ht="120" customHeight="1">
      <c r="A17" s="2" t="inlineStr">
        <is>
          <t>p04</t>
        </is>
      </c>
      <c r="B17" s="2" t="n">
        <v>1</v>
      </c>
      <c r="C17" s="2" t="inlineStr">
        <is>
          <t>71c1c43a-b0b2-569d-8a65-7d55faff7ef8</t>
        </is>
      </c>
      <c r="D17" s="2" t="inlineStr">
        <is>
          <t>S0154</t>
        </is>
      </c>
      <c r="E17" s="2" t="inlineStr">
        <is>
          <t>0/4</t>
        </is>
      </c>
      <c r="F17" s="2" t="n">
        <v>1</v>
      </c>
      <c r="G17" s="2" t="inlineStr">
        <is>
          <t># S0154 - Cobalt Strike
Type: software | Domain: enterprise-attack | ATT&amp;CK version: 19.2
Software type: malware | Aliases: Cobalt Strike | Platforms: Linux, macOS, Windows
## Description
[Cobalt Strike](https://attack.mitre.org/software/S0154) is a commercial, full-featured, remote access tool that bills itself as “adversary simulation software designed to execute targeted attacks and emulate the post-exploitation actions of advanced threat actors”. Cobalt Strike’s interactive post-exploit capabilities cover the full range of ATT&amp;CK tactics, all executed within a single, integrated system.
In addition to its own capabilities, [Cobalt Strike](https://attack.mitre.org/software/S0154) leverages the capabilities of other well-known tools such as Metasploit and [Mimikatz](https://attack.mitre.org/software/S0002).</t>
        </is>
      </c>
    </row>
    <row r="18" ht="120" customHeight="1">
      <c r="A18" s="2" t="inlineStr">
        <is>
          <t>p04</t>
        </is>
      </c>
      <c r="B18" s="2" t="n">
        <v>2</v>
      </c>
      <c r="C18" s="2" t="inlineStr">
        <is>
          <t>b27606ce-c40b-57f1-92e7-d18ac7673f0e</t>
        </is>
      </c>
      <c r="D18" s="2" t="inlineStr">
        <is>
          <t>T1021.004</t>
        </is>
      </c>
      <c r="E18" s="2" t="inlineStr">
        <is>
          <t>6/7</t>
        </is>
      </c>
      <c r="F18" s="2" t="n">
        <v>0.6667</v>
      </c>
      <c r="G18" s="2" t="inlineStr">
        <is>
          <t># T1021.004 - SSH
SSH through an HTTP tunnel.
- S0154 Cobalt Strike (software): [Cobalt Strike](https://attack.mitre.org/software/S0154) can SSH to a remote service.
- S0599 Kinsing (software): [Kinsing](https://attack.mitre.org/software/S0599) has used SSH for lateral movement.</t>
        </is>
      </c>
    </row>
    <row r="19" ht="120" customHeight="1">
      <c r="A19" s="2" t="inlineStr">
        <is>
          <t>p04</t>
        </is>
      </c>
      <c r="B19" s="2" t="n">
        <v>3</v>
      </c>
      <c r="C19" s="2" t="inlineStr">
        <is>
          <t>c7c1e3ef-2447-55be-8bab-3de4d5e3fa0b</t>
        </is>
      </c>
      <c r="D19" s="2" t="inlineStr">
        <is>
          <t>G0080</t>
        </is>
      </c>
      <c r="E19" s="2" t="inlineStr">
        <is>
          <t>2/3</t>
        </is>
      </c>
      <c r="F19" s="2" t="n">
        <v>0.3</v>
      </c>
      <c r="G19" s="2" t="inlineStr">
        <is>
          <t># G0080 - Cobalt Group
T1566.001 Spearphishing Attachment
- T1566.002 Spearphishing Link
- T1572 Protocol Tunneling
- T1573.002 Asymmetric Cryptography
- T1588.002 Tool
## Software used
- S0002 Mimikatz
- S0284 More_eggs
- S0646 SpicyOmelette
- S0195 SDelete
- S0154 Cobalt Strike
- S0029 PsExec</t>
        </is>
      </c>
    </row>
    <row r="20" ht="120" customHeight="1">
      <c r="A20" s="2" t="inlineStr">
        <is>
          <t>p04</t>
        </is>
      </c>
      <c r="B20" s="2" t="n">
        <v>4</v>
      </c>
      <c r="C20" s="2" t="inlineStr">
        <is>
          <t>ee34623e-b92f-55b0-bf27-6b757ee1681d</t>
        </is>
      </c>
      <c r="D20" s="2" t="inlineStr">
        <is>
          <t>S0637</t>
        </is>
      </c>
      <c r="E20" s="2" t="inlineStr">
        <is>
          <t>0/1</t>
        </is>
      </c>
      <c r="F20" s="2" t="n">
        <v>0.2576</v>
      </c>
      <c r="G20" s="2" t="inlineStr">
        <is>
          <t># S0637 - NativeZone
Type: software | Domain: enterprise-attack | ATT&amp;CK version: 19.2
Software type: malware | Aliases: NativeZone | Platforms: Windows
## Description
[NativeZone](https://attack.mitre.org/software/S0637) is the name given collectively to disposable custom [Cobalt Strike](https://attack.mitre.org/software/S0154) loaders used by [APT29](https://attack.mitre.org/groups/G0016) since at least 2021.
## Techniques used
- T1036 Masquerading
- T1140 Deobfuscate/Decode Files or Information
- T1204.002 Malicious File
- T1218.011 Rundll32
- T1480 Execution Guardrails
- T1497.001 System Checks
## Used by
- G0016 APT29</t>
        </is>
      </c>
    </row>
    <row r="21" ht="120" customHeight="1">
      <c r="A21" s="2" t="inlineStr">
        <is>
          <t>p04</t>
        </is>
      </c>
      <c r="B21" s="2" t="n">
        <v>5</v>
      </c>
      <c r="C21" s="2" t="inlineStr">
        <is>
          <t>a8f8bb82-ac11-5f17-b51c-536281194ec5</t>
        </is>
      </c>
      <c r="D21" s="2" t="inlineStr">
        <is>
          <t>T1001.003</t>
        </is>
      </c>
      <c r="E21" s="2" t="inlineStr">
        <is>
          <t>5/8</t>
        </is>
      </c>
      <c r="F21" s="2" t="n">
        <v>0.25</v>
      </c>
      <c r="G21" s="2" t="inlineStr">
        <is>
          <t># T1001.003 - Protocol or Service Impersonation
requests.
- S0387 KeyBoy (software): [KeyBoy](https://attack.mitre.org/software/S0387) uses custom SSL libraries to impersonate SSL in C2 traffic.
- S0586 TAINTEDSCRIBE (software): [TAINTEDSCRIBE](https://attack.mitre.org/software/S0586) has used FakeTLS for session authentication.
- S0022 Uroburos (software): [Uroburos](https://attack.mitre.org/software/S0022) can use custom communication methodologies that ride over common  protocols including TCP, UDP, HTTP, SMTP, and DNS in order to blend with normal network traffic.
- S0245 BADCALL (software): [BADCALL](https://attack.mitre.org/software/S0245) uses a FakeTLS method during C2.
- S0154 Cobalt Strike (software): [Cobalt Strike](https://attack.mitre.org/software/S0154) can leverage the HTTP protocol for C2 communication, while hiding the actual data in either an HTTP header, URI parameter, the transaction body, or appending it to the URI.
[Cobalt Strike](https://attack.mitre.org/software/S0154) has also added Host: ocsp.verisign.com to HTTP headers to mimic Online Certificate Status Protocol (OCSP) traffic.</t>
        </is>
      </c>
    </row>
    <row r="22" ht="120" customHeight="1">
      <c r="A22" s="2" t="inlineStr">
        <is>
          <t>p05</t>
        </is>
      </c>
      <c r="B22" s="2" t="n">
        <v>1</v>
      </c>
      <c r="C22" s="2" t="inlineStr">
        <is>
          <t>750bebf0-a34b-5f77-9ddb-6fe2a3f246ba</t>
        </is>
      </c>
      <c r="D22" s="2" t="inlineStr">
        <is>
          <t>T1550.003</t>
        </is>
      </c>
      <c r="E22" s="2" t="inlineStr">
        <is>
          <t>4/5</t>
        </is>
      </c>
      <c r="F22" s="2" t="n">
        <v>0.75</v>
      </c>
      <c r="G22" s="2" t="inlineStr">
        <is>
          <t># T1550.003 - Pass the Ticket
account password once, force replication, and then change the password a second time. Consider rotating the KRBTGT account password every 180 days.
## Procedure examples
- G0050 APT32 (group): [APT32](https://attack.mitre.org/groups/G0050) successfully gained remote access by using pass the ticket.
- G0016 APT29 (group): [APT29](https://attack.mitre.org/groups/G0016) used Kerberos ticket attacks for lateral movement.
- G0060 BRONZE BUTLER (group): [BRONZE BUTLER](https://attack.mitre.org/groups/G0060) has created forged Kerberos Ticket Granting Ticket (TGT) and Ticket Granting Service (TGS) tickets to maintain administrative access.
- S0053 SeaDuke (software): Some [SeaDuke](https://attack.mitre.org/software/S0053) samples have a module to use pass the ticket with Kerberos for authentication.
- S0002 Mimikatz (software): [Mimikatz](https://attack.mitre.org/software/S0002)’s &lt;code&gt;LSADUMP::DCSync&lt;/code&gt; and &lt;code&gt;KERBEROS::PTT&lt;/code&gt; modules implement the three steps required to extract the krbtgt account hash and create/use Kerberos tickets.
- S0192 Pupy (software): [Pupy](https://attack.mitre.org/software/S0192) can also perform pass-the-ticket.</t>
        </is>
      </c>
    </row>
    <row r="23" ht="120" customHeight="1">
      <c r="A23" s="2" t="inlineStr">
        <is>
          <t>p05</t>
        </is>
      </c>
      <c r="B23" s="2" t="n">
        <v>2</v>
      </c>
      <c r="C23" s="2" t="inlineStr">
        <is>
          <t>7056425c-0a49-5208-8a73-967b7b0834c4</t>
        </is>
      </c>
      <c r="D23" s="2" t="inlineStr">
        <is>
          <t>T1550.003</t>
        </is>
      </c>
      <c r="E23" s="2" t="inlineStr">
        <is>
          <t>0/5</t>
        </is>
      </c>
      <c r="F23" s="2" t="n">
        <v>0.5556</v>
      </c>
      <c r="G23" s="2" t="inlineStr">
        <is>
          <t># T1550.003 - Pass the Ticket
Type: sub-technique | Domain: enterprise-attack | ATT&amp;CK version: 19.2
Tactics: lateral-movement
Platforms: Windows
Sub-technique of: T1550 Use Alternate Authentication Material
## Description
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t>
        </is>
      </c>
    </row>
    <row r="24" ht="120" customHeight="1">
      <c r="A24" s="2" t="inlineStr">
        <is>
          <t>p05</t>
        </is>
      </c>
      <c r="B24" s="2" t="n">
        <v>3</v>
      </c>
      <c r="C24" s="2" t="inlineStr">
        <is>
          <t>304f8585-a1e6-5623-9b25-a13b95dab776</t>
        </is>
      </c>
      <c r="D24" s="2" t="inlineStr">
        <is>
          <t>T1558.003</t>
        </is>
      </c>
      <c r="E24" s="2" t="inlineStr">
        <is>
          <t>3/7</t>
        </is>
      </c>
      <c r="F24" s="2" t="n">
        <v>0.4444</v>
      </c>
      <c r="G24" s="2" t="inlineStr">
        <is>
          <t># T1558.003 - Kerberoasting
outside normal usage baselines. Also correlates suspicious process activity (e.g., Mimikatz invoking LSASS access) with Kerberos ticket anomalies.
## Mitigations
- M1027 Password Policies: Ensure strong password length (ideally 25+ characters) and complexity for service accounts and that these passwords periodically expire. Also consider using Group Managed Service Accounts or another third party product such as password vaulting.
- M1026 Privileged Account Management: Limit service accounts to minimal required privileges, including membership in privileged groups such as Domain Administrators.
- M1041 Encrypt Sensitive Information: Enable AES Kerberos encryption (or another stronger encryption algorithm), rather than RC4, where possible.
## Procedure examples
- C0024 SolarWinds Compromise (campaign): During the [SolarWinds Compromise](https://attack.mitre.org/campaigns/C0024), [APT29](https://attack.mitre.org/groups/G0016) obtained Ticket Granting Service (TGS) tickets for Active Directory Service Principle Names to crack offline.</t>
        </is>
      </c>
    </row>
    <row r="25" ht="120" customHeight="1">
      <c r="A25" s="2" t="inlineStr">
        <is>
          <t>p05</t>
        </is>
      </c>
      <c r="B25" s="2" t="n">
        <v>4</v>
      </c>
      <c r="C25" s="2" t="inlineStr">
        <is>
          <t>daaa4cb7-91e0-5cc0-82b5-3b2bb2ca454a</t>
        </is>
      </c>
      <c r="D25" s="2" t="inlineStr">
        <is>
          <t>S0079</t>
        </is>
      </c>
      <c r="E25" s="2" t="inlineStr">
        <is>
          <t>0/1</t>
        </is>
      </c>
      <c r="F25" s="2" t="n">
        <v>0.3333</v>
      </c>
      <c r="G25" s="2" t="inlineStr">
        <is>
          <t># S0079 - MobileOrder
Type: software | Domain: enterprise-attack | ATT&amp;CK version: 19.2
Software type: malware | Aliases: n/a | Platforms: n/a
## Description
[MobileOrder](https://attack.mitre.org/software/S0079) is a Trojan intended to compromise Android mobile devices. It has been used by [Scarlet Mimic](https://attack.mitre.org/groups/G0029).
## Techniques used
- T1005 Data from Local System
- T1041 Exfiltration Over C2 Channel
- T1057 Process Discovery
- T1082 System Information Discovery
- T1083 File and Directory Discovery
- T1105 Ingress Tool Transfer
- T1217 Browser Information Discovery
## Used by
- G0029 Scarlet Mimic</t>
        </is>
      </c>
    </row>
    <row r="26" ht="120" customHeight="1">
      <c r="A26" s="2" t="inlineStr">
        <is>
          <t>p05</t>
        </is>
      </c>
      <c r="B26" s="2" t="n">
        <v>5</v>
      </c>
      <c r="C26" s="2" t="inlineStr">
        <is>
          <t>aad4bf53-34e3-513d-a9bc-9661d1985753</t>
        </is>
      </c>
      <c r="D26" s="2" t="inlineStr">
        <is>
          <t>T1558.001</t>
        </is>
      </c>
      <c r="E26" s="2" t="inlineStr">
        <is>
          <t>3/4</t>
        </is>
      </c>
      <c r="F26" s="2" t="n">
        <v>0.3026</v>
      </c>
      <c r="G26" s="2" t="inlineStr">
        <is>
          <t># T1558.001 - Golden Ticket
account password once, force replication, and then change the password a second time. Consider rotating the KRBTGT account password every 180 days.
## Procedure examples
- G0004 Ke3chang (group): [Ke3chang](https://attack.mitre.org/groups/G0004) has used [Mimikatz](https://attack.mitre.org/software/S0002) to generate Kerberos golden tickets.
- S0633 Sliver (software): [Sliver](https://attack.mitre.org/software/S0633) incorporates the [Rubeus](https://attack.mitre.org/software/S1071) framework to allow for Kerberos ticket manipulation, specifically for forging Kerberos Golden Tickets.
- S0363 Empire (software): [Empire](https://attack.mitre.org/software/S0363) can leverage its implementation of [Mimikatz](https://attack.mitre.org/software/S0002) to obtain and use golden tickets.
- S0002 Mimikatz (software): [Mimikatz](https://attack.mitre.org/software/S0002)'s kerberos module can create golden tickets.
- S1071 Rubeus (software): [Rubeus](https://attack.mitre.org/software/S1071) can forge a ticket-granting ticket.</t>
        </is>
      </c>
    </row>
    <row r="27" ht="120" customHeight="1">
      <c r="A27" s="2" t="inlineStr">
        <is>
          <t>p06</t>
        </is>
      </c>
      <c r="B27" s="2" t="n">
        <v>1</v>
      </c>
      <c r="C27" s="2" t="inlineStr">
        <is>
          <t>72ef6bf9-f375-5969-8f05-be8b358a87ba</t>
        </is>
      </c>
      <c r="D27" s="2" t="inlineStr">
        <is>
          <t>S0347</t>
        </is>
      </c>
      <c r="E27" s="2" t="inlineStr">
        <is>
          <t>0/1</t>
        </is>
      </c>
      <c r="F27" s="2" t="n">
        <v>0.5</v>
      </c>
      <c r="G27" s="2" t="inlineStr">
        <is>
          <t># S0347 - AuditCred
Type: software | Domain: enterprise-attack | ATT&amp;CK version: 19.2
Software type: malware | Aliases: AuditCred, Roptimizer | Platforms: Windows
## Description
[AuditCred](https://attack.mitre.org/software/S0347) is a malicious DLL that has been used by [Lazarus Group](https://attack.mitre.org/groups/G0032) during their 2018 attacks.
## Techniques used
- T1027.013 Encrypted/Encoded File
- T1055 Process Injection
- T1059.003 Windows Command Shell
- T1070.004 File Deletion
- T1083 File and Directory Discovery
- T1090 Proxy
- T1105 Ingress Tool Transfer
- T1140 Deobfuscate/Decode Files or Information
- T1543.003 Windows Service
## Used by
- G0032 Lazarus Group</t>
        </is>
      </c>
    </row>
    <row r="28" ht="120" customHeight="1">
      <c r="A28" s="2" t="inlineStr">
        <is>
          <t>p06</t>
        </is>
      </c>
      <c r="B28" s="2" t="n">
        <v>2</v>
      </c>
      <c r="C28" s="2" t="inlineStr">
        <is>
          <t>82b5059b-bba0-51c6-a72e-3cf74d782138</t>
        </is>
      </c>
      <c r="D28" s="2" t="inlineStr">
        <is>
          <t>G0099</t>
        </is>
      </c>
      <c r="E28" s="2" t="inlineStr">
        <is>
          <t>0/3</t>
        </is>
      </c>
      <c r="F28" s="2" t="n">
        <v>0.5</v>
      </c>
      <c r="G28" s="2" t="inlineStr">
        <is>
          <t># G0099 - APT-C-36
Type: group | Domain: enterprise-attack | ATT&amp;CK version: 19.2
Aliases: APT-C-36, Blind Eagle, TAG-144, AguilaCiega, APT-Q-98
## Description
[APT-C-36](https://attack.mitre.org/groups/G0099) is a suspected South American threat group that has engaged in espionage and financially motivated operations since at least 2018. [APT-C-36](https://attack.mitre.org/groups/G0099) has targeted government institutions and entities in the financial, energy, and professional manufacturing sectors across Colombia and other Latin American countries.</t>
        </is>
      </c>
    </row>
    <row r="29" ht="120" customHeight="1">
      <c r="A29" s="2" t="inlineStr">
        <is>
          <t>p06</t>
        </is>
      </c>
      <c r="B29" s="2" t="n">
        <v>3</v>
      </c>
      <c r="C29" s="2" t="inlineStr">
        <is>
          <t>77ea47c9-d1b8-55f4-8c12-d291eda4256b</t>
        </is>
      </c>
      <c r="D29" s="2" t="inlineStr">
        <is>
          <t>S0263</t>
        </is>
      </c>
      <c r="E29" s="2" t="inlineStr">
        <is>
          <t>0/1</t>
        </is>
      </c>
      <c r="F29" s="2" t="n">
        <v>0.386</v>
      </c>
      <c r="G29" s="2" t="inlineStr">
        <is>
          <t># S0263 - TYPEFRAME
Type: software | Domain: enterprise-attack | ATT&amp;CK version: 19.2
Software type: malware | Aliases: TYPEFRAME | Platforms: Windows
## Description
[TYPEFRAME](https://attack.mitre.org/software/S0263) is a remote access tool that has been used by [Lazarus Group](https://attack.mitre.org/groups/G0032).
## Techniques used
- T1027.011 Fileless Storage
- T1027.013 Encrypted/Encoded File
- T1059.003 Windows Command Shell
- T1059.005 Visual Basic
- T1070.004 File Deletion
- T1083 File and Directory Discovery
- T1090 Proxy
- T1105 Ingress Tool Transfer
- T1112 Modify Registry
- T1140 Deobfuscate/Decode Files or Information
- T1204.002 Malicious File
- T1543.003 Windows Service
- T1571 Non-Standard Port
- T1680 Local Storage Discovery
- T1686.003 Windows Host Firewall
## Used by
- G0032 Lazarus Group</t>
        </is>
      </c>
    </row>
    <row r="30" ht="120" customHeight="1">
      <c r="A30" s="2" t="inlineStr">
        <is>
          <t>p06</t>
        </is>
      </c>
      <c r="B30" s="2" t="n">
        <v>4</v>
      </c>
      <c r="C30" s="2" t="inlineStr">
        <is>
          <t>d7ced4c8-3901-5447-a0b3-c2fbf5b3ae9f</t>
        </is>
      </c>
      <c r="D30" s="2" t="inlineStr">
        <is>
          <t>G0032</t>
        </is>
      </c>
      <c r="E30" s="2" t="inlineStr">
        <is>
          <t>0/6</t>
        </is>
      </c>
      <c r="F30" s="2" t="n">
        <v>0.3667</v>
      </c>
      <c r="G30" s="2" t="inlineStr">
        <is>
          <t># G0032 - Lazarus Group
Type: group | Domain: enterprise-attack | ATT&amp;CK version: 19.2
Aliases: Lazarus Group, Labyrinth Chollima, HIDDEN COBRA, Guardians of Peace, ZINC, NICKEL ACADEMY, Diamond Sleet
## Description
[Lazarus Group](https://attack.mitre.org/groups/G0032) is a North Korean state-sponsored cyber threat group attributed to the Reconnaissance General Bureau (RGB).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t>
        </is>
      </c>
    </row>
    <row r="31" ht="120" customHeight="1">
      <c r="A31" s="2" t="inlineStr">
        <is>
          <t>p06</t>
        </is>
      </c>
      <c r="B31" s="2" t="n">
        <v>5</v>
      </c>
      <c r="C31" s="2" t="inlineStr">
        <is>
          <t>d5484bb9-a214-54b4-8984-3d35d6ac7bfe</t>
        </is>
      </c>
      <c r="D31" s="2" t="inlineStr">
        <is>
          <t>G0032</t>
        </is>
      </c>
      <c r="E31" s="2" t="inlineStr">
        <is>
          <t>2/6</t>
        </is>
      </c>
      <c r="F31" s="2" t="n">
        <v>0.3333</v>
      </c>
      <c r="G31" s="2" t="inlineStr">
        <is>
          <t># G0032 - Lazarus Group
Group” as an umbrella term for multiple North Korean cyber operators conducting espionage, destructive attacks, and financially motivated campaigns.
## Techniques used
- T1001.003 Protocol or Service Impersonation
- T1005 Data from Local System
- T1008 Fallback Channels
- T1010 Application Window Discovery
- T1012 Query Registry
- T1016 System Network Configuration Discovery
- T1021.001 Remote Desktop Protocol
- T1021.002 SMB/Windows Admin Shares
- T1021.004 SSH
- T1027.007 Dynamic API Resolution
- T1027.009 Embedded Payloads
- T1027.013 Encrypted/Encoded File
- T1033 System Owner/User Discovery
- T1036.003 Rename Legitimate Utilities
- T1036.004 Masquerade Task or Service
- T1036.005 Match Legitimate Resource Name or Location
- T1041 Exfiltration Over C2 Channel
- T1046 Network Service Discovery
- T1047 Windows Management Instrumentation
- T1048.003 Exfiltration Over Unencrypted Non-C2 Protocol
- T1049 System Network Connections Discovery
- T1053.005 Scheduled Task
- T1055.001 Dynamic-link Library Injection
- T1056.001 Keylogging
- T1057 Process Discovery
- T1059.001 PowerShell
- T1059.003 Windows Command Shell
- T1059.005 Visual Basic
- T1070 Indicator Removal
- T1070.003 Clear Command History
- T1070.004 File Deletion
- T1070.006 Timestomp
- T1071.001 Web Protocols
- T1074.001 Local Data Staging
- T1078 Valid Accounts
- T108</t>
        </is>
      </c>
    </row>
    <row r="32" ht="120" customHeight="1">
      <c r="A32" s="2" t="inlineStr">
        <is>
          <t>p07</t>
        </is>
      </c>
      <c r="B32" s="2" t="n">
        <v>1</v>
      </c>
      <c r="C32" s="2" t="inlineStr">
        <is>
          <t>bda60f05-afc9-5623-a785-ce6ba574ed8e</t>
        </is>
      </c>
      <c r="D32" s="2" t="inlineStr">
        <is>
          <t>T1110.003</t>
        </is>
      </c>
      <c r="E32" s="2" t="inlineStr">
        <is>
          <t>7/9</t>
        </is>
      </c>
      <c r="F32" s="2" t="n">
        <v>1</v>
      </c>
      <c r="G32" s="2" t="inlineStr">
        <is>
          <t># T1110.003 - Password Spraying
and passwords.
- G1030 Agrius (group): [Agrius](https://attack.mitre.org/groups/G1030) engaged in password spraying via SMB in victim environments.
- G0007 APT28 (group): [APT28](https://attack.mitre.org/groups/G0007) has used a brute-force/password-spray tooling that operated in two modes: in password-spraying mode it conducted approximately four authentication attempts per hour per targeted account over the course of several days or weeks.
[APT28](https://attack.mitre.org/groups/G0007) has also used a Kubernetes cluster to conduct distributed, large-scale password spray attacks.
- G0032 Lazarus Group (group): [Lazarus Group](https://attack.mitre.org/groups/G0032) malware attempts to connect to Windows shares for lateral movement by using a generated list of usernames, which center around permutations of the username Administrator, and weak passwords.
- G1001 HEXANE (group): [HEXANE](https://attack.mitre.org/groups/G1001) has used password spraying attacks to obtain valid credentials.
- G0064 APT33 (group): [APT33](https://attack.mitre.org/groups/G0064) has used password spraying to gain access to target systems.</t>
        </is>
      </c>
    </row>
    <row r="33" ht="120" customHeight="1">
      <c r="A33" s="2" t="inlineStr">
        <is>
          <t>p07</t>
        </is>
      </c>
      <c r="B33" s="2" t="n">
        <v>2</v>
      </c>
      <c r="C33" s="2" t="inlineStr">
        <is>
          <t>ef7bd43e-42d4-5dd2-bc0e-1abd0cbf802f</t>
        </is>
      </c>
      <c r="D33" s="2" t="inlineStr">
        <is>
          <t>T1110.003</t>
        </is>
      </c>
      <c r="E33" s="2" t="inlineStr">
        <is>
          <t>5/9</t>
        </is>
      </c>
      <c r="F33" s="2" t="n">
        <v>0.5</v>
      </c>
      <c r="G33" s="2" t="inlineStr">
        <is>
          <t># T1110.003 - Password Spraying
outside defined organization IP ranges. Consider blocking risky authentication requests, such as those originating from anonymizing services/proxies.
## Procedure examples
- C0051 APT28 Nearest Neighbor Campaign (campaign): During [APT28 Nearest Neighbor Campaign](https://attack.mitre.org/campaigns/C0051), [APT28](https://attack.mitre.org/groups/G0007) performed password-spray attacks against public facing services to validate credentials.
- C0055 Quad7 Activity (campaign): [Quad7 Activity](https://attack.mitre.org/campaigns/C0055) has conducted a throttled variant of password spraying techniques that only utilized a single attempt to sign in within a 24-hour time period, eluding brute force detection thresholds.
- G0125 HAFNIUM (group): [HAFNIUM](https://attack.mitre.org/groups/G0125) has gained initial access through password spray attacks.
- G0077 Leafminer (group): [Leafminer](https://attack.mitre.org/groups/G0077) used a tool called Total SMB BruteForcer to perform internal password spraying.
- G0016 APT29 (group): [APT29](https://attack.mitre.org/groups/G0016) has conducted brute force password spray attacks.</t>
        </is>
      </c>
    </row>
    <row r="34" ht="120" customHeight="1">
      <c r="A34" s="2" t="inlineStr">
        <is>
          <t>p07</t>
        </is>
      </c>
      <c r="B34" s="2" t="n">
        <v>3</v>
      </c>
      <c r="C34" s="2" t="inlineStr">
        <is>
          <t>157456b8-c03f-5096-98d8-1d1e43a443e8</t>
        </is>
      </c>
      <c r="D34" s="2" t="inlineStr">
        <is>
          <t>T1110.003</t>
        </is>
      </c>
      <c r="E34" s="2" t="inlineStr">
        <is>
          <t>0/9</t>
        </is>
      </c>
      <c r="F34" s="2" t="n">
        <v>0.4762</v>
      </c>
      <c r="G34" s="2" t="inlineStr">
        <is>
          <t># T1110.003 - Password Spraying
Type: sub-technique | Domain: enterprise-attack | ATT&amp;CK version: 19.2
Tactics: credential-access
Platforms: Containers, ESXi, IaaS, Identity Provider, Linux, Network Devices, Office Suite, SaaS, Windows, macOS
Sub-technique of: T1110 Brute Force
## Description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Typically, management services over commonly used ports are used when password spraying. Commonly targeted services include the following:</t>
        </is>
      </c>
    </row>
    <row r="35" ht="120" customHeight="1">
      <c r="A35" s="2" t="inlineStr">
        <is>
          <t>p07</t>
        </is>
      </c>
      <c r="B35" s="2" t="n">
        <v>4</v>
      </c>
      <c r="C35" s="2" t="inlineStr">
        <is>
          <t>f62c8db0-8f71-599b-b664-010c60d7b022</t>
        </is>
      </c>
      <c r="D35" s="2" t="inlineStr">
        <is>
          <t>DET0487</t>
        </is>
      </c>
      <c r="E35" s="2" t="inlineStr">
        <is>
          <t>0/4</t>
        </is>
      </c>
      <c r="F35" s="2" t="n">
        <v>0.4167</v>
      </c>
      <c r="G35" s="2" t="inlineStr">
        <is>
          <t># DET0487 - Distributed Password Spraying via Authentication Failures Across Multiple Accounts
Type: detection-strategy | Domain: enterprise-attack | ATT&amp;CK version: 19.2
## Detects techniques
- T1110.003 Password Spraying</t>
        </is>
      </c>
    </row>
    <row r="36" ht="120" customHeight="1">
      <c r="A36" s="2" t="inlineStr">
        <is>
          <t>p07</t>
        </is>
      </c>
      <c r="B36" s="2" t="n">
        <v>5</v>
      </c>
      <c r="C36" s="2" t="inlineStr">
        <is>
          <t>9f28e3b3-46cd-5d07-ba72-040ae936815b</t>
        </is>
      </c>
      <c r="D36" s="2" t="inlineStr">
        <is>
          <t>C0051</t>
        </is>
      </c>
      <c r="E36" s="2" t="inlineStr">
        <is>
          <t>1/2</t>
        </is>
      </c>
      <c r="F36" s="2" t="n">
        <v>0.3929</v>
      </c>
      <c r="G36" s="2" t="inlineStr">
        <is>
          <t># C0051 - APT28 Nearest Neighbor Campaign
and wireless network connection) to enable Wi-Fi and use compromised credentials to connect to the victim network.
## Attributed to
- G0007 APT28
## Techniques used
- T1003.002 Security Account Manager
- T1003.003 NTDS
- T1006 Direct Volume Access
- T1016.002 Wi-Fi Discovery
- T1021.001 Remote Desktop Protocol
- T1021.002 SMB/Windows Admin Shares
- T1059.001 PowerShell
- T1059.003 Windows Command Shell
- T1074.001 Local Data Staging
- T1090.001 Internal Proxy
- T1110.003 Password Spraying
- T1140 Deobfuscate/Decode Files or Information
- T1560.001 Archive via Utility
- T1561.001 Disk Content Wipe
- T1567 Exfiltration Over Web Service
- T1584 Compromise Infrastructure
- T1669 Wi-Fi Networks
- T1686.003 Windows Host Firewall
## Software used
- S0108 netsh
- S1205 cipher.exe</t>
        </is>
      </c>
    </row>
    <row r="37" ht="120" customHeight="1">
      <c r="A37" s="2" t="inlineStr">
        <is>
          <t>p08</t>
        </is>
      </c>
      <c r="B37" s="2" t="n">
        <v>1</v>
      </c>
      <c r="C37" s="2" t="inlineStr">
        <is>
          <t>157456b8-c03f-5096-98d8-1d1e43a443e8</t>
        </is>
      </c>
      <c r="D37" s="2" t="inlineStr">
        <is>
          <t>T1110.003</t>
        </is>
      </c>
      <c r="E37" s="2" t="inlineStr">
        <is>
          <t>0/9</t>
        </is>
      </c>
      <c r="F37" s="2" t="n">
        <v>0.8333</v>
      </c>
      <c r="G37" s="2" t="inlineStr">
        <is>
          <t># T1110.003 - Password Spraying
Type: sub-technique | Domain: enterprise-attack | ATT&amp;CK version: 19.2
Tactics: credential-access
Platforms: Containers, ESXi, IaaS, Identity Provider, Linux, Network Devices, Office Suite, SaaS, Windows, macOS
Sub-technique of: T1110 Brute Force
## Description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Typically, management services over commonly used ports are used when password spraying. Commonly targeted services include the following:</t>
        </is>
      </c>
    </row>
    <row r="38" ht="120" customHeight="1">
      <c r="A38" s="2" t="inlineStr">
        <is>
          <t>p08</t>
        </is>
      </c>
      <c r="B38" s="2" t="n">
        <v>2</v>
      </c>
      <c r="C38" s="2" t="inlineStr">
        <is>
          <t>f62c8db0-8f71-599b-b664-010c60d7b022</t>
        </is>
      </c>
      <c r="D38" s="2" t="inlineStr">
        <is>
          <t>DET0487</t>
        </is>
      </c>
      <c r="E38" s="2" t="inlineStr">
        <is>
          <t>0/4</t>
        </is>
      </c>
      <c r="F38" s="2" t="n">
        <v>0.8333</v>
      </c>
      <c r="G38" s="2" t="inlineStr">
        <is>
          <t># DET0487 - Distributed Password Spraying via Authentication Failures Across Multiple Accounts
Type: detection-strategy | Domain: enterprise-attack | ATT&amp;CK version: 19.2
## Detects techniques
- T1110.003 Password Spraying</t>
        </is>
      </c>
    </row>
    <row r="39" ht="120" customHeight="1">
      <c r="A39" s="2" t="inlineStr">
        <is>
          <t>p08</t>
        </is>
      </c>
      <c r="B39" s="2" t="n">
        <v>3</v>
      </c>
      <c r="C39" s="2" t="inlineStr">
        <is>
          <t>bc411276-2b2d-57fd-b20f-7feb6b7f2b0b</t>
        </is>
      </c>
      <c r="D39" s="2" t="inlineStr">
        <is>
          <t>T1110.003</t>
        </is>
      </c>
      <c r="E39" s="2" t="inlineStr">
        <is>
          <t>6/9</t>
        </is>
      </c>
      <c r="F39" s="2" t="n">
        <v>0.2909</v>
      </c>
      <c r="G39" s="2" t="inlineStr">
        <is>
          <t># T1110.003 - Password Spraying
internal password spraying.
- G0016 APT29 (group): [APT29](https://attack.mitre.org/groups/G0016) has conducted brute force password spray attacks.
- G0114 Chimera (group): [Chimera](https://attack.mitre.org/groups/G0114) has used multiple password spraying attacks against victim's remote services to obtain valid user and administrator accounts.
- G0122 Silent Librarian (group): [Silent Librarian](https://attack.mitre.org/groups/G0122) has used collected lists of names and e-mail accounts to use in password spraying attacks against private sector targets.
- G1003 Ember Bear (group): [Ember Bear](https://attack.mitre.org/groups/G1003) has conducted password spraying against Outlook Web Access (OWA) infrastructure to identify valid user names and passwords.
- G1030 Agrius (group): [Agrius](https://attack.mitre.org/groups/G1030) engaged in password spraying via SMB in victim environments.</t>
        </is>
      </c>
    </row>
    <row r="40" ht="120" customHeight="1">
      <c r="A40" s="2" t="inlineStr">
        <is>
          <t>p08</t>
        </is>
      </c>
      <c r="B40" s="2" t="n">
        <v>4</v>
      </c>
      <c r="C40" s="2" t="inlineStr">
        <is>
          <t>8e3c7f9a-1c02-5e07-a4ae-509c8f1580e1</t>
        </is>
      </c>
      <c r="D40" s="2" t="inlineStr">
        <is>
          <t>G0114</t>
        </is>
      </c>
      <c r="E40" s="2" t="inlineStr">
        <is>
          <t>2/3</t>
        </is>
      </c>
      <c r="F40" s="2" t="n">
        <v>0.25</v>
      </c>
      <c r="G40" s="2" t="inlineStr">
        <is>
          <t># G0114 - Chimera
Transfer
- T1106 Native API
- T1110.003 Password Spraying
- T1110.004 Credential Stuffing
- T1111 Multi-Factor Authentication Interception
- T1114.
ol Transfer
- T1106 Native API
- T1110.003 Password Spraying
- T1110.004 Credential Stuffing
- T1111 Multi-Factor Authentication Interception
- T1114.001 Local Email Collection
- T1114.002 Remote Email Collection
- T1119 Automated Collection
- T1124 System Time Discovery
- T1133 External Remote Services
- T1135 Network Share Discovery
- T1201 Password Policy Discovery
- T1213.002 Sharepoint
- T1217 Browser Information Discovery
- T1482 Domain Trust Discovery
- T1550.002 Pass the Hash
- T1556.001 Domain Controller Authentication
- T1560.001 Archive via Utility
- T1567.002 Exfiltration to Cloud Storage
- T1569.002 Service Execution
- T1570 Lateral Tool Transfer
- T1572 Protocol Tunneling
- T1574.001 DLL
- T1588.002 Tool
- T1589.001 Credentials
- T1680 Local Storage Discovery
- T1685.005 Clear Windows Event Logs
## Software used
- S0029 PsExec
- S0521 BloodHound
- S0404 esentutl
- S0039 Net
- S0002 Mimikatz
- S0154 Cobalt Strike</t>
        </is>
      </c>
    </row>
    <row r="41" ht="120" customHeight="1">
      <c r="A41" s="2" t="inlineStr">
        <is>
          <t>p08</t>
        </is>
      </c>
      <c r="B41" s="2" t="n">
        <v>5</v>
      </c>
      <c r="C41" s="2" t="inlineStr">
        <is>
          <t>0204f726-7c2b-510e-a2cf-0d16f6c05c61</t>
        </is>
      </c>
      <c r="D41" s="2" t="inlineStr">
        <is>
          <t>T1110.002</t>
        </is>
      </c>
      <c r="E41" s="2" t="inlineStr">
        <is>
          <t>0/5</t>
        </is>
      </c>
      <c r="F41" s="2" t="n">
        <v>0.25</v>
      </c>
      <c r="G41" s="2" t="inlineStr">
        <is>
          <t># T1110.002 - Password Cracking
Type: sub-technique | Domain: enterprise-attack | ATT&amp;CK version: 19.2
Tactics: credential-access
Platforms: Identity Provider, Linux, macOS, Network Devices, Office Suite, Windows
Sub-technique of: T1110 Brute Force
## Description
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t>
        </is>
      </c>
    </row>
    <row r="42" ht="120" customHeight="1">
      <c r="A42" s="2" t="inlineStr">
        <is>
          <t>p09</t>
        </is>
      </c>
      <c r="B42" s="2" t="n">
        <v>1</v>
      </c>
      <c r="C42" s="2" t="inlineStr">
        <is>
          <t>302a1537-027f-57a0-81b9-9063712870ce</t>
        </is>
      </c>
      <c r="D42" s="2" t="inlineStr">
        <is>
          <t>T1586.002</t>
        </is>
      </c>
      <c r="E42" s="2" t="inlineStr">
        <is>
          <t>0/6</t>
        </is>
      </c>
      <c r="F42" s="2" t="n">
        <v>0.5769</v>
      </c>
      <c r="G42" s="2" t="inlineStr">
        <is>
          <t># T1586.002 - Email Accounts
Type: sub-technique | Domain: enterprise-attack | ATT&amp;CK version: 19.2
Tactics: resource-development
Platforms: PRE
Sub-technique of: T1586 Compromise Accounts
## Description
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t>
        </is>
      </c>
    </row>
    <row r="43" ht="120" customHeight="1">
      <c r="A43" s="2" t="inlineStr">
        <is>
          <t>p09</t>
        </is>
      </c>
      <c r="B43" s="2" t="n">
        <v>2</v>
      </c>
      <c r="C43" s="2" t="inlineStr">
        <is>
          <t>af42649d-952f-5dfb-afab-8c8e51a00019</t>
        </is>
      </c>
      <c r="D43" s="2" t="inlineStr">
        <is>
          <t>T1566</t>
        </is>
      </c>
      <c r="E43" s="2" t="inlineStr">
        <is>
          <t>0/8</t>
        </is>
      </c>
      <c r="F43" s="2" t="n">
        <v>0.5</v>
      </c>
      <c r="G43" s="2" t="inlineStr">
        <is>
          <t># T1566 - Phishing
Type: technique | Domain: enterprise-attack | ATT&amp;CK version: 19.2
Tactics: initial-access
Platforms: Identity Provider, Linux, macOS, Office Suite, SaaS, Windows
## Description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t>
        </is>
      </c>
    </row>
    <row r="44" ht="120" customHeight="1">
      <c r="A44" s="2" t="inlineStr">
        <is>
          <t>p09</t>
        </is>
      </c>
      <c r="B44" s="2" t="n">
        <v>3</v>
      </c>
      <c r="C44" s="2" t="inlineStr">
        <is>
          <t>6a49f47f-97c7-51c1-9b8c-11a512eb628c</t>
        </is>
      </c>
      <c r="D44" s="2" t="inlineStr">
        <is>
          <t>T1566</t>
        </is>
      </c>
      <c r="E44" s="2" t="inlineStr">
        <is>
          <t>1/8</t>
        </is>
      </c>
      <c r="F44" s="2" t="n">
        <v>0.35</v>
      </c>
      <c r="G44" s="2" t="inlineStr">
        <is>
          <t># T1566 - Phishing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 Another way to accomplish this is by [Email Spoofing](https://attack.mitre.org/techniques/T1684/002) the identity of the sender, which can be used to fool both the human recipient as well as automated security tools, or by including the intended target as a party to an existing email thread that includes malicious files or links (i.e., "thread hijacking").</t>
        </is>
      </c>
    </row>
    <row r="45" ht="120" customHeight="1">
      <c r="A45" s="2" t="inlineStr">
        <is>
          <t>p09</t>
        </is>
      </c>
      <c r="B45" s="2" t="n">
        <v>4</v>
      </c>
      <c r="C45" s="2" t="inlineStr">
        <is>
          <t>e3dc1b98-151d-514e-a176-c74fb584fe19</t>
        </is>
      </c>
      <c r="D45" s="2" t="inlineStr">
        <is>
          <t>T1585.002</t>
        </is>
      </c>
      <c r="E45" s="2" t="inlineStr">
        <is>
          <t>0/8</t>
        </is>
      </c>
      <c r="F45" s="2" t="n">
        <v>0.3333</v>
      </c>
      <c r="G45" s="2" t="inlineStr">
        <is>
          <t># T1585.002 - Email Accounts
Type: sub-technique | Domain: enterprise-attack | ATT&amp;CK version: 19.2
Tactics: resource-development
Platforms: PRE
Sub-technique of: T1585 Establish Accounts
## Description
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 Establishing email accounts may also allow adversaries to abuse free services – such as trial periods – to [Acquire Infrastructure](https://attack.mitre.org/techniques/T1583) for follow-on purposes.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t>
        </is>
      </c>
    </row>
    <row r="46" ht="120" customHeight="1">
      <c r="A46" s="2" t="inlineStr">
        <is>
          <t>p09</t>
        </is>
      </c>
      <c r="B46" s="2" t="n">
        <v>5</v>
      </c>
      <c r="C46" s="2" t="inlineStr">
        <is>
          <t>22e1f629-ed75-57fb-9dfd-767e49dde3de</t>
        </is>
      </c>
      <c r="D46" s="2" t="inlineStr">
        <is>
          <t>T1566</t>
        </is>
      </c>
      <c r="E46" s="2" t="inlineStr">
        <is>
          <t>5/8</t>
        </is>
      </c>
      <c r="F46" s="2" t="n">
        <v>0.3333</v>
      </c>
      <c r="G46" s="2" t="inlineStr">
        <is>
          <t># T1566 - Phishing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
- M1047 Audit: Perform audits or scans of systems, permissions, insecure software, insecure configurations, etc.
to identify potential weaknesses.
## Sub-techniques
- T1566.002 Spearphishing Link
- T1566.001 Spearphishing Attachment
- T1566.004 Spearphishing Voice
- T1566.003 Spearphishing via Service
## Procedure examples
- G0094 Kimsuky (group): [Kimsuky](https://attack.mitre.org/groups/G0094) has used spearphishing to gain initial access and intelligence.
- G1049 AppleJeus (group): [AppleJeus](https://attack.mitre.org/groups/G1049) has used spearphishing emails to distribute malicious payloads.
- G0069 MuddyWater (group): [MuddyWater](https://attack.mitre.org/groups/G0069) has sent phishing emails to targets from the email address support@microsoftonlines[.]com.</t>
        </is>
      </c>
    </row>
    <row r="47" ht="120" customHeight="1">
      <c r="A47" s="2" t="inlineStr">
        <is>
          <t>p10</t>
        </is>
      </c>
      <c r="B47" s="2" t="n">
        <v>1</v>
      </c>
      <c r="C47" s="2" t="inlineStr">
        <is>
          <t>49082e7a-665e-52fc-913f-e16e250c69fc</t>
        </is>
      </c>
      <c r="D47" s="2" t="inlineStr">
        <is>
          <t>T1056</t>
        </is>
      </c>
      <c r="E47" s="2" t="inlineStr">
        <is>
          <t>0/5</t>
        </is>
      </c>
      <c r="F47" s="2" t="n">
        <v>1</v>
      </c>
      <c r="G47" s="2" t="inlineStr">
        <is>
          <t># T1056 - Input Capture
Type: technique | Domain: enterprise-attack | ATT&amp;CK version: 19.2
Tactics: collection, credential-access
Platforms: Linux, macOS, Network Devices, Windows
## Description
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is>
      </c>
    </row>
    <row r="48" ht="120" customHeight="1">
      <c r="A48" s="2" t="inlineStr">
        <is>
          <t>p10</t>
        </is>
      </c>
      <c r="B48" s="2" t="n">
        <v>2</v>
      </c>
      <c r="C48" s="2" t="inlineStr">
        <is>
          <t>53bb75a3-204c-582f-aebf-0aa453578979</t>
        </is>
      </c>
      <c r="D48" s="2" t="inlineStr">
        <is>
          <t>T1056.003</t>
        </is>
      </c>
      <c r="E48" s="2" t="inlineStr">
        <is>
          <t>0/4</t>
        </is>
      </c>
      <c r="F48" s="2" t="n">
        <v>0.4167</v>
      </c>
      <c r="G48" s="2" t="inlineStr">
        <is>
          <t># T1056.003 - Web Portal Capture
Type: sub-technique | Domain: enterprise-attack | ATT&amp;CK version: 19.2
Tactics: collection, credential-access
Platforms: Linux, macOS, Windows
Sub-technique of: T1056 Input Capture
## Description
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t>
        </is>
      </c>
    </row>
    <row r="49" ht="120" customHeight="1">
      <c r="A49" s="2" t="inlineStr">
        <is>
          <t>p10</t>
        </is>
      </c>
      <c r="B49" s="2" t="n">
        <v>3</v>
      </c>
      <c r="C49" s="2" t="inlineStr">
        <is>
          <t>9552e904-33ef-5bad-a469-7fa1bf0d2107</t>
        </is>
      </c>
      <c r="D49" s="2" t="inlineStr">
        <is>
          <t>T1056.001</t>
        </is>
      </c>
      <c r="E49" s="2" t="inlineStr">
        <is>
          <t>0/7</t>
        </is>
      </c>
      <c r="F49" s="2" t="n">
        <v>0.3929</v>
      </c>
      <c r="G49" s="2" t="inlineStr">
        <is>
          <t># T1056.001 - Keylogging
Type: sub-technique | Domain: enterprise-attack | ATT&amp;CK version: 19.2
Tactics: collection, credential-access
Platforms: Linux, macOS, Network Devices, Windows
Sub-technique of: T1056 Input Capture
## Description
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
Keylogging is the most prevalent type of input capture, with many different ways of intercepting keystrokes. Some methods include:</t>
        </is>
      </c>
    </row>
    <row r="50" ht="120" customHeight="1">
      <c r="A50" s="2" t="inlineStr">
        <is>
          <t>p10</t>
        </is>
      </c>
      <c r="B50" s="2" t="n">
        <v>4</v>
      </c>
      <c r="C50" s="2" t="inlineStr">
        <is>
          <t>b125294d-a3b8-5227-a30b-108b917e557a</t>
        </is>
      </c>
      <c r="D50" s="2" t="inlineStr">
        <is>
          <t>DET0102</t>
        </is>
      </c>
      <c r="E50" s="2" t="inlineStr">
        <is>
          <t>0/2</t>
        </is>
      </c>
      <c r="F50" s="2" t="n">
        <v>0.3833</v>
      </c>
      <c r="G50" s="2" t="inlineStr">
        <is>
          <t># DET0102 - Behavioral Detection of Input Capture Across Platforms
Type: detection-strategy | Domain: enterprise-attack | ATT&amp;CK version: 19.2
## Detects techniques
- T1056 Input Capture
## Analytics
- AN0282 [Windows]: Monitors for abnormal process behavior and API calls like SetWindowsHookEx, GetAsyncKeyState, or device input polling commonly used for keystroke logging.
(log sources: WinEventLog:Security, WinEventLog:Sysmon) | tunable elements: TargetImage - Can be scoped to sensitive GUI processes like explorer.exe or winlogon.exe; TimeWindow - Time threshold for detecting multiple suspicious accesses
- AN0283 [Linux]: Detects use of tools/scripts accessing input devices like /dev/input/* or evdev via suspicious processes lacking GUI context.
(log sources: auditd:SYSCALL) | tunable elements: ProcessName - Unusual process accessing device files; DevicePath - Typically /dev/input/*, but tunable to exact endpoint config
- AN0284 [macOS]: Monitors for TCC-bypassing or unauthorized access to input services like IOHIDSystem or Quartz Event Services used in keylogging or screen monitoring.</t>
        </is>
      </c>
    </row>
    <row r="51" ht="120" customHeight="1">
      <c r="A51" s="2" t="inlineStr">
        <is>
          <t>p10</t>
        </is>
      </c>
      <c r="B51" s="2" t="n">
        <v>5</v>
      </c>
      <c r="C51" s="2" t="inlineStr">
        <is>
          <t>1e3aef33-c042-58ea-a36d-b1176cfd929c</t>
        </is>
      </c>
      <c r="D51" s="2" t="inlineStr">
        <is>
          <t>T1056.001</t>
        </is>
      </c>
      <c r="E51" s="2" t="inlineStr">
        <is>
          <t>1/7</t>
        </is>
      </c>
      <c r="F51" s="2" t="n">
        <v>0.3333</v>
      </c>
      <c r="G51" s="2" t="inlineStr">
        <is>
          <t># T1056.001 - Keylogging
to systems.
Keylogging is the most prevalent type of input capture, with many different ways of intercepting keystrokes.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t>
        </is>
      </c>
    </row>
    <row r="52" ht="120" customHeight="1">
      <c r="A52" s="2" t="inlineStr">
        <is>
          <t>p11</t>
        </is>
      </c>
      <c r="B52" s="2" t="n">
        <v>1</v>
      </c>
      <c r="C52" s="2" t="inlineStr">
        <is>
          <t>57665f89-6f5d-57ec-8cfb-d409cf0b4a97</t>
        </is>
      </c>
      <c r="D52" s="2" t="inlineStr">
        <is>
          <t>TA0002</t>
        </is>
      </c>
      <c r="E52" s="2" t="inlineStr">
        <is>
          <t>1/2</t>
        </is>
      </c>
      <c r="F52" s="2" t="n">
        <v>0.5</v>
      </c>
      <c r="G52" s="2" t="inlineStr">
        <is>
          <t># TA0002 - Execution
a network or stealing data. For example, an adversary might use a remote access tool to run a PowerShell script that does Remote System Discovery.
## Techniques in this tactic
- T1047 Windows Management Instrumentation
- T1053 Scheduled Task/Job
- T1059 Command and Scripting Interpreter
- T1072 Software Deployment Tools
- T1106 Native API
- T1127 Trusted Developer Utilities Proxy Execution
- T1129 Shared Modules
- T1197 BITS Jobs
- T1203 Exploitation for Client Execution
- T1204 User Execution
- T1559 Inter-Process Communication
- T1569 System Services
- T1574 Hijack Execution Flow
- T1609 Container Administration Command
- T1610 Deploy Container
- T1648 Serverless Execution
- T1651 Cloud Administration Command
- T1674 Input Injection
- T1675 ESXi Administration Command
- T1677 Poisoned Pipeline Execution</t>
        </is>
      </c>
    </row>
    <row r="53" ht="120" customHeight="1">
      <c r="A53" s="2" t="inlineStr">
        <is>
          <t>p11</t>
        </is>
      </c>
      <c r="B53" s="2" t="n">
        <v>2</v>
      </c>
      <c r="C53" s="2" t="inlineStr">
        <is>
          <t>dc4c60b8-5e00-5802-a63c-64dc3695a236</t>
        </is>
      </c>
      <c r="D53" s="2" t="inlineStr">
        <is>
          <t>T1683</t>
        </is>
      </c>
      <c r="E53" s="2" t="inlineStr">
        <is>
          <t>2/3</t>
        </is>
      </c>
      <c r="F53" s="2" t="n">
        <v>0.5</v>
      </c>
      <c r="G53" s="2" t="inlineStr">
        <is>
          <t># T1683 - Generate Content
detection difficult for defenders.
Detection efforts may be focused on related stages of the adversary lifecycle, such as during Initial Access.
## Mitigations
- M1056 Pre-compromise: This technique cannot be easily mitigated with preventive controls since it is based on behaviors performed outside of the scope of enterprise defenses and controls. Efforts should focus on designing defenses that are not reliant on atomic indicators.
## Sub-techniques
- T1683.001 Written Content
- T1683.002 Audio-Visual Content
## Procedure examples
- C0062 Anthropic AI-orchestrated Campaign (campaign): During the [Anthropic AI-orchestrated Campaign](https://attack.mitre.org/campaigns/C0062), the adversary utilized Claude Code to automatically generate comprehensive documentation throughout the phases of the attack, including discovered services, harvested credentials, sensitive data, exploitation techniques, and complete attack progression.</t>
        </is>
      </c>
    </row>
    <row r="54" ht="120" customHeight="1">
      <c r="A54" s="2" t="inlineStr">
        <is>
          <t>p11</t>
        </is>
      </c>
      <c r="B54" s="2" t="n">
        <v>3</v>
      </c>
      <c r="C54" s="2" t="inlineStr">
        <is>
          <t>b616fa4b-7322-5a04-a57b-56babba5fb56</t>
        </is>
      </c>
      <c r="D54" s="2" t="inlineStr">
        <is>
          <t>T1040</t>
        </is>
      </c>
      <c r="E54" s="2" t="inlineStr">
        <is>
          <t>3/11</t>
        </is>
      </c>
      <c r="F54" s="2" t="n">
        <v>0.3333</v>
      </c>
      <c r="G54" s="2" t="inlineStr">
        <is>
          <t># T1040 - Network Sniffing
may perform network captures using [Network Device CLI](https://attack.mitre.org/techniques/T1059/008) commands such as `monitor capture`.
## Detection strategies
- DET0314 Detection Strategy for Network Sniffing Across Platforms
  - AN0875 [Windows]: Detects suspicious execution of network monitoring tools (e.g., Wireshark, tshark, Microsoft Message Analyzer), driver loading indicative of promiscuous mode, or non-admin user privilege escalation to access NICs for capture.
- AN0876 [Linux]: Correlates interface mode changes to promiscuous with execution of sniffing tools like tcpdump, tshark, or custom pcap libraries.
Detects abnormal NIC configurations and unauthorized sniffing from non-root sessions.
- AN0877 [macOS]: Detects enabling of interface sniffing via packet capture tools or AppleScript triggering `tcpdump`.
Leverages Unified Logs and process lineage to identify suspicious use of `pfctl`, `tcpdump`, or `libpcap` libraries.
- AN0878 [IaaS]: Detects creation of traffic mirroring sessions (e.g., AWS VPC Traffic Mirroring, Azure vTAP) that redirect traffic from critical assets to other virtual instances, often followed by file creation or session establishment.</t>
        </is>
      </c>
    </row>
    <row r="55" ht="120" customHeight="1">
      <c r="A55" s="2" t="inlineStr">
        <is>
          <t>p11</t>
        </is>
      </c>
      <c r="B55" s="2" t="n">
        <v>4</v>
      </c>
      <c r="C55" s="2" t="inlineStr">
        <is>
          <t>94ece3fd-e305-5ee5-991d-3a563d13b80a</t>
        </is>
      </c>
      <c r="D55" s="2" t="inlineStr">
        <is>
          <t>T1552.008</t>
        </is>
      </c>
      <c r="E55" s="2" t="inlineStr">
        <is>
          <t>0/4</t>
        </is>
      </c>
      <c r="F55" s="2" t="n">
        <v>0.3333</v>
      </c>
      <c r="G55" s="2" t="inlineStr">
        <is>
          <t># T1552.008 - Chat Messages
Type: sub-technique | Domain: enterprise-attack | ATT&amp;CK version: 19.2
Tactics: credential-access
Platforms: SaaS, Office Suite
Sub-technique of: T1552 Unsecured Credentials
## Description
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t>
        </is>
      </c>
    </row>
    <row r="56" ht="120" customHeight="1">
      <c r="A56" s="2" t="inlineStr">
        <is>
          <t>p11</t>
        </is>
      </c>
      <c r="B56" s="2" t="n">
        <v>5</v>
      </c>
      <c r="C56" s="2" t="inlineStr">
        <is>
          <t>a0d301c9-8f03-56e0-b461-3ea0fd74d96e</t>
        </is>
      </c>
      <c r="D56" s="2" t="inlineStr">
        <is>
          <t>TA0011</t>
        </is>
      </c>
      <c r="E56" s="2" t="inlineStr">
        <is>
          <t>0/1</t>
        </is>
      </c>
      <c r="F56" s="2" t="n">
        <v>0.2714</v>
      </c>
      <c r="G56" s="2" t="inlineStr">
        <is>
          <t># TA0011 - Command and Control
Type: tactic | Domain: enterprise-attack | ATT&amp;CK version: 19.2
Shortname: command-and-control
## Description
The adversary is trying to communicate with compromised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
## Techniques in this tactic
- T1001 Data Obfuscation
- T1008 Fallback Channels
- T1071 Application Layer Protocol
- T1090 Proxy
- T1092 Communication Through Removable Media
- T1095 Non-Application Layer Protocol
- T1102 Web Service
- T1104 Multi-Stage Channels
- T1105 Ingress Tool Transfer
- T1132 Data Encoding
- T1205 Traffic Signaling
- T1219 Remote Access Tools
- T1568 Dynamic Resolution
- T1571 Non-Standard Port
- T1572 Protocol Tunneling
- T1573 Encrypted Channel
- T1659 Content Injection
- T1665 Hide Infrastructure</t>
        </is>
      </c>
    </row>
    <row r="57" ht="120" customHeight="1">
      <c r="A57" s="2" t="inlineStr">
        <is>
          <t>p12</t>
        </is>
      </c>
      <c r="B57" s="2" t="n">
        <v>1</v>
      </c>
      <c r="C57" s="2" t="inlineStr">
        <is>
          <t>9888dea1-f3ec-5e03-b541-8e05afd7c088</t>
        </is>
      </c>
      <c r="D57" s="2" t="inlineStr">
        <is>
          <t>C0026</t>
        </is>
      </c>
      <c r="E57" s="2" t="inlineStr">
        <is>
          <t>0/1</t>
        </is>
      </c>
      <c r="F57" s="2" t="n">
        <v>0.5</v>
      </c>
      <c r="G57" s="2" t="inlineStr">
        <is>
          <t># C0026 - C0026
Type: campaign | Domain: enterprise-attack | ATT&amp;CK version: 19.2
Aliases: C0026 | First seen: 2022-08-01 | Last seen: 2022-09-01
## Description
[C0026](https://attack.mitre.org/campaigns/C0026) was a campaign identified in September 2022 that included the selective distribution of [KOPILUWAK](https://attack.mitre.org/software/S1075) and [QUIETCANARY](https://attack.mitre.org/software/S1076) malware to previous [ANDROMEDA](https://attack.mitre.org/software/S1074) malware victims in Ukraine through re-registered [ANDROMEDA](https://attack.mitre.org/software/S1074) C2 domains. Several tools and tactics used during [C0026](https://attack.mitre.org/campaigns/C0026) were consistent with historic [Turla](https://attack.mitre.org/groups/G0010) operations.
## Techniques used
- T1005 Data from Local System
- T1030 Data Transfer Size Limits
- T1105 Ingress Tool Transfer
- T1560.001 Archive via Utility
- T1568 Dynamic Resolution
- T1583.001 Domains
## Software used
- S0039 Net
- S1074 ANDROMEDA
- S1076 QUIETCANARY
- S0104 netstat
- S1075 KOPILUWAK
- S0099 Arp</t>
        </is>
      </c>
    </row>
    <row r="58" ht="120" customHeight="1">
      <c r="A58" s="2" t="inlineStr">
        <is>
          <t>p12</t>
        </is>
      </c>
      <c r="B58" s="2" t="n">
        <v>2</v>
      </c>
      <c r="C58" s="2" t="inlineStr">
        <is>
          <t>5ee65033-bb02-5e33-a22a-e68d67f875c3</t>
        </is>
      </c>
      <c r="D58" s="2" t="inlineStr">
        <is>
          <t>S9044</t>
        </is>
      </c>
      <c r="E58" s="2" t="inlineStr">
        <is>
          <t>0/2</t>
        </is>
      </c>
      <c r="F58" s="2" t="n">
        <v>0.5</v>
      </c>
      <c r="G58" s="2" t="inlineStr">
        <is>
          <t># S9044 - Kali365
Type: software | Domain: enterprise-attack | ATT&amp;CK version: 19.2
Software type: malware | Aliases: Kali365 | Platforms: IaaS, macOS, Windows
## Description
[Kali365](https://attack.mitre.org/software/S9044) is a Phishing-as-a-Service (PHaaS) kit first observed in April 2026 that generates victim-targeted lures across multiple operating systems to induce users into copying and pasting actor-controlled commands for local execution.  [Kali365](https://attack.mitre.org/software/S9044) incorporates on-demand device code generation and mirrors the copy-paste execution tradecraft associated with ClickFix. Operators have used [Kali365](https://attack.mitre.org/software/S9044) to harvest victims' OAuth tokens and session cookies through adversary-in-the-middle (AiTM) interception, enabling account takeover.  [Kali365](https://attack.mitre.org/software/S9044) PHaaS was first observed in April 2026.  [Kali365](https://attack.mitre.org/software/S9044) has also been affiliated with other branding to include Octopi365 and Freedom365.</t>
        </is>
      </c>
    </row>
    <row r="59" ht="120" customHeight="1">
      <c r="A59" s="2" t="inlineStr">
        <is>
          <t>p12</t>
        </is>
      </c>
      <c r="B59" s="2" t="n">
        <v>3</v>
      </c>
      <c r="C59" s="2" t="inlineStr">
        <is>
          <t>605edb9c-54db-520d-a3ae-5bb981c67366</t>
        </is>
      </c>
      <c r="D59" s="2" t="inlineStr">
        <is>
          <t>S9042</t>
        </is>
      </c>
      <c r="E59" s="2" t="inlineStr">
        <is>
          <t>0/3</t>
        </is>
      </c>
      <c r="F59" s="2" t="n">
        <v>0.3333</v>
      </c>
      <c r="G59" s="2" t="inlineStr">
        <is>
          <t># S9042 - CanisterWorm
Type: software | Domain: enterprise-attack | ATT&amp;CK version: 19.2
Software type: malware | Aliases: CanisterWorm | Platforms: Containers, Linux
## Description
[CanisterWorm](https://attack.mitre.org/software/S9042) is a self-propagating malware that has been used by [TeamPCP](https://attack.mitre.org/groups/G1056) in credential harvesting and software supply chain campaigns since at least 2026. [CanisterWorm](https://attack.mitre.org/software/S9042) has used npm credentials to infect software packages and propagate across developer ecosystems. [CanisterWorm](https://attack.mitre.org/software/S9042) has a targeted wiper component and can use decentralized C2 infrastructure implemented via an Internet Computer Protocol (ICP) blockchain canister.</t>
        </is>
      </c>
    </row>
    <row r="60" ht="120" customHeight="1">
      <c r="A60" s="2" t="inlineStr">
        <is>
          <t>p12</t>
        </is>
      </c>
      <c r="B60" s="2" t="n">
        <v>4</v>
      </c>
      <c r="C60" s="2" t="inlineStr">
        <is>
          <t>b431edc2-e2fb-5bff-8750-f61ceb269ea8</t>
        </is>
      </c>
      <c r="D60" s="2" t="inlineStr">
        <is>
          <t>T1608.004</t>
        </is>
      </c>
      <c r="E60" s="2" t="inlineStr">
        <is>
          <t>0/8</t>
        </is>
      </c>
      <c r="F60" s="2" t="n">
        <v>0.3333</v>
      </c>
      <c r="G60" s="2" t="inlineStr">
        <is>
          <t># T1608.004 - Drive-by Target
Type: sub-technique | Domain: enterprise-attack | ATT&amp;CK version: 19.2
Tactics: resource-development
Platforms: PRE
Sub-technique of: T1608 Stage Capabilities</t>
        </is>
      </c>
    </row>
    <row r="61" ht="120" customHeight="1">
      <c r="A61" s="2" t="inlineStr">
        <is>
          <t>p12</t>
        </is>
      </c>
      <c r="B61" s="2" t="n">
        <v>5</v>
      </c>
      <c r="C61" s="2" t="inlineStr">
        <is>
          <t>896b042c-adbc-5362-a6f3-8ed624e1d88b</t>
        </is>
      </c>
      <c r="D61" s="2" t="inlineStr">
        <is>
          <t>S9041</t>
        </is>
      </c>
      <c r="E61" s="2" t="inlineStr">
        <is>
          <t>0/3</t>
        </is>
      </c>
      <c r="F61" s="2" t="n">
        <v>0.25</v>
      </c>
      <c r="G61" s="2" t="inlineStr">
        <is>
          <t># S9041 - TeamPCP Cloud Stealer
Type: software | Domain: enterprise-attack | ATT&amp;CK version: 19.2
Software type: malware | Aliases: TeamPCP Cloud Stealer, SANDCLOCK | Platforms: Containers, Linux, macOS, SaaS, Windows
## Description
The [TeamPCP Cloud Stealer](https://attack.mitre.org/software/S9041) is a comprehensive filesystem credential stealer that can harvest, encrypt, and exfiltrate credentials from over 50 sensitive file paths across CI/CD, cloud, developer tooling, and container environments. The [TeamPCP Cloud Stealer](https://attack.mitre.org/software/S9041) was the primary payload used by [TeamPCP](https://attack.mitre.org/groups/G1056) in March 2026 during early stages of a cascading supply chain campaign targeting CI/CD workflows.</t>
        </is>
      </c>
    </row>
    <row r="62" ht="120" customHeight="1">
      <c r="A62" s="2" t="inlineStr">
        <is>
          <t>p13</t>
        </is>
      </c>
      <c r="B62" s="2" t="n">
        <v>1</v>
      </c>
      <c r="C62" s="2" t="inlineStr">
        <is>
          <t>ee4e36d8-7c86-5b85-8aeb-140dce27f98e</t>
        </is>
      </c>
      <c r="D62" s="2" t="inlineStr">
        <is>
          <t>M1031</t>
        </is>
      </c>
      <c r="E62" s="2" t="inlineStr">
        <is>
          <t>1/3</t>
        </is>
      </c>
      <c r="F62" s="2" t="n">
        <v>0.5</v>
      </c>
      <c r="G62" s="2" t="inlineStr">
        <is>
          <t># M1031 - Network Intrusion Prevention
| Domain: enterprise-attack | ATT&amp;CK version: 19.2
## Description
Use intrusion detection signatures to block traffic at network boundaries.
## Techniques mitigated
- T1001 Data Obfuscation
- T1001.001 Junk Data
- T1001.002 Steganography
- T1001.003 Protocol or Service Impersonation
- T1008 Fallback Channels
- T1029 Scheduled Transfer
- T1030 Data Transfer Size Limits
- T1041 Exfiltration Over C2 Channel
- T1046 Network Service Discovery
- T1048 Exfiltration Over Alternative Protocol
- T1048.001 Exfiltration Over Symmetric Encrypted Non-C2 Protocol
- T1048.002 Exfiltration Over Asymmetric Encrypted Non-C2 Protocol
- T1048.003 Exfiltration Over Unencrypted Non-C2 Protocol
- T1071 Application Layer Protocol
- T1071.001 Web Protocols
- T1071.002 File Transfer Protocols
- T1071.003 Mail Protocols
- T1071.004 DNS
- T1071.005 Publish/Subscribe Protocols
- T1090 Proxy
- T1090.001 Internal Proxy
- T1090.002 External Proxy
- T1095 Non-Application Layer Protocol
- T1102 Web Service
- T1102.001 Dead Drop Resolver
- T1102.002 Bidirectional Communication
- T1102.003 One-Way Communication
- T1104 Multi-Stage Channels
- T1105 Ingress Tool Transfer
- T1132 Data Encoding
- T1132.001 Standard Encoding
- T1132.002 Non-Standard Encoding
- T1204 User Execution
- T1204.001 Malicious Link
- T1204.003 Malicious Image
- T1204.004 Malicious Copy</t>
        </is>
      </c>
    </row>
    <row r="63" ht="120" customHeight="1">
      <c r="A63" s="2" t="inlineStr">
        <is>
          <t>p13</t>
        </is>
      </c>
      <c r="B63" s="2" t="n">
        <v>2</v>
      </c>
      <c r="C63" s="2" t="inlineStr">
        <is>
          <t>70553fe9-95e9-503b-b5be-5d50bb3b406e</t>
        </is>
      </c>
      <c r="D63" s="2" t="inlineStr">
        <is>
          <t>T1555.006</t>
        </is>
      </c>
      <c r="E63" s="2" t="inlineStr">
        <is>
          <t>0/5</t>
        </is>
      </c>
      <c r="F63" s="2" t="n">
        <v>0.5</v>
      </c>
      <c r="G63" s="2" t="inlineStr">
        <is>
          <t># T1555.006 - Cloud Secrets Management Stores
Type: sub-technique | Domain: enterprise-attack | ATT&amp;CK version: 19.2
Tactics: credential-access
Platforms: IaaS
Sub-technique of: T1555 Credentials from Password Stores
## Description
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t>
        </is>
      </c>
    </row>
    <row r="64" ht="120" customHeight="1">
      <c r="A64" s="2" t="inlineStr">
        <is>
          <t>p13</t>
        </is>
      </c>
      <c r="B64" s="2" t="n">
        <v>3</v>
      </c>
      <c r="C64" s="2" t="inlineStr">
        <is>
          <t>952ba9e9-02f1-5a73-9728-d18d3b697266</t>
        </is>
      </c>
      <c r="D64" s="2" t="inlineStr">
        <is>
          <t>T1059.010</t>
        </is>
      </c>
      <c r="E64" s="2" t="inlineStr">
        <is>
          <t>0/3</t>
        </is>
      </c>
      <c r="F64" s="2" t="n">
        <v>0.3833</v>
      </c>
      <c r="G64" s="2" t="inlineStr">
        <is>
          <t># T1059.010 - AutoHotKey &amp; AutoIT
Type: sub-technique | Domain: enterprise-attack | ATT&amp;CK version: 19.2
Tactics: execution
Platforms: Windows
Sub-technique of: T1059 Command and Scripting Interpreter
## Description
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
These scripts may also be compiled into self-contained executable payloads (`.exe`).</t>
        </is>
      </c>
    </row>
    <row r="65" ht="120" customHeight="1">
      <c r="A65" s="2" t="inlineStr">
        <is>
          <t>p13</t>
        </is>
      </c>
      <c r="B65" s="2" t="n">
        <v>4</v>
      </c>
      <c r="C65" s="2" t="inlineStr">
        <is>
          <t>f7d9b154-5446-578c-b6ef-6f5413298f0e</t>
        </is>
      </c>
      <c r="D65" s="2" t="inlineStr">
        <is>
          <t>DC0095</t>
        </is>
      </c>
      <c r="E65" s="2" t="inlineStr">
        <is>
          <t>0/1</t>
        </is>
      </c>
      <c r="F65" s="2" t="n">
        <v>0.3333</v>
      </c>
      <c r="G65" s="2" t="inlineStr">
        <is>
          <t># DC0095 - Volume Enumeration
Type: data-component | Domain: enterprise-attack | ATT&amp;CK version: 19.2
Data source: n/a | Platforms: n/a
## Description
An extracted list of available volumes within a cloud environment (ex: AWS describe-volumes)</t>
        </is>
      </c>
    </row>
    <row r="66" ht="120" customHeight="1">
      <c r="A66" s="2" t="inlineStr">
        <is>
          <t>p13</t>
        </is>
      </c>
      <c r="B66" s="2" t="n">
        <v>5</v>
      </c>
      <c r="C66" s="2" t="inlineStr">
        <is>
          <t>60d08f9a-0633-524e-8298-fe7bc19f2408</t>
        </is>
      </c>
      <c r="D66" s="2" t="inlineStr">
        <is>
          <t>T1059.009</t>
        </is>
      </c>
      <c r="E66" s="2" t="inlineStr">
        <is>
          <t>0/4</t>
        </is>
      </c>
      <c r="F66" s="2" t="n">
        <v>0.2917</v>
      </c>
      <c r="G66" s="2" t="inlineStr">
        <is>
          <t># T1059.009 - Cloud API
Type: sub-technique | Domain: enterprise-attack | ATT&amp;CK version: 19.2
Tactics: execution
Platforms: IaaS, Identity Provider, Office Suite, SaaS
Sub-technique of: T1059 Command and Scripting Interpreter
## Description
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t>
        </is>
      </c>
    </row>
  </sheetData>
  <sheetProtection selectLockedCells="0" selectUnlockedCells="0" sheet="1" objects="0" insertRows="1" insertHyperlinks="1" autoFilter="0" scenarios="0" formatColumns="0" deleteColumns="1" insertColumns="1" pivotTables="1" deleteRows="1" formatCells="1"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58" customWidth="1" min="1" max="1"/>
    <col width="16" customWidth="1" min="2" max="2"/>
    <col width="16" customWidth="1" min="3" max="3"/>
  </cols>
  <sheetData>
    <row r="1">
      <c r="A1" s="7" t="inlineStr">
        <is>
          <t>Lectura (protocolo v2 §5)</t>
        </is>
      </c>
      <c r="B1" s="7" t="inlineStr">
        <is>
          <t>RAG</t>
        </is>
      </c>
      <c r="C1" s="7" t="inlineStr">
        <is>
          <t>LLM</t>
        </is>
      </c>
    </row>
    <row r="2">
      <c r="A2" s="8" t="inlineStr">
        <is>
          <t>Respuestas calificadas</t>
        </is>
      </c>
      <c r="B2" s="8">
        <f>COUNTIFS(Respuestas!$B$2:$B$200,"rag",Respuestas!$L$2:$L$200,"&gt;0")</f>
        <v/>
      </c>
      <c r="C2" s="8">
        <f>COUNTIFS(Respuestas!$B$2:$B$200,"llm",Respuestas!$L$2:$L$200,"&gt;0")</f>
        <v/>
      </c>
    </row>
    <row r="3">
      <c r="A3" s="8" t="inlineStr">
        <is>
          <t>A. Hechos cubiertos ÷ hechos (respondibles)</t>
        </is>
      </c>
      <c r="B3" s="9">
        <f>IF(SUMIFS(Respuestas!$M$2:$M$200,Respuestas!$B$2:$B$200,"rag",Respuestas!$L$2:$L$200,"&gt;0")=0,"-",SUMIFS(Respuestas!$N$2:$N$200,Respuestas!$B$2:$B$200,"rag",Respuestas!$L$2:$L$200,"&gt;0")/SUMIFS(Respuestas!$M$2:$M$200,Respuestas!$B$2:$B$200,"rag",Respuestas!$L$2:$L$200,"&gt;0"))</f>
        <v/>
      </c>
      <c r="C3" s="9">
        <f>IF(SUMIFS(Respuestas!$M$2:$M$200,Respuestas!$B$2:$B$200,"llm",Respuestas!$L$2:$L$200,"&gt;0")=0,"-",SUMIFS(Respuestas!$N$2:$N$200,Respuestas!$B$2:$B$200,"llm",Respuestas!$L$2:$L$200,"&gt;0")/SUMIFS(Respuestas!$M$2:$M$200,Respuestas!$B$2:$B$200,"llm",Respuestas!$L$2:$L$200,"&gt;0"))</f>
        <v/>
      </c>
    </row>
    <row r="4">
      <c r="A4" s="8" t="inlineStr">
        <is>
          <t>A. Afirmaciones INCORRECTA ÷ afirmaciones de hecho</t>
        </is>
      </c>
      <c r="B4" s="9">
        <f>IF(SUMIFS(Respuestas!$W$2:$W$200,Respuestas!$B$2:$B$200,"rag",Respuestas!$L$2:$L$200,"&gt;0")=0,"-",SUMIFS(Respuestas!$P$2:$P$200,Respuestas!$B$2:$B$200,"rag",Respuestas!$L$2:$L$200,"&gt;0")/SUMIFS(Respuestas!$W$2:$W$200,Respuestas!$B$2:$B$200,"rag",Respuestas!$L$2:$L$200,"&gt;0"))</f>
        <v/>
      </c>
      <c r="C4" s="9">
        <f>IF(SUMIFS(Respuestas!$W$2:$W$200,Respuestas!$B$2:$B$200,"llm",Respuestas!$L$2:$L$200,"&gt;0")=0,"-",SUMIFS(Respuestas!$P$2:$P$200,Respuestas!$B$2:$B$200,"llm",Respuestas!$L$2:$L$200,"&gt;0")/SUMIFS(Respuestas!$W$2:$W$200,Respuestas!$B$2:$B$200,"llm",Respuestas!$L$2:$L$200,"&gt;0"))</f>
        <v/>
      </c>
    </row>
    <row r="5">
      <c r="A5" s="8" t="inlineStr">
        <is>
          <t>B. Respuestas con abstención errónea (ABS-E)</t>
        </is>
      </c>
      <c r="B5" s="8">
        <f>COUNTIFS(Respuestas!$B$2:$B$200,"rag",Respuestas!$Q$2:$Q$200,"&gt;0")</f>
        <v/>
      </c>
      <c r="C5" s="8">
        <f>COUNTIFS(Respuestas!$B$2:$B$200,"llm",Respuestas!$Q$2:$Q$200,"&gt;0")</f>
        <v/>
      </c>
    </row>
    <row r="6">
      <c r="A6" s="8" t="inlineStr">
        <is>
          <t>B. Respuestas con respuesta sin base (NO-ABS)</t>
        </is>
      </c>
      <c r="B6" s="8">
        <f>COUNTIFS(Respuestas!$B$2:$B$200,"rag",Respuestas!$R$2:$R$200,"&gt;0")</f>
        <v/>
      </c>
      <c r="C6" s="8">
        <f>COUNTIFS(Respuestas!$B$2:$B$200,"llm",Respuestas!$R$2:$R$200,"&gt;0")</f>
        <v/>
      </c>
    </row>
    <row r="7">
      <c r="A7" s="8" t="inlineStr">
        <is>
          <t>C. Precisión de citas (sostenidas ÷ afirmaciones de hecho)</t>
        </is>
      </c>
      <c r="B7" s="9">
        <f>IF(SUMIFS(Respuestas!$W$2:$W$200,Respuestas!$B$2:$B$200,"rag",Respuestas!$L$2:$L$200,"&gt;0")=0,"-",SUMIFS(Respuestas!$X$2:$X$200,Respuestas!$B$2:$B$200,"rag",Respuestas!$L$2:$L$200,"&gt;0")/SUMIFS(Respuestas!$W$2:$W$200,Respuestas!$B$2:$B$200,"rag",Respuestas!$L$2:$L$200,"&gt;0"))</f>
        <v/>
      </c>
      <c r="C7" s="9">
        <f>"N/A"</f>
        <v/>
      </c>
    </row>
    <row r="8">
      <c r="A8" s="8" t="inlineStr">
        <is>
          <t>C. Cobertura de citas (hechos cubiertos y citados ÷ hechos)</t>
        </is>
      </c>
      <c r="B8" s="9">
        <f>IF(SUMIFS(Respuestas!$M$2:$M$200,Respuestas!$B$2:$B$200,"rag",Respuestas!$L$2:$L$200,"&gt;0")=0,"-",SUM(Hechos!$H$2:$H$201)/SUMIFS(Respuestas!$M$2:$M$200,Respuestas!$B$2:$B$200,"rag",Respuestas!$L$2:$L$200,"&gt;0"))</f>
        <v/>
      </c>
      <c r="C8" s="9">
        <f>"N/A"</f>
        <v/>
      </c>
    </row>
    <row r="9">
      <c r="A9" s="8" t="inlineStr">
        <is>
          <t>C. Afirmaciones SIN-RESPALDO</t>
        </is>
      </c>
      <c r="B9" s="8">
        <f>SUMIFS(Respuestas!$T$2:$T$200,Respuestas!$B$2:$B$200,"rag")</f>
        <v/>
      </c>
      <c r="C9" s="8">
        <f>"N/A"</f>
        <v/>
      </c>
    </row>
    <row r="10">
      <c r="A10" s="8" t="inlineStr">
        <is>
          <t>C. Afirmaciones CITA-X</t>
        </is>
      </c>
      <c r="B10" s="8">
        <f>SUMIFS(Respuestas!$U$2:$U$200,Respuestas!$B$2:$B$200,"rag")</f>
        <v/>
      </c>
      <c r="C10" s="8">
        <f>"N/A"</f>
        <v/>
      </c>
    </row>
    <row r="11">
      <c r="A11" s="8" t="inlineStr">
        <is>
          <t>C. Afirmaciones SIN-CITA</t>
        </is>
      </c>
      <c r="B11" s="8">
        <f>SUMIFS(Respuestas!$V$2:$V$200,Respuestas!$B$2:$B$200,"rag")</f>
        <v/>
      </c>
      <c r="C11" s="8">
        <f>"N/A"</f>
        <v/>
      </c>
    </row>
    <row r="12">
      <c r="A12" s="8" t="inlineStr">
        <is>
          <t>D. Afirmaciones FUERA_REF</t>
        </is>
      </c>
      <c r="B12" s="8">
        <f>SUMIFS(Respuestas!$S$2:$S$200,Respuestas!$B$2:$B$200,"rag")</f>
        <v/>
      </c>
      <c r="C12" s="8">
        <f>SUMIFS(Respuestas!$S$2:$S$200,Respuestas!$B$2:$B$200,"llm")</f>
        <v/>
      </c>
    </row>
    <row r="13">
      <c r="A13" s="8" t="inlineStr">
        <is>
          <t>N2 promedio (descriptivo, 0-2)</t>
        </is>
      </c>
      <c r="B13" s="9">
        <f>IFERROR(AVERAGEIFS(Respuestas!$Y$2:$Y$200,Respuestas!$B$2:$B$200,"rag"),"-")</f>
        <v/>
      </c>
      <c r="C13" s="9">
        <f>IFERROR(AVERAGEIFS(Respuestas!$Y$2:$Y$200,Respuestas!$B$2:$B$200,"llm"),"-")</f>
        <v/>
      </c>
    </row>
    <row r="14">
      <c r="A14" s="8" t="inlineStr">
        <is>
          <t>N3 promedio (descriptivo, 0-2; excluye N/A)</t>
        </is>
      </c>
      <c r="B14" s="9">
        <f>IFERROR(AVERAGEIFS(Respuestas!$Z$2:$Z$200,Respuestas!$B$2:$B$200,"rag"),"-")</f>
        <v/>
      </c>
      <c r="C14" s="9">
        <f>"N/A"</f>
        <v/>
      </c>
    </row>
    <row r="15">
      <c r="A15" s="8" t="inlineStr">
        <is>
          <t>Alerta CRITICA (respuestas)</t>
        </is>
      </c>
      <c r="B15" s="8">
        <f>COUNTIFS(Respuestas!$B$2:$B$200,"rag",Respuestas!$AA$2:$AA$200,"*CRITICA*")</f>
        <v/>
      </c>
      <c r="C15" s="8">
        <f>COUNTIFS(Respuestas!$B$2:$B$200,"llm",Respuestas!$AA$2:$AA$200,"*CRITICA*")</f>
        <v/>
      </c>
    </row>
    <row r="16">
      <c r="A16" s="8" t="inlineStr">
        <is>
          <t>Alerta RESPALDO (respuestas)</t>
        </is>
      </c>
      <c r="B16" s="8">
        <f>COUNTIFS(Respuestas!$B$2:$B$200,"rag",Respuestas!$AA$2:$AA$200,"*RESPALDO*")</f>
        <v/>
      </c>
      <c r="C16" s="8">
        <f>COUNTIFS(Respuestas!$B$2:$B$200,"llm",Respuestas!$AA$2:$AA$200,"*RESPALDO*")</f>
        <v/>
      </c>
    </row>
    <row r="17">
      <c r="A17" s="8" t="inlineStr">
        <is>
          <t>Alerta TRUNC (respuestas)</t>
        </is>
      </c>
      <c r="B17" s="8">
        <f>COUNTIFS(Respuestas!$B$2:$B$200,"rag",Respuestas!$AA$2:$AA$200,"*TRUNC*")</f>
        <v/>
      </c>
      <c r="C17" s="8">
        <f>COUNTIFS(Respuestas!$B$2:$B$200,"llm",Respuestas!$AA$2:$AA$200,"*TRUNC*")</f>
        <v/>
      </c>
    </row>
    <row r="19" ht="45" customHeight="1">
      <c r="A19" s="2" t="inlineStr">
        <is>
          <t>Las lecturas A-D y las alertas se calculan solas desde la hoja Afirmaciones. Con pocas respuestas son conteos descriptivos, sin pruebas de significancia.</t>
        </is>
      </c>
    </row>
  </sheetData>
  <sheetProtection selectLockedCells="0" selectUnlockedCells="0" sheet="1" objects="0" insertRows="1" insertHyperlinks="1" autoFilter="0" scenarios="0" formatColumns="0" deleteColumns="1" insertColumns="1" pivotTables="1" deleteRows="1" formatCells="1"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80" customWidth="1" min="2" max="2"/>
  </cols>
  <sheetData>
    <row r="1">
      <c r="A1" s="8" t="inlineStr">
        <is>
          <t>rúbrica</t>
        </is>
      </c>
      <c r="B1" s="8" t="inlineStr">
        <is>
          <t>protocolo v2 (borrador) - eval/pilot/protocol_v2.md</t>
        </is>
      </c>
    </row>
    <row r="2">
      <c r="A2" s="8" t="inlineStr">
        <is>
          <t>plantilla creada</t>
        </is>
      </c>
      <c r="B2" s="8" t="inlineStr">
        <is>
          <t>2026-10-12T12:45:07</t>
        </is>
      </c>
    </row>
    <row r="3">
      <c r="A3" s="8" t="inlineStr">
        <is>
          <t>corrida de origen</t>
        </is>
      </c>
      <c r="B3" s="8" t="inlineStr">
        <is>
          <t>20260922_064359</t>
        </is>
      </c>
    </row>
    <row r="4">
      <c r="A4" s="10" t="inlineStr">
        <is>
          <t>evaluador</t>
        </is>
      </c>
      <c r="B4" s="11" t="inlineStr"/>
    </row>
    <row r="5">
      <c r="A5" s="10" t="inlineStr">
        <is>
          <t>fecha de calificación</t>
        </is>
      </c>
      <c r="B5" s="11" t="inlineStr"/>
    </row>
    <row r="6">
      <c r="A6" s="10" t="inlineStr"/>
      <c r="B6" s="8" t="inlineStr"/>
    </row>
    <row r="7">
      <c r="A7" s="10" t="inlineStr">
        <is>
          <t>CORRIDA (config.json)</t>
        </is>
      </c>
      <c r="B7" s="8" t="inlineStr"/>
    </row>
    <row r="8">
      <c r="A8" s="8" t="inlineStr">
        <is>
          <t>api</t>
        </is>
      </c>
      <c r="B8" s="8" t="inlineStr">
        <is>
          <t>http://localhost:8000</t>
        </is>
      </c>
    </row>
    <row r="9">
      <c r="A9" s="8" t="inlineStr">
        <is>
          <t>model</t>
        </is>
      </c>
      <c r="B9" s="8" t="inlineStr">
        <is>
          <t>qwen3:4b-instruct</t>
        </is>
      </c>
    </row>
    <row r="10">
      <c r="A10" s="8" t="inlineStr">
        <is>
          <t>embed_model</t>
        </is>
      </c>
      <c r="B10" s="8" t="inlineStr">
        <is>
          <t>granite-embedding:30m</t>
        </is>
      </c>
    </row>
    <row r="11">
      <c r="A11" s="8" t="inlineStr">
        <is>
          <t>retrieval</t>
        </is>
      </c>
      <c r="B11" s="8" t="inlineStr">
        <is>
          <t>hybrid</t>
        </is>
      </c>
    </row>
    <row r="12">
      <c r="A12" s="8" t="inlineStr">
        <is>
          <t>top_k</t>
        </is>
      </c>
      <c r="B12" s="8" t="inlineStr">
        <is>
          <t>5</t>
        </is>
      </c>
    </row>
    <row r="13">
      <c r="A13" s="8" t="inlineStr">
        <is>
          <t>temperature</t>
        </is>
      </c>
      <c r="B13" s="8" t="inlineStr">
        <is>
          <t>0.0</t>
        </is>
      </c>
    </row>
    <row r="14">
      <c r="A14" s="8" t="inlineStr">
        <is>
          <t>think</t>
        </is>
      </c>
      <c r="B14" s="8" t="inlineStr">
        <is>
          <t>False</t>
        </is>
      </c>
    </row>
    <row r="15">
      <c r="A15" s="8" t="inlineStr">
        <is>
          <t>modes</t>
        </is>
      </c>
      <c r="B15" s="8" t="inlineStr">
        <is>
          <t>['rag', 'llm']</t>
        </is>
      </c>
    </row>
    <row r="16">
      <c r="A16" s="8" t="inlineStr">
        <is>
          <t>collection_points</t>
        </is>
      </c>
      <c r="B16" s="8" t="inlineStr">
        <is>
          <t>7241</t>
        </is>
      </c>
    </row>
    <row r="17">
      <c r="A17" s="8" t="inlineStr">
        <is>
          <t>started_at</t>
        </is>
      </c>
      <c r="B17" s="8" t="inlineStr">
        <is>
          <t>2026-09-22T06:43:59</t>
        </is>
      </c>
    </row>
    <row r="18">
      <c r="A18" s="10" t="inlineStr"/>
      <c r="B18" s="8" t="inlineStr"/>
    </row>
    <row r="19">
      <c r="A19" s="10" t="inlineStr">
        <is>
          <t>CORPUS (data/manifest.json)</t>
        </is>
      </c>
      <c r="B19" s="8" t="inlineStr"/>
    </row>
    <row r="20">
      <c r="A20" s="8" t="inlineStr">
        <is>
          <t>created_at</t>
        </is>
      </c>
      <c r="B20" s="8" t="inlineStr">
        <is>
          <t>2026-09-12T16:14:31.631478+00:00</t>
        </is>
      </c>
    </row>
    <row r="21">
      <c r="A21" s="8" t="inlineStr">
        <is>
          <t>collection</t>
        </is>
      </c>
      <c r="B21" s="8" t="inlineStr">
        <is>
          <t>mitre_attack</t>
        </is>
      </c>
    </row>
    <row r="22">
      <c r="A22" s="8" t="inlineStr">
        <is>
          <t>embed_model</t>
        </is>
      </c>
      <c r="B22" s="8" t="inlineStr">
        <is>
          <t>granite-embedding:30m</t>
        </is>
      </c>
    </row>
    <row r="23">
      <c r="A23" s="8" t="inlineStr">
        <is>
          <t>embed_dim</t>
        </is>
      </c>
      <c r="B23" s="8" t="inlineStr">
        <is>
          <t>384</t>
        </is>
      </c>
    </row>
    <row r="24">
      <c r="A24" s="10" t="inlineStr">
        <is>
          <t>doc_prefix</t>
        </is>
      </c>
      <c r="B24" s="8" t="inlineStr"/>
    </row>
    <row r="25">
      <c r="A25" s="10" t="inlineStr">
        <is>
          <t>query_prefix</t>
        </is>
      </c>
      <c r="B25" s="8" t="inlineStr"/>
    </row>
    <row r="26">
      <c r="A26" s="8" t="inlineStr">
        <is>
          <t>chunk_size</t>
        </is>
      </c>
      <c r="B26" s="8" t="inlineStr">
        <is>
          <t>1200</t>
        </is>
      </c>
    </row>
    <row r="27">
      <c r="A27" s="8" t="inlineStr">
        <is>
          <t>chunk_overlap</t>
        </is>
      </c>
      <c r="B27" s="8" t="inlineStr">
        <is>
          <t>150</t>
        </is>
      </c>
    </row>
    <row r="28">
      <c r="A28" s="8" t="inlineStr">
        <is>
          <t>domains</t>
        </is>
      </c>
      <c r="B28" s="8" t="inlineStr">
        <is>
          <t>['enterprise-attack']</t>
        </is>
      </c>
    </row>
    <row r="29">
      <c r="A29" s="8" t="inlineStr">
        <is>
          <t>attack_versions</t>
        </is>
      </c>
      <c r="B29" s="8" t="inlineStr">
        <is>
          <t>{'enterprise-attack': '19.2'}</t>
        </is>
      </c>
    </row>
    <row r="30">
      <c r="A30" s="8" t="inlineStr">
        <is>
          <t>n_documents</t>
        </is>
      </c>
      <c r="B30" s="8" t="inlineStr">
        <is>
          <t>2616</t>
        </is>
      </c>
    </row>
    <row r="31">
      <c r="A31" s="8" t="inlineStr">
        <is>
          <t>n_chunks</t>
        </is>
      </c>
      <c r="B31" s="8" t="inlineStr">
        <is>
          <t>7241</t>
        </is>
      </c>
    </row>
    <row r="32">
      <c r="A32" s="8" t="inlineStr">
        <is>
          <t>points_count</t>
        </is>
      </c>
      <c r="B32" s="8" t="inlineStr">
        <is>
          <t>7241</t>
        </is>
      </c>
    </row>
    <row r="33">
      <c r="A33" s="8" t="inlineStr">
        <is>
          <t>elapsed_s</t>
        </is>
      </c>
      <c r="B33" s="8" t="inlineStr">
        <is>
          <t>1779.6</t>
        </is>
      </c>
    </row>
  </sheetData>
  <sheetProtection selectLockedCells="0" selectUnlockedCells="0" sheet="1" objects="0" insertRows="1" insertHyperlinks="1" autoFilter="0" scenarios="0" formatColumns="0" deleteColumns="1" insertColumns="1" pivotTables="1" deleteRows="1" formatCells="1" formatRows="0" sort="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2026-10-12T17:45:07Z</dcterms:created>
  <dcterms:modified xmlns:dcterms="http://purl.org/dc/terms/" xmlns:xsi="http://www.w3.org/2001/XMLSchema-instance" xsi:type="dcterms:W3CDTF">2026-10-12T17:45:07Z</dcterms:modified>
</cp:coreProperties>
</file>