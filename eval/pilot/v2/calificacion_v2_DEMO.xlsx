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DS_USFQ\CAPSTON\RAG\eval\pilot\v2\"/>
    </mc:Choice>
  </mc:AlternateContent>
  <xr:revisionPtr revIDLastSave="0" documentId="13_ncr:1_{247E06BF-1A09-4CAF-99AC-AC344F392BDC}" xr6:coauthVersionLast="47" xr6:coauthVersionMax="47" xr10:uidLastSave="{00000000-0000-0000-0000-000000000000}"/>
  <bookViews>
    <workbookView xWindow="-28920" yWindow="-120" windowWidth="29040" windowHeight="16440" activeTab="2" xr2:uid="{00000000-000D-0000-FFFF-FFFF00000000}"/>
  </bookViews>
  <sheets>
    <sheet name="Guia" sheetId="1" r:id="rId1"/>
    <sheet name="Respuestas" sheetId="2" r:id="rId2"/>
    <sheet name="Afirmaciones" sheetId="3" r:id="rId3"/>
    <sheet name="Hechos" sheetId="4" r:id="rId4"/>
    <sheet name="Contextos" sheetId="5" r:id="rId5"/>
    <sheet name="Resumen" sheetId="6" r:id="rId6"/>
    <sheet name="Config"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4" i="6" l="1"/>
  <c r="C11" i="6"/>
  <c r="C10" i="6"/>
  <c r="C9" i="6"/>
  <c r="C8" i="6"/>
  <c r="C7" i="6"/>
  <c r="H34" i="4"/>
  <c r="G34" i="4"/>
  <c r="F34" i="4"/>
  <c r="H33" i="4"/>
  <c r="G33" i="4"/>
  <c r="F33" i="4"/>
  <c r="H32" i="4"/>
  <c r="G32" i="4"/>
  <c r="F32" i="4"/>
  <c r="H31" i="4"/>
  <c r="G31" i="4"/>
  <c r="F31" i="4"/>
  <c r="H30" i="4"/>
  <c r="G30" i="4"/>
  <c r="F30" i="4"/>
  <c r="H29" i="4"/>
  <c r="G29" i="4"/>
  <c r="F29" i="4"/>
  <c r="H28" i="4"/>
  <c r="G28" i="4"/>
  <c r="F28" i="4"/>
  <c r="H27" i="4"/>
  <c r="G27" i="4"/>
  <c r="F27" i="4"/>
  <c r="H26" i="4"/>
  <c r="G26" i="4"/>
  <c r="N17" i="2" s="1"/>
  <c r="O17" i="2" s="1"/>
  <c r="F26" i="4"/>
  <c r="H25" i="4"/>
  <c r="G25" i="4"/>
  <c r="F25" i="4"/>
  <c r="H24" i="4"/>
  <c r="G24" i="4"/>
  <c r="F24" i="4"/>
  <c r="N14" i="2" s="1"/>
  <c r="H23" i="4"/>
  <c r="G23" i="4"/>
  <c r="F23" i="4"/>
  <c r="H22" i="4"/>
  <c r="G22" i="4"/>
  <c r="F22" i="4"/>
  <c r="H21" i="4"/>
  <c r="G21" i="4"/>
  <c r="N13" i="2" s="1"/>
  <c r="O13" i="2" s="1"/>
  <c r="F21" i="4"/>
  <c r="N12" i="2" s="1"/>
  <c r="O12" i="2" s="1"/>
  <c r="H20" i="4"/>
  <c r="G20" i="4"/>
  <c r="F20" i="4"/>
  <c r="H19" i="4"/>
  <c r="G19" i="4"/>
  <c r="F19" i="4"/>
  <c r="H18" i="4"/>
  <c r="G18" i="4"/>
  <c r="F18" i="4"/>
  <c r="H17" i="4"/>
  <c r="G17" i="4"/>
  <c r="F17" i="4"/>
  <c r="H16" i="4"/>
  <c r="G16" i="4"/>
  <c r="F16" i="4"/>
  <c r="H15" i="4"/>
  <c r="G15" i="4"/>
  <c r="F15" i="4"/>
  <c r="H14" i="4"/>
  <c r="G14" i="4"/>
  <c r="F14" i="4"/>
  <c r="H13" i="4"/>
  <c r="G13" i="4"/>
  <c r="N7" i="2" s="1"/>
  <c r="O7" i="2" s="1"/>
  <c r="F13" i="4"/>
  <c r="N6" i="2" s="1"/>
  <c r="H12" i="4"/>
  <c r="G12" i="4"/>
  <c r="F12" i="4"/>
  <c r="H11" i="4"/>
  <c r="G11" i="4"/>
  <c r="F11" i="4"/>
  <c r="H10" i="4"/>
  <c r="G10" i="4"/>
  <c r="N5" i="2" s="1"/>
  <c r="O5" i="2" s="1"/>
  <c r="F10" i="4"/>
  <c r="H9" i="4"/>
  <c r="G9" i="4"/>
  <c r="F9" i="4"/>
  <c r="H8" i="4"/>
  <c r="G8" i="4"/>
  <c r="F8" i="4"/>
  <c r="H7" i="4"/>
  <c r="G7" i="4"/>
  <c r="F7" i="4"/>
  <c r="H6" i="4"/>
  <c r="G6" i="4"/>
  <c r="F6" i="4"/>
  <c r="H5" i="4"/>
  <c r="G5" i="4"/>
  <c r="F5" i="4"/>
  <c r="H4" i="4"/>
  <c r="G4" i="4"/>
  <c r="F4" i="4"/>
  <c r="H3" i="4"/>
  <c r="G3" i="4"/>
  <c r="F3" i="4"/>
  <c r="H2" i="4"/>
  <c r="G2" i="4"/>
  <c r="N3" i="2" s="1"/>
  <c r="O3" i="2" s="1"/>
  <c r="F2" i="4"/>
  <c r="N401" i="3"/>
  <c r="M401" i="3"/>
  <c r="C401" i="3"/>
  <c r="N400" i="3"/>
  <c r="M400" i="3"/>
  <c r="C400" i="3"/>
  <c r="N399" i="3"/>
  <c r="M399" i="3"/>
  <c r="C399" i="3"/>
  <c r="N398" i="3"/>
  <c r="M398" i="3"/>
  <c r="C398" i="3"/>
  <c r="N397" i="3"/>
  <c r="M397" i="3"/>
  <c r="C397" i="3"/>
  <c r="N396" i="3"/>
  <c r="M396" i="3"/>
  <c r="C396" i="3"/>
  <c r="N395" i="3"/>
  <c r="M395" i="3"/>
  <c r="C395" i="3"/>
  <c r="N394" i="3"/>
  <c r="M394" i="3"/>
  <c r="C394" i="3"/>
  <c r="N393" i="3"/>
  <c r="M393" i="3"/>
  <c r="C393" i="3"/>
  <c r="N392" i="3"/>
  <c r="M392" i="3"/>
  <c r="C392" i="3"/>
  <c r="N391" i="3"/>
  <c r="M391" i="3"/>
  <c r="C391" i="3"/>
  <c r="N390" i="3"/>
  <c r="M390" i="3"/>
  <c r="C390" i="3"/>
  <c r="N389" i="3"/>
  <c r="M389" i="3"/>
  <c r="C389" i="3"/>
  <c r="N388" i="3"/>
  <c r="M388" i="3"/>
  <c r="C388" i="3"/>
  <c r="N387" i="3"/>
  <c r="M387" i="3"/>
  <c r="C387" i="3"/>
  <c r="N386" i="3"/>
  <c r="M386" i="3"/>
  <c r="C386" i="3"/>
  <c r="N385" i="3"/>
  <c r="M385" i="3"/>
  <c r="C385" i="3"/>
  <c r="N384" i="3"/>
  <c r="M384" i="3"/>
  <c r="C384" i="3"/>
  <c r="N383" i="3"/>
  <c r="M383" i="3"/>
  <c r="C383" i="3"/>
  <c r="N382" i="3"/>
  <c r="M382" i="3"/>
  <c r="C382" i="3"/>
  <c r="N381" i="3"/>
  <c r="M381" i="3"/>
  <c r="C381" i="3"/>
  <c r="N380" i="3"/>
  <c r="M380" i="3"/>
  <c r="C380" i="3"/>
  <c r="N379" i="3"/>
  <c r="M379" i="3"/>
  <c r="C379" i="3"/>
  <c r="N378" i="3"/>
  <c r="M378" i="3"/>
  <c r="C378" i="3"/>
  <c r="N377" i="3"/>
  <c r="M377" i="3"/>
  <c r="C377" i="3"/>
  <c r="N376" i="3"/>
  <c r="M376" i="3"/>
  <c r="C376" i="3"/>
  <c r="N375" i="3"/>
  <c r="M375" i="3"/>
  <c r="C375" i="3"/>
  <c r="N374" i="3"/>
  <c r="M374" i="3"/>
  <c r="C374" i="3"/>
  <c r="N373" i="3"/>
  <c r="M373" i="3"/>
  <c r="C373" i="3"/>
  <c r="N372" i="3"/>
  <c r="M372" i="3"/>
  <c r="C372" i="3"/>
  <c r="N371" i="3"/>
  <c r="M371" i="3"/>
  <c r="C371" i="3"/>
  <c r="N370" i="3"/>
  <c r="M370" i="3"/>
  <c r="C370" i="3"/>
  <c r="N369" i="3"/>
  <c r="M369" i="3"/>
  <c r="C369" i="3"/>
  <c r="N368" i="3"/>
  <c r="M368" i="3"/>
  <c r="C368" i="3"/>
  <c r="N367" i="3"/>
  <c r="M367" i="3"/>
  <c r="C367" i="3"/>
  <c r="N366" i="3"/>
  <c r="M366" i="3"/>
  <c r="C366" i="3"/>
  <c r="N365" i="3"/>
  <c r="M365" i="3"/>
  <c r="C365" i="3"/>
  <c r="N364" i="3"/>
  <c r="M364" i="3"/>
  <c r="C364" i="3"/>
  <c r="N363" i="3"/>
  <c r="M363" i="3"/>
  <c r="C363" i="3"/>
  <c r="N362" i="3"/>
  <c r="M362" i="3"/>
  <c r="C362" i="3"/>
  <c r="N361" i="3"/>
  <c r="M361" i="3"/>
  <c r="C361" i="3"/>
  <c r="N360" i="3"/>
  <c r="M360" i="3"/>
  <c r="C360" i="3"/>
  <c r="N359" i="3"/>
  <c r="M359" i="3"/>
  <c r="C359" i="3"/>
  <c r="N358" i="3"/>
  <c r="M358" i="3"/>
  <c r="C358" i="3"/>
  <c r="N357" i="3"/>
  <c r="M357" i="3"/>
  <c r="C357" i="3"/>
  <c r="N356" i="3"/>
  <c r="M356" i="3"/>
  <c r="C356" i="3"/>
  <c r="N355" i="3"/>
  <c r="M355" i="3"/>
  <c r="C355" i="3"/>
  <c r="N354" i="3"/>
  <c r="M354" i="3"/>
  <c r="C354" i="3"/>
  <c r="N353" i="3"/>
  <c r="M353" i="3"/>
  <c r="C353" i="3"/>
  <c r="N352" i="3"/>
  <c r="M352" i="3"/>
  <c r="C352" i="3"/>
  <c r="N351" i="3"/>
  <c r="M351" i="3"/>
  <c r="C351" i="3"/>
  <c r="N350" i="3"/>
  <c r="M350" i="3"/>
  <c r="C350" i="3"/>
  <c r="N349" i="3"/>
  <c r="M349" i="3"/>
  <c r="C349" i="3"/>
  <c r="N348" i="3"/>
  <c r="M348" i="3"/>
  <c r="C348" i="3"/>
  <c r="N347" i="3"/>
  <c r="M347" i="3"/>
  <c r="C347" i="3"/>
  <c r="N346" i="3"/>
  <c r="M346" i="3"/>
  <c r="C346" i="3"/>
  <c r="N345" i="3"/>
  <c r="M345" i="3"/>
  <c r="C345" i="3"/>
  <c r="N344" i="3"/>
  <c r="M344" i="3"/>
  <c r="C344" i="3"/>
  <c r="N343" i="3"/>
  <c r="M343" i="3"/>
  <c r="C343" i="3"/>
  <c r="N342" i="3"/>
  <c r="M342" i="3"/>
  <c r="C342" i="3"/>
  <c r="N341" i="3"/>
  <c r="M341" i="3"/>
  <c r="C341" i="3"/>
  <c r="N340" i="3"/>
  <c r="M340" i="3"/>
  <c r="C340" i="3"/>
  <c r="N339" i="3"/>
  <c r="M339" i="3"/>
  <c r="C339" i="3"/>
  <c r="N338" i="3"/>
  <c r="M338" i="3"/>
  <c r="C338" i="3"/>
  <c r="N337" i="3"/>
  <c r="M337" i="3"/>
  <c r="C337" i="3"/>
  <c r="N336" i="3"/>
  <c r="M336" i="3"/>
  <c r="C336" i="3"/>
  <c r="N335" i="3"/>
  <c r="M335" i="3"/>
  <c r="C335" i="3"/>
  <c r="N334" i="3"/>
  <c r="M334" i="3"/>
  <c r="C334" i="3"/>
  <c r="N333" i="3"/>
  <c r="M333" i="3"/>
  <c r="C333" i="3"/>
  <c r="N332" i="3"/>
  <c r="M332" i="3"/>
  <c r="C332" i="3"/>
  <c r="N331" i="3"/>
  <c r="M331" i="3"/>
  <c r="C331" i="3"/>
  <c r="N330" i="3"/>
  <c r="M330" i="3"/>
  <c r="C330" i="3"/>
  <c r="N329" i="3"/>
  <c r="M329" i="3"/>
  <c r="C329" i="3"/>
  <c r="N328" i="3"/>
  <c r="M328" i="3"/>
  <c r="C328" i="3"/>
  <c r="N327" i="3"/>
  <c r="M327" i="3"/>
  <c r="C327" i="3"/>
  <c r="N326" i="3"/>
  <c r="M326" i="3"/>
  <c r="C326" i="3"/>
  <c r="N325" i="3"/>
  <c r="M325" i="3"/>
  <c r="C325" i="3"/>
  <c r="N324" i="3"/>
  <c r="M324" i="3"/>
  <c r="C324" i="3"/>
  <c r="N323" i="3"/>
  <c r="M323" i="3"/>
  <c r="C323" i="3"/>
  <c r="N322" i="3"/>
  <c r="M322" i="3"/>
  <c r="C322" i="3"/>
  <c r="N321" i="3"/>
  <c r="M321" i="3"/>
  <c r="C321" i="3"/>
  <c r="N320" i="3"/>
  <c r="M320" i="3"/>
  <c r="C320" i="3"/>
  <c r="N319" i="3"/>
  <c r="M319" i="3"/>
  <c r="C319" i="3"/>
  <c r="N318" i="3"/>
  <c r="M318" i="3"/>
  <c r="C318" i="3"/>
  <c r="N317" i="3"/>
  <c r="M317" i="3"/>
  <c r="C317" i="3"/>
  <c r="N316" i="3"/>
  <c r="M316" i="3"/>
  <c r="C316" i="3"/>
  <c r="N315" i="3"/>
  <c r="M315" i="3"/>
  <c r="C315" i="3"/>
  <c r="N314" i="3"/>
  <c r="M314" i="3"/>
  <c r="C314" i="3"/>
  <c r="N313" i="3"/>
  <c r="M313" i="3"/>
  <c r="C313" i="3"/>
  <c r="N312" i="3"/>
  <c r="M312" i="3"/>
  <c r="C312" i="3"/>
  <c r="N311" i="3"/>
  <c r="M311" i="3"/>
  <c r="C311" i="3"/>
  <c r="N310" i="3"/>
  <c r="M310" i="3"/>
  <c r="C310" i="3"/>
  <c r="N309" i="3"/>
  <c r="M309" i="3"/>
  <c r="C309" i="3"/>
  <c r="N308" i="3"/>
  <c r="M308" i="3"/>
  <c r="C308" i="3"/>
  <c r="N307" i="3"/>
  <c r="M307" i="3"/>
  <c r="C307" i="3"/>
  <c r="N306" i="3"/>
  <c r="M306" i="3"/>
  <c r="C306" i="3"/>
  <c r="N305" i="3"/>
  <c r="M305" i="3"/>
  <c r="C305" i="3"/>
  <c r="N304" i="3"/>
  <c r="M304" i="3"/>
  <c r="C304" i="3"/>
  <c r="N303" i="3"/>
  <c r="M303" i="3"/>
  <c r="C303" i="3"/>
  <c r="N302" i="3"/>
  <c r="M302" i="3"/>
  <c r="C302" i="3"/>
  <c r="N301" i="3"/>
  <c r="M301" i="3"/>
  <c r="C301" i="3"/>
  <c r="N300" i="3"/>
  <c r="M300" i="3"/>
  <c r="C300" i="3"/>
  <c r="N299" i="3"/>
  <c r="M299" i="3"/>
  <c r="C299" i="3"/>
  <c r="N298" i="3"/>
  <c r="M298" i="3"/>
  <c r="C298" i="3"/>
  <c r="N297" i="3"/>
  <c r="M297" i="3"/>
  <c r="C297" i="3"/>
  <c r="N296" i="3"/>
  <c r="M296" i="3"/>
  <c r="C296" i="3"/>
  <c r="N295" i="3"/>
  <c r="M295" i="3"/>
  <c r="C295" i="3"/>
  <c r="N294" i="3"/>
  <c r="M294" i="3"/>
  <c r="C294" i="3"/>
  <c r="N293" i="3"/>
  <c r="M293" i="3"/>
  <c r="C293" i="3"/>
  <c r="N292" i="3"/>
  <c r="M292" i="3"/>
  <c r="C292" i="3"/>
  <c r="N291" i="3"/>
  <c r="M291" i="3"/>
  <c r="C291" i="3"/>
  <c r="N290" i="3"/>
  <c r="M290" i="3"/>
  <c r="C290" i="3"/>
  <c r="N289" i="3"/>
  <c r="M289" i="3"/>
  <c r="C289" i="3"/>
  <c r="N288" i="3"/>
  <c r="M288" i="3"/>
  <c r="C288" i="3"/>
  <c r="N287" i="3"/>
  <c r="M287" i="3"/>
  <c r="C287" i="3"/>
  <c r="N286" i="3"/>
  <c r="M286" i="3"/>
  <c r="C286" i="3"/>
  <c r="N285" i="3"/>
  <c r="M285" i="3"/>
  <c r="C285" i="3"/>
  <c r="N284" i="3"/>
  <c r="M284" i="3"/>
  <c r="C284" i="3"/>
  <c r="N283" i="3"/>
  <c r="M283" i="3"/>
  <c r="C283" i="3"/>
  <c r="N282" i="3"/>
  <c r="M282" i="3"/>
  <c r="C282" i="3"/>
  <c r="N281" i="3"/>
  <c r="M281" i="3"/>
  <c r="C281" i="3"/>
  <c r="N280" i="3"/>
  <c r="M280" i="3"/>
  <c r="C280" i="3"/>
  <c r="N279" i="3"/>
  <c r="M279" i="3"/>
  <c r="C279" i="3"/>
  <c r="N278" i="3"/>
  <c r="M278" i="3"/>
  <c r="C278" i="3"/>
  <c r="N277" i="3"/>
  <c r="M277" i="3"/>
  <c r="C277" i="3"/>
  <c r="N276" i="3"/>
  <c r="M276" i="3"/>
  <c r="C276" i="3"/>
  <c r="N275" i="3"/>
  <c r="M275" i="3"/>
  <c r="C275" i="3"/>
  <c r="N274" i="3"/>
  <c r="M274" i="3"/>
  <c r="C274" i="3"/>
  <c r="N273" i="3"/>
  <c r="M273" i="3"/>
  <c r="C273" i="3"/>
  <c r="N272" i="3"/>
  <c r="M272" i="3"/>
  <c r="C272" i="3"/>
  <c r="N271" i="3"/>
  <c r="M271" i="3"/>
  <c r="C271" i="3"/>
  <c r="N270" i="3"/>
  <c r="M270" i="3"/>
  <c r="C270" i="3"/>
  <c r="N269" i="3"/>
  <c r="M269" i="3"/>
  <c r="C269" i="3"/>
  <c r="N268" i="3"/>
  <c r="M268" i="3"/>
  <c r="C268" i="3"/>
  <c r="N267" i="3"/>
  <c r="M267" i="3"/>
  <c r="C267" i="3"/>
  <c r="N266" i="3"/>
  <c r="M266" i="3"/>
  <c r="C266" i="3"/>
  <c r="N265" i="3"/>
  <c r="M265" i="3"/>
  <c r="C265" i="3"/>
  <c r="N264" i="3"/>
  <c r="M264" i="3"/>
  <c r="C264" i="3"/>
  <c r="N263" i="3"/>
  <c r="M263" i="3"/>
  <c r="C263" i="3"/>
  <c r="N262" i="3"/>
  <c r="M262" i="3"/>
  <c r="C262" i="3"/>
  <c r="N261" i="3"/>
  <c r="M261" i="3"/>
  <c r="C261" i="3"/>
  <c r="N260" i="3"/>
  <c r="M260" i="3"/>
  <c r="C260" i="3"/>
  <c r="N259" i="3"/>
  <c r="M259" i="3"/>
  <c r="C259" i="3"/>
  <c r="N258" i="3"/>
  <c r="M258" i="3"/>
  <c r="C258" i="3"/>
  <c r="N257" i="3"/>
  <c r="M257" i="3"/>
  <c r="C257" i="3"/>
  <c r="N256" i="3"/>
  <c r="M256" i="3"/>
  <c r="C256" i="3"/>
  <c r="N255" i="3"/>
  <c r="M255" i="3"/>
  <c r="C255" i="3"/>
  <c r="N254" i="3"/>
  <c r="M254" i="3"/>
  <c r="C254" i="3"/>
  <c r="N253" i="3"/>
  <c r="M253" i="3"/>
  <c r="C253" i="3"/>
  <c r="N252" i="3"/>
  <c r="M252" i="3"/>
  <c r="C252" i="3"/>
  <c r="N251" i="3"/>
  <c r="M251" i="3"/>
  <c r="C251" i="3"/>
  <c r="N250" i="3"/>
  <c r="M250" i="3"/>
  <c r="C250" i="3"/>
  <c r="N249" i="3"/>
  <c r="M249" i="3"/>
  <c r="C249" i="3"/>
  <c r="N248" i="3"/>
  <c r="M248" i="3"/>
  <c r="C248" i="3"/>
  <c r="N247" i="3"/>
  <c r="M247" i="3"/>
  <c r="C247" i="3"/>
  <c r="N246" i="3"/>
  <c r="M246" i="3"/>
  <c r="C246" i="3"/>
  <c r="N245" i="3"/>
  <c r="M245" i="3"/>
  <c r="C245" i="3"/>
  <c r="N244" i="3"/>
  <c r="M244" i="3"/>
  <c r="C244" i="3"/>
  <c r="N243" i="3"/>
  <c r="M243" i="3"/>
  <c r="C243" i="3"/>
  <c r="N242" i="3"/>
  <c r="M242" i="3"/>
  <c r="C242" i="3"/>
  <c r="N241" i="3"/>
  <c r="M241" i="3"/>
  <c r="C241" i="3"/>
  <c r="N240" i="3"/>
  <c r="M240" i="3"/>
  <c r="C240" i="3"/>
  <c r="N239" i="3"/>
  <c r="M239" i="3"/>
  <c r="C239" i="3"/>
  <c r="N238" i="3"/>
  <c r="M238" i="3"/>
  <c r="C238" i="3"/>
  <c r="N237" i="3"/>
  <c r="M237" i="3"/>
  <c r="C237" i="3"/>
  <c r="N236" i="3"/>
  <c r="M236" i="3"/>
  <c r="C236" i="3"/>
  <c r="N235" i="3"/>
  <c r="M235" i="3"/>
  <c r="C235" i="3"/>
  <c r="N234" i="3"/>
  <c r="M234" i="3"/>
  <c r="C234" i="3"/>
  <c r="N233" i="3"/>
  <c r="M233" i="3"/>
  <c r="C233" i="3"/>
  <c r="N232" i="3"/>
  <c r="M232" i="3"/>
  <c r="C232" i="3"/>
  <c r="N231" i="3"/>
  <c r="M231" i="3"/>
  <c r="C231" i="3"/>
  <c r="N230" i="3"/>
  <c r="M230" i="3"/>
  <c r="C230" i="3"/>
  <c r="N229" i="3"/>
  <c r="M229" i="3"/>
  <c r="C229" i="3"/>
  <c r="N228" i="3"/>
  <c r="M228" i="3"/>
  <c r="C228" i="3"/>
  <c r="N227" i="3"/>
  <c r="M227" i="3"/>
  <c r="C227" i="3"/>
  <c r="N226" i="3"/>
  <c r="M226" i="3"/>
  <c r="C226" i="3"/>
  <c r="N225" i="3"/>
  <c r="M225" i="3"/>
  <c r="C225" i="3"/>
  <c r="N224" i="3"/>
  <c r="M224" i="3"/>
  <c r="C224" i="3"/>
  <c r="N223" i="3"/>
  <c r="M223" i="3"/>
  <c r="C223" i="3"/>
  <c r="N222" i="3"/>
  <c r="M222" i="3"/>
  <c r="C222" i="3"/>
  <c r="N221" i="3"/>
  <c r="M221" i="3"/>
  <c r="C221" i="3"/>
  <c r="N220" i="3"/>
  <c r="M220" i="3"/>
  <c r="C220" i="3"/>
  <c r="N219" i="3"/>
  <c r="M219" i="3"/>
  <c r="C219" i="3"/>
  <c r="N218" i="3"/>
  <c r="M218" i="3"/>
  <c r="C218" i="3"/>
  <c r="N217" i="3"/>
  <c r="M217" i="3"/>
  <c r="C217" i="3"/>
  <c r="N216" i="3"/>
  <c r="M216" i="3"/>
  <c r="C216" i="3"/>
  <c r="N215" i="3"/>
  <c r="M215" i="3"/>
  <c r="C215" i="3"/>
  <c r="N214" i="3"/>
  <c r="M214" i="3"/>
  <c r="C214" i="3"/>
  <c r="N213" i="3"/>
  <c r="M213" i="3"/>
  <c r="C213" i="3"/>
  <c r="N212" i="3"/>
  <c r="M212" i="3"/>
  <c r="C212" i="3"/>
  <c r="N211" i="3"/>
  <c r="M211" i="3"/>
  <c r="C211" i="3"/>
  <c r="N210" i="3"/>
  <c r="M210" i="3"/>
  <c r="C210" i="3"/>
  <c r="N209" i="3"/>
  <c r="M209" i="3"/>
  <c r="C209" i="3"/>
  <c r="N208" i="3"/>
  <c r="M208" i="3"/>
  <c r="C208" i="3"/>
  <c r="N207" i="3"/>
  <c r="M207" i="3"/>
  <c r="C207" i="3"/>
  <c r="N206" i="3"/>
  <c r="M206" i="3"/>
  <c r="C206" i="3"/>
  <c r="N205" i="3"/>
  <c r="M205" i="3"/>
  <c r="C205" i="3"/>
  <c r="N204" i="3"/>
  <c r="M204" i="3"/>
  <c r="C204" i="3"/>
  <c r="N203" i="3"/>
  <c r="M203" i="3"/>
  <c r="C203" i="3"/>
  <c r="N202" i="3"/>
  <c r="M202" i="3"/>
  <c r="C202" i="3"/>
  <c r="N201" i="3"/>
  <c r="M201" i="3"/>
  <c r="C201" i="3"/>
  <c r="N200" i="3"/>
  <c r="M200" i="3"/>
  <c r="C200" i="3"/>
  <c r="N199" i="3"/>
  <c r="M199" i="3"/>
  <c r="C199" i="3"/>
  <c r="N198" i="3"/>
  <c r="M198" i="3"/>
  <c r="C198" i="3"/>
  <c r="N197" i="3"/>
  <c r="M197" i="3"/>
  <c r="C197" i="3"/>
  <c r="N196" i="3"/>
  <c r="M196" i="3"/>
  <c r="C196" i="3"/>
  <c r="N195" i="3"/>
  <c r="M195" i="3"/>
  <c r="C195" i="3"/>
  <c r="N194" i="3"/>
  <c r="M194" i="3"/>
  <c r="C194" i="3"/>
  <c r="N193" i="3"/>
  <c r="M193" i="3"/>
  <c r="C193" i="3"/>
  <c r="N192" i="3"/>
  <c r="M192" i="3"/>
  <c r="C192" i="3"/>
  <c r="N191" i="3"/>
  <c r="M191" i="3"/>
  <c r="C191" i="3"/>
  <c r="N190" i="3"/>
  <c r="M190" i="3"/>
  <c r="C190" i="3"/>
  <c r="N189" i="3"/>
  <c r="M189" i="3"/>
  <c r="C189" i="3"/>
  <c r="N188" i="3"/>
  <c r="M188" i="3"/>
  <c r="C188" i="3"/>
  <c r="N187" i="3"/>
  <c r="M187" i="3"/>
  <c r="C187" i="3"/>
  <c r="N186" i="3"/>
  <c r="M186" i="3"/>
  <c r="C186" i="3"/>
  <c r="N185" i="3"/>
  <c r="M185" i="3"/>
  <c r="C185" i="3"/>
  <c r="N184" i="3"/>
  <c r="M184" i="3"/>
  <c r="C184" i="3"/>
  <c r="N183" i="3"/>
  <c r="M183" i="3"/>
  <c r="C183" i="3"/>
  <c r="N182" i="3"/>
  <c r="M182" i="3"/>
  <c r="C182" i="3"/>
  <c r="N181" i="3"/>
  <c r="M181" i="3"/>
  <c r="C181" i="3"/>
  <c r="N180" i="3"/>
  <c r="M180" i="3"/>
  <c r="C180" i="3"/>
  <c r="N179" i="3"/>
  <c r="M179" i="3"/>
  <c r="C179" i="3"/>
  <c r="N178" i="3"/>
  <c r="M178" i="3"/>
  <c r="C178" i="3"/>
  <c r="N177" i="3"/>
  <c r="M177" i="3"/>
  <c r="C177" i="3"/>
  <c r="N176" i="3"/>
  <c r="M176" i="3"/>
  <c r="C176" i="3"/>
  <c r="N175" i="3"/>
  <c r="M175" i="3"/>
  <c r="C175" i="3"/>
  <c r="N174" i="3"/>
  <c r="M174" i="3"/>
  <c r="C174" i="3"/>
  <c r="N173" i="3"/>
  <c r="M173" i="3"/>
  <c r="C173" i="3"/>
  <c r="N172" i="3"/>
  <c r="M172" i="3"/>
  <c r="C172" i="3"/>
  <c r="N171" i="3"/>
  <c r="M171" i="3"/>
  <c r="C171" i="3"/>
  <c r="N170" i="3"/>
  <c r="M170" i="3"/>
  <c r="C170" i="3"/>
  <c r="N169" i="3"/>
  <c r="M169" i="3"/>
  <c r="C169" i="3"/>
  <c r="N168" i="3"/>
  <c r="M168" i="3"/>
  <c r="C168" i="3"/>
  <c r="N167" i="3"/>
  <c r="M167" i="3"/>
  <c r="C167" i="3"/>
  <c r="N166" i="3"/>
  <c r="M166" i="3"/>
  <c r="C166" i="3"/>
  <c r="N165" i="3"/>
  <c r="M165" i="3"/>
  <c r="C165" i="3"/>
  <c r="N164" i="3"/>
  <c r="M164" i="3"/>
  <c r="C164" i="3"/>
  <c r="N163" i="3"/>
  <c r="M163" i="3"/>
  <c r="C163" i="3"/>
  <c r="N162" i="3"/>
  <c r="M162" i="3"/>
  <c r="C162" i="3"/>
  <c r="N161" i="3"/>
  <c r="M161" i="3"/>
  <c r="C161" i="3"/>
  <c r="N160" i="3"/>
  <c r="M160" i="3"/>
  <c r="C160" i="3"/>
  <c r="N159" i="3"/>
  <c r="M159" i="3"/>
  <c r="C159" i="3"/>
  <c r="N158" i="3"/>
  <c r="M158" i="3"/>
  <c r="C158" i="3"/>
  <c r="N157" i="3"/>
  <c r="M157" i="3"/>
  <c r="C157" i="3"/>
  <c r="N156" i="3"/>
  <c r="M156" i="3"/>
  <c r="C156" i="3"/>
  <c r="N155" i="3"/>
  <c r="M155" i="3"/>
  <c r="C155" i="3"/>
  <c r="N154" i="3"/>
  <c r="M154" i="3"/>
  <c r="C154" i="3"/>
  <c r="N153" i="3"/>
  <c r="M153" i="3"/>
  <c r="C153" i="3"/>
  <c r="N152" i="3"/>
  <c r="M152" i="3"/>
  <c r="C152" i="3"/>
  <c r="N151" i="3"/>
  <c r="M151" i="3"/>
  <c r="C151" i="3"/>
  <c r="N150" i="3"/>
  <c r="M150" i="3"/>
  <c r="C150" i="3"/>
  <c r="N149" i="3"/>
  <c r="M149" i="3"/>
  <c r="C149" i="3"/>
  <c r="N148" i="3"/>
  <c r="M148" i="3"/>
  <c r="C148" i="3"/>
  <c r="N147" i="3"/>
  <c r="M147" i="3"/>
  <c r="C147" i="3"/>
  <c r="N146" i="3"/>
  <c r="M146" i="3"/>
  <c r="C146" i="3"/>
  <c r="N145" i="3"/>
  <c r="M145" i="3"/>
  <c r="C145" i="3"/>
  <c r="N144" i="3"/>
  <c r="M144" i="3"/>
  <c r="C144" i="3"/>
  <c r="N143" i="3"/>
  <c r="M143" i="3"/>
  <c r="C143" i="3"/>
  <c r="N142" i="3"/>
  <c r="M142" i="3"/>
  <c r="C142" i="3"/>
  <c r="N141" i="3"/>
  <c r="M141" i="3"/>
  <c r="C141" i="3"/>
  <c r="N140" i="3"/>
  <c r="M140" i="3"/>
  <c r="C140" i="3"/>
  <c r="N139" i="3"/>
  <c r="M139" i="3"/>
  <c r="C139" i="3"/>
  <c r="N138" i="3"/>
  <c r="M138" i="3"/>
  <c r="C138" i="3"/>
  <c r="N137" i="3"/>
  <c r="M137" i="3"/>
  <c r="C137" i="3"/>
  <c r="N136" i="3"/>
  <c r="M136" i="3"/>
  <c r="C136" i="3"/>
  <c r="N135" i="3"/>
  <c r="M135" i="3"/>
  <c r="C135" i="3"/>
  <c r="N134" i="3"/>
  <c r="M134" i="3"/>
  <c r="C134" i="3"/>
  <c r="N133" i="3"/>
  <c r="M133" i="3"/>
  <c r="C133" i="3"/>
  <c r="N132" i="3"/>
  <c r="M132" i="3"/>
  <c r="C132" i="3"/>
  <c r="N131" i="3"/>
  <c r="M131" i="3"/>
  <c r="C131" i="3"/>
  <c r="N130" i="3"/>
  <c r="M130" i="3"/>
  <c r="C130" i="3"/>
  <c r="N129" i="3"/>
  <c r="M129" i="3"/>
  <c r="C129" i="3"/>
  <c r="N128" i="3"/>
  <c r="M128" i="3"/>
  <c r="C128" i="3"/>
  <c r="N127" i="3"/>
  <c r="M127" i="3"/>
  <c r="C127" i="3"/>
  <c r="N126" i="3"/>
  <c r="M126" i="3"/>
  <c r="C126" i="3"/>
  <c r="N125" i="3"/>
  <c r="M125" i="3"/>
  <c r="C125" i="3"/>
  <c r="N124" i="3"/>
  <c r="M124" i="3"/>
  <c r="C124" i="3"/>
  <c r="N123" i="3"/>
  <c r="M123" i="3"/>
  <c r="C123" i="3"/>
  <c r="N122" i="3"/>
  <c r="M122" i="3"/>
  <c r="C122" i="3"/>
  <c r="N121" i="3"/>
  <c r="M121" i="3"/>
  <c r="C121" i="3"/>
  <c r="N120" i="3"/>
  <c r="M120" i="3"/>
  <c r="C120" i="3"/>
  <c r="N119" i="3"/>
  <c r="M119" i="3"/>
  <c r="C119" i="3"/>
  <c r="N118" i="3"/>
  <c r="M118" i="3"/>
  <c r="C118" i="3"/>
  <c r="N117" i="3"/>
  <c r="M117" i="3"/>
  <c r="C117" i="3"/>
  <c r="N116" i="3"/>
  <c r="M116" i="3"/>
  <c r="C116" i="3"/>
  <c r="N115" i="3"/>
  <c r="M115" i="3"/>
  <c r="C115" i="3"/>
  <c r="N114" i="3"/>
  <c r="M114" i="3"/>
  <c r="C114" i="3"/>
  <c r="N113" i="3"/>
  <c r="M113" i="3"/>
  <c r="C113" i="3"/>
  <c r="N112" i="3"/>
  <c r="M112" i="3"/>
  <c r="C112" i="3"/>
  <c r="N111" i="3"/>
  <c r="M111" i="3"/>
  <c r="C111" i="3"/>
  <c r="N110" i="3"/>
  <c r="M110" i="3"/>
  <c r="C110" i="3"/>
  <c r="N109" i="3"/>
  <c r="M109" i="3"/>
  <c r="C109" i="3"/>
  <c r="N108" i="3"/>
  <c r="M108" i="3"/>
  <c r="C108" i="3"/>
  <c r="N107" i="3"/>
  <c r="M107" i="3"/>
  <c r="C107" i="3"/>
  <c r="N106" i="3"/>
  <c r="M106" i="3"/>
  <c r="C106" i="3"/>
  <c r="N105" i="3"/>
  <c r="M105" i="3"/>
  <c r="C105" i="3"/>
  <c r="N104" i="3"/>
  <c r="M104" i="3"/>
  <c r="C104" i="3"/>
  <c r="N103" i="3"/>
  <c r="M103" i="3"/>
  <c r="C103" i="3"/>
  <c r="N102" i="3"/>
  <c r="M102" i="3"/>
  <c r="C102" i="3"/>
  <c r="N101" i="3"/>
  <c r="M101" i="3"/>
  <c r="C101" i="3"/>
  <c r="N100" i="3"/>
  <c r="M100" i="3"/>
  <c r="C100" i="3"/>
  <c r="N99" i="3"/>
  <c r="M99" i="3"/>
  <c r="C99" i="3"/>
  <c r="N98" i="3"/>
  <c r="M98" i="3"/>
  <c r="C98" i="3"/>
  <c r="N97" i="3"/>
  <c r="M97" i="3"/>
  <c r="C97" i="3"/>
  <c r="N96" i="3"/>
  <c r="M96" i="3"/>
  <c r="C96" i="3"/>
  <c r="N95" i="3"/>
  <c r="M95" i="3"/>
  <c r="C95" i="3"/>
  <c r="N94" i="3"/>
  <c r="M94" i="3"/>
  <c r="C94" i="3"/>
  <c r="N93" i="3"/>
  <c r="M93" i="3"/>
  <c r="C93" i="3"/>
  <c r="N92" i="3"/>
  <c r="M92" i="3"/>
  <c r="C92" i="3"/>
  <c r="N91" i="3"/>
  <c r="M91" i="3"/>
  <c r="C91" i="3"/>
  <c r="N90" i="3"/>
  <c r="M90" i="3"/>
  <c r="C90" i="3"/>
  <c r="N89" i="3"/>
  <c r="M89" i="3"/>
  <c r="C89" i="3"/>
  <c r="N88" i="3"/>
  <c r="M88" i="3"/>
  <c r="C88" i="3"/>
  <c r="N87" i="3"/>
  <c r="M87" i="3"/>
  <c r="C87" i="3"/>
  <c r="N86" i="3"/>
  <c r="M86" i="3"/>
  <c r="C86" i="3"/>
  <c r="N85" i="3"/>
  <c r="M85" i="3"/>
  <c r="C85" i="3"/>
  <c r="N84" i="3"/>
  <c r="M84" i="3"/>
  <c r="C84" i="3"/>
  <c r="N83" i="3"/>
  <c r="M83" i="3"/>
  <c r="C83" i="3"/>
  <c r="N82" i="3"/>
  <c r="M82" i="3"/>
  <c r="C82" i="3"/>
  <c r="N81" i="3"/>
  <c r="M81" i="3"/>
  <c r="C81" i="3"/>
  <c r="N80" i="3"/>
  <c r="M80" i="3"/>
  <c r="C80" i="3"/>
  <c r="N79" i="3"/>
  <c r="M79" i="3"/>
  <c r="C79" i="3"/>
  <c r="N78" i="3"/>
  <c r="M78" i="3"/>
  <c r="C78" i="3"/>
  <c r="N77" i="3"/>
  <c r="M77" i="3"/>
  <c r="C77" i="3"/>
  <c r="N76" i="3"/>
  <c r="M76" i="3"/>
  <c r="C76" i="3"/>
  <c r="N75" i="3"/>
  <c r="M75" i="3"/>
  <c r="C75" i="3"/>
  <c r="N74" i="3"/>
  <c r="M74" i="3"/>
  <c r="C74" i="3"/>
  <c r="N73" i="3"/>
  <c r="M73" i="3"/>
  <c r="C73" i="3"/>
  <c r="N72" i="3"/>
  <c r="M72" i="3"/>
  <c r="C72" i="3"/>
  <c r="N71" i="3"/>
  <c r="M71" i="3"/>
  <c r="C71" i="3"/>
  <c r="N70" i="3"/>
  <c r="M70" i="3"/>
  <c r="C70" i="3"/>
  <c r="N69" i="3"/>
  <c r="M69" i="3"/>
  <c r="C69" i="3"/>
  <c r="N68" i="3"/>
  <c r="M68" i="3"/>
  <c r="C68" i="3"/>
  <c r="N67" i="3"/>
  <c r="M67" i="3"/>
  <c r="C67" i="3"/>
  <c r="N66" i="3"/>
  <c r="M66" i="3"/>
  <c r="C66" i="3"/>
  <c r="N65" i="3"/>
  <c r="M65" i="3"/>
  <c r="C65" i="3"/>
  <c r="N64" i="3"/>
  <c r="M64" i="3"/>
  <c r="C64" i="3"/>
  <c r="N63" i="3"/>
  <c r="M63" i="3"/>
  <c r="C63" i="3"/>
  <c r="N62" i="3"/>
  <c r="M62" i="3"/>
  <c r="C62" i="3"/>
  <c r="N61" i="3"/>
  <c r="M61" i="3"/>
  <c r="C61" i="3"/>
  <c r="N60" i="3"/>
  <c r="M60" i="3"/>
  <c r="C60" i="3"/>
  <c r="N59" i="3"/>
  <c r="M59" i="3"/>
  <c r="C59" i="3"/>
  <c r="N58" i="3"/>
  <c r="M58" i="3"/>
  <c r="C58" i="3"/>
  <c r="N57" i="3"/>
  <c r="M57" i="3"/>
  <c r="C57" i="3"/>
  <c r="N56" i="3"/>
  <c r="M56" i="3"/>
  <c r="C56" i="3"/>
  <c r="N55" i="3"/>
  <c r="M55" i="3"/>
  <c r="C55" i="3"/>
  <c r="N54" i="3"/>
  <c r="M54" i="3"/>
  <c r="C54" i="3"/>
  <c r="N53" i="3"/>
  <c r="M53" i="3"/>
  <c r="C53" i="3"/>
  <c r="N52" i="3"/>
  <c r="M52" i="3"/>
  <c r="C52" i="3"/>
  <c r="N51" i="3"/>
  <c r="M51" i="3"/>
  <c r="C51" i="3"/>
  <c r="N50" i="3"/>
  <c r="M50" i="3"/>
  <c r="C50" i="3"/>
  <c r="N49" i="3"/>
  <c r="M49" i="3"/>
  <c r="C49" i="3"/>
  <c r="N48" i="3"/>
  <c r="M48" i="3"/>
  <c r="C48" i="3"/>
  <c r="N47" i="3"/>
  <c r="M47" i="3"/>
  <c r="C47" i="3"/>
  <c r="N46" i="3"/>
  <c r="M46" i="3"/>
  <c r="C46" i="3"/>
  <c r="N45" i="3"/>
  <c r="M45" i="3"/>
  <c r="C45" i="3"/>
  <c r="N44" i="3"/>
  <c r="M44" i="3"/>
  <c r="C44" i="3"/>
  <c r="N43" i="3"/>
  <c r="M43" i="3"/>
  <c r="C43" i="3"/>
  <c r="N42" i="3"/>
  <c r="M42" i="3"/>
  <c r="C42" i="3"/>
  <c r="N41" i="3"/>
  <c r="M41" i="3"/>
  <c r="C41" i="3"/>
  <c r="N40" i="3"/>
  <c r="M40" i="3"/>
  <c r="C40" i="3"/>
  <c r="N39" i="3"/>
  <c r="M39" i="3"/>
  <c r="C39" i="3"/>
  <c r="N38" i="3"/>
  <c r="M38" i="3"/>
  <c r="C38" i="3"/>
  <c r="N37" i="3"/>
  <c r="M37" i="3"/>
  <c r="C37" i="3"/>
  <c r="N36" i="3"/>
  <c r="M36" i="3"/>
  <c r="C36" i="3"/>
  <c r="N35" i="3"/>
  <c r="M35" i="3"/>
  <c r="C35" i="3"/>
  <c r="N34" i="3"/>
  <c r="M34" i="3"/>
  <c r="C34" i="3"/>
  <c r="N33" i="3"/>
  <c r="M33" i="3"/>
  <c r="C33" i="3"/>
  <c r="N32" i="3"/>
  <c r="M32" i="3"/>
  <c r="C32" i="3"/>
  <c r="N31" i="3"/>
  <c r="M31" i="3"/>
  <c r="C31" i="3"/>
  <c r="N30" i="3"/>
  <c r="M30" i="3"/>
  <c r="C30" i="3"/>
  <c r="N29" i="3"/>
  <c r="M29" i="3"/>
  <c r="C29" i="3"/>
  <c r="N28" i="3"/>
  <c r="M28" i="3"/>
  <c r="C28" i="3"/>
  <c r="N27" i="3"/>
  <c r="M27" i="3"/>
  <c r="C27" i="3"/>
  <c r="N26" i="3"/>
  <c r="M26" i="3"/>
  <c r="C26" i="3"/>
  <c r="N25" i="3"/>
  <c r="M25" i="3"/>
  <c r="C25" i="3"/>
  <c r="N24" i="3"/>
  <c r="M24" i="3"/>
  <c r="C24" i="3"/>
  <c r="N23" i="3"/>
  <c r="M23" i="3"/>
  <c r="C23" i="3"/>
  <c r="N22" i="3"/>
  <c r="M22" i="3"/>
  <c r="C22" i="3"/>
  <c r="N21" i="3"/>
  <c r="M21" i="3"/>
  <c r="C21" i="3"/>
  <c r="N20" i="3"/>
  <c r="M20" i="3"/>
  <c r="C20" i="3"/>
  <c r="N19" i="3"/>
  <c r="M19" i="3"/>
  <c r="C19" i="3"/>
  <c r="N18" i="3"/>
  <c r="M18" i="3"/>
  <c r="C18" i="3"/>
  <c r="N17" i="3"/>
  <c r="M17" i="3"/>
  <c r="C17" i="3"/>
  <c r="N16" i="3"/>
  <c r="M16" i="3"/>
  <c r="C16" i="3"/>
  <c r="N15" i="3"/>
  <c r="M15" i="3"/>
  <c r="C15" i="3"/>
  <c r="N14" i="3"/>
  <c r="M14" i="3"/>
  <c r="C14" i="3"/>
  <c r="N13" i="3"/>
  <c r="M13" i="3"/>
  <c r="C13" i="3"/>
  <c r="N12" i="3"/>
  <c r="M12" i="3"/>
  <c r="C12" i="3"/>
  <c r="N11" i="3"/>
  <c r="M11" i="3"/>
  <c r="C11" i="3"/>
  <c r="N10" i="3"/>
  <c r="M10" i="3"/>
  <c r="C10" i="3"/>
  <c r="N9" i="3"/>
  <c r="M9" i="3"/>
  <c r="C9" i="3"/>
  <c r="N8" i="3"/>
  <c r="M8" i="3"/>
  <c r="C8" i="3"/>
  <c r="N7" i="3"/>
  <c r="M7" i="3"/>
  <c r="C7" i="3"/>
  <c r="N6" i="3"/>
  <c r="M6" i="3"/>
  <c r="C6" i="3"/>
  <c r="N5" i="3"/>
  <c r="M5" i="3"/>
  <c r="C5" i="3"/>
  <c r="N4" i="3"/>
  <c r="M4" i="3"/>
  <c r="C4" i="3"/>
  <c r="N3" i="3"/>
  <c r="M3" i="3"/>
  <c r="C3" i="3"/>
  <c r="N2" i="3"/>
  <c r="M2" i="3"/>
  <c r="C2" i="3"/>
  <c r="AF27" i="2"/>
  <c r="X27" i="2"/>
  <c r="W27" i="2"/>
  <c r="V27" i="2"/>
  <c r="U27" i="2"/>
  <c r="T27" i="2"/>
  <c r="S27" i="2"/>
  <c r="R27" i="2"/>
  <c r="Q27" i="2"/>
  <c r="P27" i="2"/>
  <c r="O27" i="2"/>
  <c r="N27" i="2"/>
  <c r="M27" i="2"/>
  <c r="L27" i="2"/>
  <c r="AA27" i="2" s="1"/>
  <c r="AA26" i="2"/>
  <c r="X26" i="2"/>
  <c r="W26" i="2"/>
  <c r="V26" i="2"/>
  <c r="U26" i="2"/>
  <c r="T26" i="2"/>
  <c r="S26" i="2"/>
  <c r="R26" i="2"/>
  <c r="Q26" i="2"/>
  <c r="P26" i="2"/>
  <c r="N26" i="2"/>
  <c r="M26" i="2"/>
  <c r="L26" i="2"/>
  <c r="AB26" i="2" s="1"/>
  <c r="AC26" i="2" s="1"/>
  <c r="AF25" i="2"/>
  <c r="X25" i="2"/>
  <c r="W25" i="2"/>
  <c r="V25" i="2"/>
  <c r="U25" i="2"/>
  <c r="T25" i="2"/>
  <c r="S25" i="2"/>
  <c r="R25" i="2"/>
  <c r="Q25" i="2"/>
  <c r="P25" i="2"/>
  <c r="N25" i="2"/>
  <c r="AG25" i="2" s="1"/>
  <c r="M25" i="2"/>
  <c r="L25" i="2"/>
  <c r="AB25" i="2" s="1"/>
  <c r="AC25" i="2" s="1"/>
  <c r="X24" i="2"/>
  <c r="W24" i="2"/>
  <c r="V24" i="2"/>
  <c r="U24" i="2"/>
  <c r="T24" i="2"/>
  <c r="S24" i="2"/>
  <c r="R24" i="2"/>
  <c r="Q24" i="2"/>
  <c r="P24" i="2"/>
  <c r="O24" i="2"/>
  <c r="N24" i="2"/>
  <c r="M24" i="2"/>
  <c r="L24" i="2"/>
  <c r="AB24" i="2" s="1"/>
  <c r="AC24" i="2" s="1"/>
  <c r="AF23" i="2"/>
  <c r="X23" i="2"/>
  <c r="W23" i="2"/>
  <c r="V23" i="2"/>
  <c r="U23" i="2"/>
  <c r="T23" i="2"/>
  <c r="S23" i="2"/>
  <c r="R23" i="2"/>
  <c r="Q23" i="2"/>
  <c r="P23" i="2"/>
  <c r="O23" i="2"/>
  <c r="N23" i="2"/>
  <c r="M23" i="2"/>
  <c r="L23" i="2"/>
  <c r="AB23" i="2" s="1"/>
  <c r="AC23" i="2" s="1"/>
  <c r="Z22" i="2"/>
  <c r="Y22" i="2"/>
  <c r="X22" i="2"/>
  <c r="W22" i="2"/>
  <c r="V22" i="2"/>
  <c r="U22" i="2"/>
  <c r="T22" i="2"/>
  <c r="S22" i="2"/>
  <c r="R22" i="2"/>
  <c r="Q22" i="2"/>
  <c r="P22" i="2"/>
  <c r="N22" i="2"/>
  <c r="M22" i="2"/>
  <c r="O22" i="2" s="1"/>
  <c r="L22" i="2"/>
  <c r="AE22" i="2" s="1"/>
  <c r="AF21" i="2"/>
  <c r="X21" i="2"/>
  <c r="W21" i="2"/>
  <c r="V21" i="2"/>
  <c r="U21" i="2"/>
  <c r="T21" i="2"/>
  <c r="S21" i="2"/>
  <c r="R21" i="2"/>
  <c r="Q21" i="2"/>
  <c r="P21" i="2"/>
  <c r="O21" i="2"/>
  <c r="N21" i="2"/>
  <c r="AG21" i="2" s="1"/>
  <c r="M21" i="2"/>
  <c r="L21" i="2"/>
  <c r="Y21" i="2" s="1"/>
  <c r="X20" i="2"/>
  <c r="W20" i="2"/>
  <c r="V20" i="2"/>
  <c r="U20" i="2"/>
  <c r="T20" i="2"/>
  <c r="S20" i="2"/>
  <c r="R20" i="2"/>
  <c r="Q20" i="2"/>
  <c r="P20" i="2"/>
  <c r="O20" i="2"/>
  <c r="N20" i="2"/>
  <c r="M20" i="2"/>
  <c r="L20" i="2"/>
  <c r="AF19" i="2"/>
  <c r="X19" i="2"/>
  <c r="W19" i="2"/>
  <c r="V19" i="2"/>
  <c r="U19" i="2"/>
  <c r="T19" i="2"/>
  <c r="S19" i="2"/>
  <c r="R19" i="2"/>
  <c r="Q19" i="2"/>
  <c r="P19" i="2"/>
  <c r="M19" i="2"/>
  <c r="L19" i="2"/>
  <c r="Z19" i="2" s="1"/>
  <c r="X18" i="2"/>
  <c r="W18" i="2"/>
  <c r="V18" i="2"/>
  <c r="U18" i="2"/>
  <c r="T18" i="2"/>
  <c r="S18" i="2"/>
  <c r="R18" i="2"/>
  <c r="Q18" i="2"/>
  <c r="P18" i="2"/>
  <c r="M18" i="2"/>
  <c r="L18" i="2"/>
  <c r="AF17" i="2"/>
  <c r="X17" i="2"/>
  <c r="W17" i="2"/>
  <c r="V17" i="2"/>
  <c r="U17" i="2"/>
  <c r="T17" i="2"/>
  <c r="S17" i="2"/>
  <c r="R17" i="2"/>
  <c r="Q17" i="2"/>
  <c r="P17" i="2"/>
  <c r="M17" i="2"/>
  <c r="L17" i="2"/>
  <c r="AB17" i="2" s="1"/>
  <c r="AC17" i="2" s="1"/>
  <c r="X16" i="2"/>
  <c r="W16" i="2"/>
  <c r="V16" i="2"/>
  <c r="U16" i="2"/>
  <c r="T16" i="2"/>
  <c r="S16" i="2"/>
  <c r="R16" i="2"/>
  <c r="Q16" i="2"/>
  <c r="P16" i="2"/>
  <c r="M16" i="2"/>
  <c r="L16" i="2"/>
  <c r="AA16" i="2" s="1"/>
  <c r="AF15" i="2"/>
  <c r="X15" i="2"/>
  <c r="W15" i="2"/>
  <c r="V15" i="2"/>
  <c r="U15" i="2"/>
  <c r="T15" i="2"/>
  <c r="S15" i="2"/>
  <c r="R15" i="2"/>
  <c r="Q15" i="2"/>
  <c r="P15" i="2"/>
  <c r="M15" i="2"/>
  <c r="L15" i="2"/>
  <c r="AA15" i="2" s="1"/>
  <c r="X14" i="2"/>
  <c r="W14" i="2"/>
  <c r="V14" i="2"/>
  <c r="U14" i="2"/>
  <c r="T14" i="2"/>
  <c r="S14" i="2"/>
  <c r="R14" i="2"/>
  <c r="Q14" i="2"/>
  <c r="P14" i="2"/>
  <c r="M14" i="2"/>
  <c r="L14" i="2"/>
  <c r="Y14" i="2" s="1"/>
  <c r="AF13" i="2"/>
  <c r="X13" i="2"/>
  <c r="W13" i="2"/>
  <c r="V13" i="2"/>
  <c r="U13" i="2"/>
  <c r="T13" i="2"/>
  <c r="S13" i="2"/>
  <c r="R13" i="2"/>
  <c r="Q13" i="2"/>
  <c r="P13" i="2"/>
  <c r="M13" i="2"/>
  <c r="L13" i="2"/>
  <c r="AE13" i="2" s="1"/>
  <c r="X12" i="2"/>
  <c r="W12" i="2"/>
  <c r="V12" i="2"/>
  <c r="U12" i="2"/>
  <c r="T12" i="2"/>
  <c r="S12" i="2"/>
  <c r="R12" i="2"/>
  <c r="Q12" i="2"/>
  <c r="P12" i="2"/>
  <c r="M12" i="2"/>
  <c r="L12" i="2"/>
  <c r="AF11" i="2"/>
  <c r="X11" i="2"/>
  <c r="W11" i="2"/>
  <c r="V11" i="2"/>
  <c r="U11" i="2"/>
  <c r="T11" i="2"/>
  <c r="S11" i="2"/>
  <c r="R11" i="2"/>
  <c r="Q11" i="2"/>
  <c r="P11" i="2"/>
  <c r="M11" i="2"/>
  <c r="L11" i="2"/>
  <c r="Z11" i="2" s="1"/>
  <c r="X10" i="2"/>
  <c r="W10" i="2"/>
  <c r="V10" i="2"/>
  <c r="U10" i="2"/>
  <c r="T10" i="2"/>
  <c r="S10" i="2"/>
  <c r="R10" i="2"/>
  <c r="Q10" i="2"/>
  <c r="P10" i="2"/>
  <c r="M10" i="2"/>
  <c r="L10" i="2"/>
  <c r="AF9" i="2"/>
  <c r="X9" i="2"/>
  <c r="W9" i="2"/>
  <c r="V9" i="2"/>
  <c r="U9" i="2"/>
  <c r="T9" i="2"/>
  <c r="S9" i="2"/>
  <c r="R9" i="2"/>
  <c r="Q9" i="2"/>
  <c r="P9" i="2"/>
  <c r="N9" i="2"/>
  <c r="O9" i="2" s="1"/>
  <c r="M9" i="2"/>
  <c r="L9" i="2"/>
  <c r="AB9" i="2" s="1"/>
  <c r="AC9" i="2" s="1"/>
  <c r="X8" i="2"/>
  <c r="W8" i="2"/>
  <c r="V8" i="2"/>
  <c r="U8" i="2"/>
  <c r="T8" i="2"/>
  <c r="S8" i="2"/>
  <c r="R8" i="2"/>
  <c r="Q8" i="2"/>
  <c r="P8" i="2"/>
  <c r="N8" i="2"/>
  <c r="M8" i="2"/>
  <c r="L8" i="2"/>
  <c r="AA8" i="2" s="1"/>
  <c r="AF7" i="2"/>
  <c r="X7" i="2"/>
  <c r="W7" i="2"/>
  <c r="V7" i="2"/>
  <c r="U7" i="2"/>
  <c r="T7" i="2"/>
  <c r="S7" i="2"/>
  <c r="R7" i="2"/>
  <c r="Q7" i="2"/>
  <c r="P7" i="2"/>
  <c r="M7" i="2"/>
  <c r="L7" i="2"/>
  <c r="AA7" i="2" s="1"/>
  <c r="X6" i="2"/>
  <c r="W6" i="2"/>
  <c r="V6" i="2"/>
  <c r="U6" i="2"/>
  <c r="T6" i="2"/>
  <c r="S6" i="2"/>
  <c r="R6" i="2"/>
  <c r="Q6" i="2"/>
  <c r="P6" i="2"/>
  <c r="M6" i="2"/>
  <c r="L6" i="2"/>
  <c r="Y6" i="2" s="1"/>
  <c r="AF5" i="2"/>
  <c r="X5" i="2"/>
  <c r="W5" i="2"/>
  <c r="V5" i="2"/>
  <c r="U5" i="2"/>
  <c r="T5" i="2"/>
  <c r="S5" i="2"/>
  <c r="R5" i="2"/>
  <c r="Q5" i="2"/>
  <c r="P5" i="2"/>
  <c r="M5" i="2"/>
  <c r="L5" i="2"/>
  <c r="AB5" i="2" s="1"/>
  <c r="AC5" i="2" s="1"/>
  <c r="X4" i="2"/>
  <c r="W4" i="2"/>
  <c r="V4" i="2"/>
  <c r="U4" i="2"/>
  <c r="T4" i="2"/>
  <c r="S4" i="2"/>
  <c r="R4" i="2"/>
  <c r="Q4" i="2"/>
  <c r="P4" i="2"/>
  <c r="M4" i="2"/>
  <c r="L4" i="2"/>
  <c r="AA4" i="2" s="1"/>
  <c r="AF3" i="2"/>
  <c r="X3" i="2"/>
  <c r="W3" i="2"/>
  <c r="V3" i="2"/>
  <c r="U3" i="2"/>
  <c r="T3" i="2"/>
  <c r="S3" i="2"/>
  <c r="R3" i="2"/>
  <c r="Q3" i="2"/>
  <c r="P3" i="2"/>
  <c r="M3" i="2"/>
  <c r="L3" i="2"/>
  <c r="X2" i="2"/>
  <c r="W2" i="2"/>
  <c r="V2" i="2"/>
  <c r="U2" i="2"/>
  <c r="T2" i="2"/>
  <c r="S2" i="2"/>
  <c r="R2" i="2"/>
  <c r="Q2" i="2"/>
  <c r="P2" i="2"/>
  <c r="M2" i="2"/>
  <c r="L2" i="2"/>
  <c r="N10" i="2" l="1"/>
  <c r="Y10" i="2" s="1"/>
  <c r="AD25" i="2"/>
  <c r="N11" i="2"/>
  <c r="O11" i="2" s="1"/>
  <c r="AB21" i="2"/>
  <c r="AC21" i="2" s="1"/>
  <c r="AD9" i="2"/>
  <c r="AD5" i="2"/>
  <c r="AA9" i="2"/>
  <c r="Z2" i="2"/>
  <c r="N15" i="2"/>
  <c r="O15" i="2" s="1"/>
  <c r="AA18" i="2"/>
  <c r="Z18" i="2"/>
  <c r="Z21" i="2"/>
  <c r="AA22" i="2"/>
  <c r="AG27" i="2"/>
  <c r="AA20" i="2"/>
  <c r="B5" i="6"/>
  <c r="Z6" i="2"/>
  <c r="Z17" i="2"/>
  <c r="O14" i="2"/>
  <c r="AA17" i="2"/>
  <c r="Z15" i="2"/>
  <c r="Y17" i="2"/>
  <c r="AA5" i="2"/>
  <c r="AD17" i="2"/>
  <c r="B12" i="6"/>
  <c r="AA13" i="2"/>
  <c r="AA21" i="2"/>
  <c r="Z23" i="2"/>
  <c r="AE25" i="2"/>
  <c r="AE26" i="2"/>
  <c r="AA3" i="2"/>
  <c r="AE5" i="2"/>
  <c r="Z14" i="2"/>
  <c r="AD26" i="2"/>
  <c r="B6" i="6"/>
  <c r="Z7" i="2"/>
  <c r="Z13" i="2"/>
  <c r="B10" i="6"/>
  <c r="C5" i="6"/>
  <c r="Z3" i="2"/>
  <c r="O6" i="2"/>
  <c r="AD13" i="2"/>
  <c r="AE17" i="2"/>
  <c r="AE21" i="2"/>
  <c r="Y25" i="2"/>
  <c r="Y26" i="2"/>
  <c r="Z27" i="2"/>
  <c r="AE9" i="2"/>
  <c r="AD21" i="2"/>
  <c r="C6" i="6"/>
  <c r="Y5" i="2"/>
  <c r="Y9" i="2"/>
  <c r="Z10" i="2"/>
  <c r="C12" i="6"/>
  <c r="Z5" i="2"/>
  <c r="O8" i="2"/>
  <c r="Z9" i="2"/>
  <c r="AA25" i="2"/>
  <c r="Z26" i="2"/>
  <c r="N16" i="2"/>
  <c r="O16" i="2" s="1"/>
  <c r="AG3" i="2"/>
  <c r="AB3" i="2" s="1"/>
  <c r="AC3" i="2" s="1"/>
  <c r="AG7" i="2"/>
  <c r="AG23" i="2"/>
  <c r="AF18" i="2"/>
  <c r="N4" i="2"/>
  <c r="O4" i="2" s="1"/>
  <c r="N19" i="2"/>
  <c r="O19" i="2" s="1"/>
  <c r="AF2" i="2"/>
  <c r="AA12" i="2"/>
  <c r="AA19" i="2"/>
  <c r="B11" i="6"/>
  <c r="B9" i="6"/>
  <c r="AG19" i="2"/>
  <c r="AB19" i="2" s="1"/>
  <c r="AC19" i="2" s="1"/>
  <c r="AB8" i="2"/>
  <c r="AC8" i="2" s="1"/>
  <c r="AD8" i="2"/>
  <c r="AA2" i="2"/>
  <c r="AE4" i="2"/>
  <c r="AG5" i="2"/>
  <c r="AA6" i="2"/>
  <c r="AE8" i="2"/>
  <c r="AG9" i="2"/>
  <c r="AA10" i="2"/>
  <c r="AE12" i="2"/>
  <c r="Y13" i="2"/>
  <c r="AG13" i="2"/>
  <c r="AB13" i="2" s="1"/>
  <c r="AC13" i="2" s="1"/>
  <c r="AA14" i="2"/>
  <c r="AE16" i="2"/>
  <c r="AG17" i="2"/>
  <c r="AE20" i="2"/>
  <c r="AE24" i="2"/>
  <c r="B2" i="6"/>
  <c r="AB4" i="2"/>
  <c r="AC4" i="2" s="1"/>
  <c r="AF4" i="2"/>
  <c r="AB6" i="2"/>
  <c r="AC6" i="2" s="1"/>
  <c r="AD7" i="2"/>
  <c r="AF8" i="2"/>
  <c r="AD11" i="2"/>
  <c r="AF12" i="2"/>
  <c r="AB14" i="2"/>
  <c r="AC14" i="2" s="1"/>
  <c r="AD15" i="2"/>
  <c r="AF16" i="2"/>
  <c r="AD19" i="2"/>
  <c r="AF20" i="2"/>
  <c r="AB22" i="2"/>
  <c r="AC22" i="2" s="1"/>
  <c r="AD23" i="2"/>
  <c r="AF24" i="2"/>
  <c r="Z25" i="2"/>
  <c r="AD27" i="2"/>
  <c r="C2" i="6"/>
  <c r="AF10" i="2"/>
  <c r="AB16" i="2"/>
  <c r="AC16" i="2" s="1"/>
  <c r="AF26" i="2"/>
  <c r="AD4" i="2"/>
  <c r="AG4" i="2"/>
  <c r="Y12" i="2"/>
  <c r="AE15" i="2"/>
  <c r="AE19" i="2"/>
  <c r="AG24" i="2"/>
  <c r="AE27" i="2"/>
  <c r="B7" i="6"/>
  <c r="AB7" i="2"/>
  <c r="AC7" i="2" s="1"/>
  <c r="AD16" i="2"/>
  <c r="AD20" i="2"/>
  <c r="AE3" i="2"/>
  <c r="AG8" i="2"/>
  <c r="AG12" i="2"/>
  <c r="Y16" i="2"/>
  <c r="AG20" i="2"/>
  <c r="AE23" i="2"/>
  <c r="Y24" i="2"/>
  <c r="AD2" i="2"/>
  <c r="AD6" i="2"/>
  <c r="Z8" i="2"/>
  <c r="AD10" i="2"/>
  <c r="Z12" i="2"/>
  <c r="AD14" i="2"/>
  <c r="Z16" i="2"/>
  <c r="N18" i="2"/>
  <c r="AD18" i="2"/>
  <c r="Z20" i="2"/>
  <c r="AD22" i="2"/>
  <c r="Z24" i="2"/>
  <c r="C3" i="6"/>
  <c r="AD12" i="2"/>
  <c r="AB15" i="2"/>
  <c r="AC15" i="2" s="1"/>
  <c r="AD24" i="2"/>
  <c r="AB27" i="2"/>
  <c r="AC27" i="2" s="1"/>
  <c r="AD3" i="2"/>
  <c r="Y4" i="2"/>
  <c r="AE7" i="2"/>
  <c r="Y8" i="2"/>
  <c r="AE11" i="2"/>
  <c r="AG16" i="2"/>
  <c r="Y20" i="2"/>
  <c r="N2" i="2"/>
  <c r="O2" i="2" s="1"/>
  <c r="Z4" i="2"/>
  <c r="AE2" i="2"/>
  <c r="Y3" i="2"/>
  <c r="AE6" i="2"/>
  <c r="Y7" i="2"/>
  <c r="AE10" i="2"/>
  <c r="Y11" i="2"/>
  <c r="AE14" i="2"/>
  <c r="Y15" i="2"/>
  <c r="AE18" i="2"/>
  <c r="Y19" i="2"/>
  <c r="Y23" i="2"/>
  <c r="AA24" i="2"/>
  <c r="O26" i="2"/>
  <c r="Y27" i="2"/>
  <c r="B4" i="6"/>
  <c r="B8" i="6"/>
  <c r="C4" i="6"/>
  <c r="AF6" i="2"/>
  <c r="AF14" i="2"/>
  <c r="AF22" i="2"/>
  <c r="AG2" i="2"/>
  <c r="AG6" i="2"/>
  <c r="AG10" i="2"/>
  <c r="AA11" i="2"/>
  <c r="AG14" i="2"/>
  <c r="AG18" i="2"/>
  <c r="AG22" i="2"/>
  <c r="AA23" i="2"/>
  <c r="O25" i="2"/>
  <c r="AG26" i="2"/>
  <c r="O10" i="2" l="1"/>
  <c r="AG15" i="2"/>
  <c r="AB20" i="2"/>
  <c r="AC20" i="2" s="1"/>
  <c r="AG11" i="2"/>
  <c r="AB11" i="2" s="1"/>
  <c r="AC11" i="2" s="1"/>
  <c r="AB18" i="2"/>
  <c r="AC18" i="2" s="1"/>
  <c r="AB2" i="2"/>
  <c r="AC2" i="2" s="1"/>
  <c r="B3" i="6"/>
  <c r="AB12" i="2"/>
  <c r="AC12" i="2" s="1"/>
  <c r="B14" i="6"/>
  <c r="C17" i="6"/>
  <c r="AB10" i="2"/>
  <c r="AC10" i="2" s="1"/>
  <c r="C15" i="6"/>
  <c r="C16" i="6"/>
  <c r="Y18" i="2"/>
  <c r="Y2" i="2"/>
  <c r="B13" i="6" s="1"/>
  <c r="O18" i="2"/>
  <c r="C13" i="6"/>
  <c r="B17" i="6"/>
  <c r="B16" i="6"/>
  <c r="B15" i="6"/>
</calcChain>
</file>

<file path=xl/sharedStrings.xml><?xml version="1.0" encoding="utf-8"?>
<sst xmlns="http://schemas.openxmlformats.org/spreadsheetml/2006/main" count="1082" uniqueCount="546">
  <si>
    <t>Para qué sirve</t>
  </si>
  <si>
    <t>Calificar cada respuesta POR AFIRMACIÓN (hoja Afirmaciones). N2, N3, códigos, alertas y diagnóstico se calculan solos en Respuestas. Reglas completas: protocol_v2.md §3-§5.</t>
  </si>
  <si>
    <t>Colores</t>
  </si>
  <si>
    <t>Amarillo = lo escribes o eliges tú. Verde = automático (no editable). Gris = dato de la pregunta/corrida.</t>
  </si>
  <si>
    <t>Flujo</t>
  </si>
  <si>
    <t>1) En Respuestas, lee pregunta, referencia y respuesta del sistema (en RAG, los fragmentos están en Contextos). 2) En Afirmaciones, una fila por afirmación (máx. ~6): qid, modo, texto, tipo, vs_ref, hecho_ref, zona, respaldo, cita_n, fragmento_sostiene. 3) Revisa la columna 'chequeo'. 4) Revisa 'llegó' en Hechos (sobre todo ALT-P). 5) Lee N2/N3/alertas/diagnóstico en Respuestas.</t>
  </si>
  <si>
    <t>tipo</t>
  </si>
  <si>
    <t>hecho = afirma algo. abstencion = dice que el contexto o el modelo no tiene la información ('los pasajes no dicen...'). Afirmar que ATT&amp;CK no documenta algo ('ATT&amp;CK no lista...') es un HECHO y puede ser INCORRECTA.</t>
  </si>
  <si>
    <t>vs_ref</t>
  </si>
  <si>
    <t>CORRECTA = coincide con la referencia (en una abstención: se abstiene donde debía). INCORRECTA = contradice la referencia (en una abstención: niega algo que la referencia sí contiene). FUERA_REF = ni confirma ni contradice la referencia.</t>
  </si>
  <si>
    <t>hecho_ref</t>
  </si>
  <si>
    <t>H# de la hoja Hechos que cubre una afirmación CORRECTA; varios separados por ';' (ej. H2;H3). En INCORRECTA/abstención es opcional (nota).</t>
  </si>
  <si>
    <t>zona</t>
  </si>
  <si>
    <t>ref (por defecto) o no_resp si responde a la parte NO respondible. Un hecho FUERA_REF en no_resp genera NO-ABS.</t>
  </si>
  <si>
    <t>respaldo (solo RAG, solo hecho)</t>
  </si>
  <si>
    <t>SOSTENIDA = tiene cita [n] y ese fragmento expresa la relación. CITA-X = cita pero ese fragmento no la sostiene. SIN-CITA = sin cita, pero algún fragmento recibido la sostiene. SIN-RESPALDO = ningún fragmento recibido la sostiene (tenga o no cita). Dos nombres en la misma lista no sostienen 'A usa B'.</t>
  </si>
  <si>
    <t>llegó (hoja Hechos)</t>
  </si>
  <si>
    <t>Prellenado desde evidence_check.py: SI = llegó un fragmento gold; ALT = llegó evidencia alternativa; ALT-P = solo evidencia parcial (cuenta como NO salvo que la cambies a ALT y lo justifiques en comentario); NO = no llegó. Verifica leyendo Contextos.</t>
  </si>
  <si>
    <t>Códigos</t>
  </si>
  <si>
    <t>INC, ABS-E, NO-ABS, SIN-R, CITA-X, SIN-C se derivan de las columnas. Omisiones = hechos de la referencia sin cubrir (cubierto = 0).</t>
  </si>
  <si>
    <t>N2</t>
  </si>
  <si>
    <t>H=0: 2 si no hay NO-ABS, si no 0. H&gt;0: 2 si cubre todos y no hay INC/ABS-E/NO-ABS; 0 si no cubre ninguno; 1 en los demás casos. Sin topes.</t>
  </si>
  <si>
    <t>N3</t>
  </si>
  <si>
    <t>Solo RAG, sobre afirmaciones de hecho: 2 todas sostenidas; 0 ninguna; 1 parcial; N/A sin afirmaciones de hecho.</t>
  </si>
  <si>
    <t>Alertas</t>
  </si>
  <si>
    <t>CRITICA = hay INC, ABS-E o NO-ABS. RESPALDO = hay SIN-R o CITA-X. TRUNC = respuesta truncada por el límite de tokens. No cambian N2 ni N3.</t>
  </si>
  <si>
    <t>Diagnóstico</t>
  </si>
  <si>
    <t>Lista: E0 (NO-ABS) · E1 (hecho sin cubrir cuya evidencia no llegó) · E2 (hecho sin cubrir cuya evidencia sí llegó; o INC/ABS-E con todo lo demás llegado) · E3 (SIN-R, CITA-X o SIN-C). OK si no hay ninguno. Modo LLM: solo E0 y E2.</t>
  </si>
  <si>
    <t>Protección</t>
  </si>
  <si>
    <t>Las hojas están protegidas SIN contraseña para evitar editar fórmulas por accidente (Revisar &gt; Desproteger hoja). Este archivo nunca se sobrescribe desde el script: guarda copias de seguridad de tus calificaciones.</t>
  </si>
  <si>
    <t>Verificación</t>
  </si>
  <si>
    <t>Las fórmulas se evaluaron con un motor independiente (librería Python 'formulas') sobre calificacion_v2_DEMO.xlsx, que trae las 27 afirmaciones de los ejemplos: N2, N3, alertas y diagnóstico de las 8 respuestas coinciden con la columna 'esperado' de Respuestas. No se han abierto todavía en Excel; si algo no calcula en tu Excel, avísalo.</t>
  </si>
  <si>
    <t>qid</t>
  </si>
  <si>
    <t>modo</t>
  </si>
  <si>
    <t>idioma</t>
  </si>
  <si>
    <t>N0 corpus</t>
  </si>
  <si>
    <t>pregunta</t>
  </si>
  <si>
    <t>respuesta de referencia</t>
  </si>
  <si>
    <t>parte NO respondible</t>
  </si>
  <si>
    <t>RESPUESTA DEL SISTEMA</t>
  </si>
  <si>
    <t>truncada</t>
  </si>
  <si>
    <t>N1 (auto)</t>
  </si>
  <si>
    <t>hechos llegaron (auto)</t>
  </si>
  <si>
    <t>n afirm.</t>
  </si>
  <si>
    <t>hechos H</t>
  </si>
  <si>
    <t>cubiertos C</t>
  </si>
  <si>
    <t>cobertura</t>
  </si>
  <si>
    <t>INC</t>
  </si>
  <si>
    <t>ABS-E</t>
  </si>
  <si>
    <t>NO-ABS</t>
  </si>
  <si>
    <t>FUERA_REF</t>
  </si>
  <si>
    <t>SIN-R</t>
  </si>
  <si>
    <t>CITA-X</t>
  </si>
  <si>
    <t>SIN-C</t>
  </si>
  <si>
    <t>afirm. de hecho</t>
  </si>
  <si>
    <t>de hecho sostenidas</t>
  </si>
  <si>
    <t>alertas</t>
  </si>
  <si>
    <t>diagnóstico (lista)</t>
  </si>
  <si>
    <t>primer eslabón</t>
  </si>
  <si>
    <t>precisión citas</t>
  </si>
  <si>
    <t>cobertura citas</t>
  </si>
  <si>
    <t>aux E1</t>
  </si>
  <si>
    <t>aux E2</t>
  </si>
  <si>
    <t>comentario</t>
  </si>
  <si>
    <t>ESPERADO (ejemplos): N2 | N3 | diagnóstico</t>
  </si>
  <si>
    <t>p01</t>
  </si>
  <si>
    <t>rag</t>
  </si>
  <si>
    <t>ES</t>
  </si>
  <si>
    <t>completa</t>
  </si>
  <si>
    <t>¿Qué mitigaciones propone ATT&amp;CK para la sub-técnica T1059.001 PowerShell y en qué consiste cada una?</t>
  </si>
  <si>
    <t>ATT&amp;CK lista cinco mitigaciones para T1059.001: M1038 Execution Prevention (control de aplicaciones y PowerShell Constrained Language Mode), M1045 Code Signing (política de ejecución sólo de scripts firmados), M1026 Privileged Account Management (restringir la ejecución a administradores; JEA para limitar comandos), M1049 Antivirus/Antimalware (cuarentena automática de archivos sospechosos) y M1042 Disable or Remove Feature or Program (eliminar PowerShell donde no se necesite y deshabilitar/restringir WinRM).</t>
  </si>
  <si>
    <t>No se proporciona información en los contextos pasados sobre mitigaciones específicas para la sub-técnica T1059.001 PowerShell. Por lo tanto, no se puede responder a la pregunta con base en los datos ofrecidos.</t>
  </si>
  <si>
    <t>NO</t>
  </si>
  <si>
    <t>NINGUNA</t>
  </si>
  <si>
    <t>0/5</t>
  </si>
  <si>
    <t>0 | N/A | E1</t>
  </si>
  <si>
    <t>llm</t>
  </si>
  <si>
    <t>La sub-técnica **T1059.001** de ATT&amp;CK se refiere a **"Command and Scripting Interpreter"** con el enfoque específico de **PowerShell** (uso de PowerShell para ejecutar comandos y scripts). Aunque ATT&amp;CK no proporciona una lista detallada de "mitigaciones" en el sentido de soluciones técnicas específicas para cada sub-técnica, sí ofrece **recomendaciones de mitigación** basadas en buenas prácticas de seguridad y en el contexto de detección y prevención.
A continuación, se presentan las **mitigaciones propuestas o recomendadas** para T1059.001 (PowerShell), junto con una explicación de cada una:
---
### 1. **Restricción de ejecución de PowerShell**
- **Qué consiste**: Limitar el uso de PowerShell a entornos de ejecución seguros (por ejemplo, solo en modo "Restricted" o "RemoteSigned") y evitar que se ejecute scripts no firmados.
- **Por qué ayuda**: El modo "Restricted" bloquea la ejecución de scripts, lo que impide que un atacante ejecute código malicioso a través de PowerShell.
- **Ejemplo**: Configurar el registro de Windows para que PowerShell solo permita comandos interactivos y no scripts.
---
### 2. **Uso de firmas digitales y validación de scripts**
- **Qué consiste**: Requerir que los scripts PowerShell estén firmados por un certificado de firma válida antes de que se ejecuten.
- **Por qué ayuda**: Los scripts firmados son más fáciles de verificar y reducen el riesgo de ejecutar código malicioso.
- **Ejemplo**: Configurar el sistema para que solo se permita la ejecución de scripts firmados (usando el parámetro `-ExecutionPolicy` en PowerShell).
---
### 3. **Monitoreo y auditoría de comandos PowerShell**
- **Qué consiste**: Implementar herramientas de detección que monitoren los comandos ejecutados en PowerShell (por ejemplo, registros de eventos del sistema).
- **Por qué ayuda**: Permite detectar comportamientos sospechosos, como comandos que no son típicos de uso normal.
- **Ejemplo**: Usar herramientas como **Windows Event Logs (Event ID 4688)** o **SIEM** (como Splunk, QRadar) para analizar comandos ejecutados.
---
### 或 4. **Detección de comportamientos anómalos**
- **Qué consiste**: Aplicar análisis de comportamiento para detectar actividades inusuales, como la ejecución de comandos en horarios fuera de lo normal o en entornos no autorizados.
- **Por qué ayuda**: Aunque el atacante pueda ejecutar PowerShell, su comportamiento puede ser detectado como anómalo.
- **Ejemplo**: Detección de comandos como `Invoke-Expression`, `IEX`, o `System.Net.WebClient` que se usan comúnmente en ataques.
---
### 5. **Control de acceso y políticas de grupo (Group Policy)**
- **Qué consiste**: Aplicar políticas de grupo que limiten el acceso a PowerShell y a los permisos de ejecución.
- **Por qué ayuda**: Reduce el riesgo de que usuarios no autorizados o maliciosos puedan ejecutar PowerShell.
- **Ejemplo**: Configurar políticas de grupo para que solo los usuarios autorizados puedan ejecutar PowerShell.
---
### 6. **Uso de alternativas seguras a PowerShell**
- **Qué consiste**: En entornos críticos, usar herramientas más seguras como **Windows Command Prompt**, **batch files**, o **PowerShell con ejecución restringida**.
- **Por qué ayuda**: Reduce la superficie de ataque al evitar el uso de PowerShell en entornos sensibles.
---
### Nota importante:
ATT&amp;CK no proporciona una lista oficial de "mitigaciones" como un documento técnico detallado. Las mencionadas anteriormente son **recomendaciones basadas en buenas prácticas de seguridad** y en el marco de la estrategia de mitigación de la sub-técnica T1059.001.
---
✅ **Resumen**:
| Mitigación | Descripción |
|----------|-------------|
| Restricción de ejecución | Usar modos seguros (ej. Restricted) en PowerShell |
| Firmas digitales | Requerir firmas válidas para scripts |
| Monitoreo de eventos | Auditar comandos ejecutados en PowerShell</t>
  </si>
  <si>
    <t>SI</t>
  </si>
  <si>
    <t>1 | N/A | E2</t>
  </si>
  <si>
    <t>p02</t>
  </si>
  <si>
    <t>EN</t>
  </si>
  <si>
    <t>According to ATT&amp;CK, which tactic does Phishing (T1566) belong to and what are its four sub-techniques?</t>
  </si>
  <si>
    <t>Phishing belongs to the Initial Access tactic. Its four sub-techniques are T1566.001 Spearphishing Attachment, T1566.002 Spearphishing Link, T1566.003 Spearphishing via Service and T1566.004 Spearphishing Voice.</t>
  </si>
  <si>
    <t>According to ATT&amp;CK, Phishing (T1566) belongs to the tactic **Initial Access** [4].
The context does not list four sub-techniques of T1566. It mentions the following sub-techniques:
- T1566.004 - Spearphishing Voice [3]
- T1566.001 - Social Media Accounts [1]
- T1566.002 - Email Accounts [1]
- T1566.003 - Cloud Accounts [1]
However, only three of these are explicitly listed as sub-techniques of T1566 in the provided context. There is no mention of a fourth sub-technique.
Therefore, based on the provided context, Phishing (T1566) belongs to the **Initial Access** tactic, and its sub-techniques are:
- T1566.001 Social Media Accounts  
- T1566.002 Email Accounts  
- T1566.003 Cloud Accounts  
- T1566.004 Spearphishing Voice  
[1][3][4]</t>
  </si>
  <si>
    <t>PARTE</t>
  </si>
  <si>
    <t>1/5</t>
  </si>
  <si>
    <t>Phishing (T1566) belongs to the **Tactic: Initial Access** in the MITRE ATT&amp;CK framework.
However, it's important to clarify: **T1566 is not a tactic** — it is a **technique**. The correct categorization is:
- **Tactic**: Initial Access  
- **Technique**: T1566 – Phishing
T1566 – Phishing is a technique under the **Initial Access** tactic.
Regarding sub-techniques of T1566 (Phishing), MITRE ATT&amp;CK does **not** define four distinct sub-techniques under T1566. Instead, T1566 is a single technique with various **sub-techniques** (or forms) that describe different types of phishing, such as:
- T1566.001 – Spear Phishing Email  
- T1566.002 – Phishing Website  
- T1566.003 – Phishing SMS (Smishing)  
- T1566.004 – Phishing via Voice (Vishing)
Thus, the four sub-techniques of T1566 are:
- T1566.001 – Spear Phishing Email  
- T1566.002 – Phishing Website  
- T1566.003 – Phishing SMS (Smishing)  
- T1566.004 – Phishing via Voice (Vishing)
✅ Final Answer:
According to ATT&amp;CK, Phishing (T1566) belongs to the **Initial Access** tactic. Its four sub-techniques are:
- T1566.001 – Spear Phishing Email  
- T1566.002 – Phishing Website  
- T1566.003 – Phishing SMS (Smishing)  
- T1566.004 – Phishing via Voice (Vishing)</t>
  </si>
  <si>
    <t>p03</t>
  </si>
  <si>
    <t>¿Qué es la táctica Persistencia (TA0003) en ATT&amp;CK y qué busca conseguir el adversario con ella?</t>
  </si>
  <si>
    <t>Persistencia es la táctica en la que el adversario intenta mantener su punto de apoyo (foothold). Agrupa técnicas para conservar el acceso a los sistemas a pesar de reinicios, cambios de credenciales u otras interrupciones; incluye cualquier acceso, acción o cambio de configuración que le permita mantener ese acceso, como reemplazar o secuestrar código legítimo o añadir código de arranque.</t>
  </si>
  <si>
    <t>La táctica Persistencia (TA0003) en ATT&amp;CK consiste en técnicas que los adversarios utilizan para mantener su acceso a los sistemas a pesar de reinicios, cambios de credenciales o interrupciones que podrían cortar su acceso [1]. Esta táctica busca que el adversario mantenga su presencia en los sistemas tras eventos que podrían eliminar su acceso, como reinicios o cambios de credenciales [1].</t>
  </si>
  <si>
    <t>TODA</t>
  </si>
  <si>
    <t>2/2</t>
  </si>
  <si>
    <t>La táctica Persistencia (TA0003) en el marco MITRE ATT&amp;CK se refiere a la capacidad de un atacante para mantener acceso a un sistema o red tras la inicialización de una amenaza. Este objetivo permite que el atacante se mantenga activo en el entorno durante períodos prolongados, incluso después de que se hayan aplicado medidas de seguridad o se hayan detectado actividades inusuales.
El adversario busca conseguir que su acceso a la infraestructura sea **persistente**, es decir, que no se pierda al reiniciar el sistema o al aplicar controles de seguridad. Esto permite que el atacante realice actividades de recolección de datos, ejecución de comandos, propagación a otros sistemas o monitoreo continuo sin que se detecte inmediatamente.
Algunos ejemplos de técnicas asociadas a esta táctica incluyen:
- T1059.001 (Comandos y scripts maliciosos)
- T1059.002 (Ejecución de scripts)
- T1059.003 (Ejecución de comandos)
- T1059.004 (Ejecución de comandos a través de servicios)
- T1059.005 (Ejecución de comandos a través de servicios de red)
En resumen, la táctica Persistencia (TA0003) busca **mantener un acceso continuo y sin interrupción** al sistema objetivo, lo que facilita la ejecución de ataques más complejos y prolongados.</t>
  </si>
  <si>
    <t>p04</t>
  </si>
  <si>
    <t>parcial</t>
  </si>
  <si>
    <t>Según ATT&amp;CK, ¿qué es Cobalt Strike (S0154) y de qué otras herramientas conocidas aprovecha capacidades? ¿Cuánto cuesta su licencia anual?</t>
  </si>
  <si>
    <t>Cobalt Strike es una herramienta comercial de acceso remoto con todas las funciones, que se presenta como 'software de simulación de adversarios' para ejecutar ataques dirigidos y emular las acciones post-explotación de actores avanzados; sus capacidades interactivas cubren toda la gama de tácticas ATT&amp;CK en un único sistema integrado. Además de sus propias capacidades, aprovecha las de otras herramientas conocidas como Metasploit y Mimikatz (S0002).</t>
  </si>
  <si>
    <t>El precio de la licencia no está en el corpus (ATT&amp;CK no registra precios; la única aparición de 'price' en el corpus es en el software CoinTicker, sin relación).</t>
  </si>
  <si>
    <t>Según ATT&amp;CK, Cobalt Strike (S0154) es un software de tipo malware, perteneciente al dominio de ataque empresarial, que se describe como "una herramienta de acceso remoto comercial, completa, diseñada para ejecutar ataques dirigidos y emular las acciones de post-explotación de actores de amenazas avanzadas". [1]
Cobalt Strike aprovecha las capacidades de otras herramientas conocidas, como Metasploit y Mimikatz. [1]
No se proporciona información en los contextos sobre el costo anual de la licencia de Cobalt Strike. [1][2][3][4][5]
Por lo tanto, no se puede determinar cuánto cuesta su licencia anual basándose en los datos proporcionados.</t>
  </si>
  <si>
    <t>Cobalt Strike (S0154) es una herramienta de red de seguridad y de ataque que permite a los investigadores y profesionales de ciberseguridad realizar pruebas de penetración y análisis de vulnerabilidades en entornos de red. Según el MITRE ATT&amp;CK, S0154 se clasifica como una herramienta de "iniciación de sesión" (initial access) y se utiliza principalmente para simular ataques de red, como la ejecución remota de comandos en sistemas.
Cobalt Strike aprovecha capacidades de otras herramientas conocidas, como:
- **Metasploit**: para la ejecución de payloads y la gestión de sesiones.
- **PowerShell**: para la ejecución de comandos en sistemas Windows.
- **Meterpreter**: un módulo de Metasploit que permite la ejecución remota de comandos y la gestión de sesiones en sistemas operativos.
Sin embargo, es importante aclarar que **Cobalt Strike no es una herramienta de ataque comercial que se venda con una licencia anual**. Es una herramienta de investigación y pruebas de penetración que se ofrece como software de uso académico y profesional, y **no tiene un costo oficial de licencia anual** como producto comercializado en el mercado.
En su sitio oficial, Cobalt Strike está disponible para uso en entornos de pruebas y educación, y **no se cobra una licencia anual**. Su uso está regulado por las políticas de uso de la herramienta, y se recomienda su uso solo en entornos autorizados y bajo supervisión.
👉 **Respuesta final**:  
Cobalt Strike (S0150) es una herramienta de pruebas de penetración que simula ataques de red y aprovecha capacidades de herramientas como Metasploit y PowerShell. **No tiene una licencia anual y no se cobra un costo oficial** para su uso en entornos educativos o de investigación.</t>
  </si>
  <si>
    <t>p05</t>
  </si>
  <si>
    <t>Según ATT&amp;CK, ¿APT29 (G0016) utiliza Mimikatz? Y en caso afirmativo, ¿qué técnicas relacionadas con tickets Kerberos implementa esa herramienta?</t>
  </si>
  <si>
    <t>Sí: S0002 Mimikatz aparece en la lista de software usado por APT29 (y G0016 APT29 aparece en la lista 'Used by' de Mimikatz). Entre las técnicas de Mimikatz relacionadas con tickets Kerberos están T1550.003 Pass the Ticket, T1558.001 Golden Ticket y T1558.002 Silver Ticket.</t>
  </si>
  <si>
    <t>Sí, según ATT&amp;CK, APT29 (G0016) utiliza Mimikatz.  
En el contexto se indica que:  
- G0016 APT29 (grupo) ha utilizado ataques de Kerberos para el movimiento lateral [1].  
- S0002 Mimikatz (software) tiene el módulo &lt;code&gt;KERBEROS::PTT&lt;/code&gt; que implementa los tres pasos necesarios para extraer la contraseña del cuenta krbtgt y crear o usar tickets de Kerberos [1].  
Por lo tanto, Mimikatz implementa la técnica **T1550.003 - Pass the Ticket**, que es una técnica relacionada con tickets de Kerberos.  
**Respuesta final:**  
Sí, APT29 (G0016) utiliza Mimikatz, y la técnica relacionada con tickets de Kerberos que implementa esa herramienta es **T1550.003 - Pass the Ticket** [1].</t>
  </si>
  <si>
    <t>2/4</t>
  </si>
  <si>
    <t>1 | 1 | E1 E2 E3</t>
  </si>
  <si>
    <t>No, según el marco MITRE ATT&amp;CK, el grupo APT29 (identificado como G0016) no se ha documentado como usuario directo de Mimikatz. Aunque APT29 ha sido asociado con técnicas de acceso a sistemas mediante el uso de tickets Kerberos (como T1547.001 - "Exploitation of Kerberos"), estas acciones se realizan mediante herramientas o métodos específicos de ataque, no necesariamente mediante Mimikatz.
Además, Mimikatz es una herramienta de análisis de seguridad que permite la extracción de credenciales almacenadas en memoria (como los tickets Kerberos), y aunque puede ser utilizada por atacantes para obtener acceso a sistemas, su uso no está directamente vinculado a APT29 en fuentes oficiales del MITRE ATT&amp;CK.
En cuanto a técnicas relacionadas con tickets Kerberos que podría implementar APT29:
- **T1547.001 - Exploitation of Kerberos**: Este es el principal sub-técnico relacionado con el uso de tickets Kerberos para obtener acceso a sistemas. APT29 ha sido asociado con este comportamiento, especialmente en ataques que aprovechan vulnerabilidades en el protocolo Kerberos (por ejemplo, en el uso de tickets de tiempo de vida o en la reutilización de tickets).
Por lo tanto:
✅ APT29 (G0016) **no utiliza directamente Mimikatz**.  
✅ APT29 **sí implementa técnicas relacionadas con el uso de tickets Kerberos**, principalmente **T1547.001**.
**Respuesta final:**  
No, APT29 (G0016) no utiliza Mimikatz. Sin embargo, sí implementa la técnica T1547.001 - Exploitation of Kerberos.</t>
  </si>
  <si>
    <t>0 | N/A | E2</t>
  </si>
  <si>
    <t>p06</t>
  </si>
  <si>
    <t>¿Qué sub-técnicas de intérpretes de comandos (T1059.*) usa Lazarus Group (G0032) según ATT&amp;CK, y qué ataques ha realizado este grupo contra Ecuador?</t>
  </si>
  <si>
    <t>ATT&amp;CK atribuye a Lazarus Group tres sub-técnicas de T1059: T1059.001 PowerShell, T1059.003 Windows Command Shell y T1059.005 Visual Basic.</t>
  </si>
  <si>
    <t>Ataques contra Ecuador: el documento de G0032 no menciona Ecuador (la única aparición de 'Ecuador' en todo el corpus está en T1480 Execution Guardrails, sin relación con Lazarus).</t>
  </si>
  <si>
    <t>No se proporciona información en los contextos sobre qué sub-técnicas de intérpretes de comandos (T1059.*) usa el Lazarus Group (G0032) o sobre ataques específicos que haya realizado contra Ecuador. Aunque se menciona que el Lazarus Group utiliza técnicas como T1059.003 Windows Command Shell y T1059.005 Visual Basic en el contexto de software como AuditCred y TYPEFRAME [1][3], no se especifica explícitamente el uso de sub-técnicas de T1059.* en general, ni se menciona cualquier actividad contra Ecuador.
Además, no hay ninguna referencia en los contextos a ataques realizados por el Lazarus Group contra Ecuador.
Por lo tanto, **no se puede responder con certeza** a la pregunta basándose únicamente en los contextos proporcionados.
**Respuesta: No se puede determinar a partir de los contextos proporcionados.**</t>
  </si>
  <si>
    <t>3/3</t>
  </si>
  <si>
    <t>1 | 2 | E2</t>
  </si>
  <si>
    <t>No se ha documentado oficialmente en el MITRE ATT&amp;CK que el grupo Lazarus (G0032) haya utilizado específicamente sub-técnicas de intérpretes de comandos (T1059.*) como parte de sus actividades conocidas, ni se ha registrado un ataque directo contra Ecuador atribuido a este grupo en fuentes oficiales del MITRE ATT&amp;CK.
Además, el MITRE ATT&amp;CK no proporciona una lista detallada de sub-técnicas (como T1059.001, T1059.002, etc.) que el grupo Lazarus haya utilizado en operaciones específicas, ni hay evidencia verificada de que el grupo haya atacado a Ecuador.
Por lo tanto, **no se puede afirmar con certeza** que Lazarus haya usado sub-técnicas de intérpretes de comandos (T1059.*) o que haya realizado ataques contra Ecuador según el MITRE ATT&amp;CK.
**Respuesta final:**  
No hay evidencia oficial en el MITRE ATT&amp;CK de que el grupo Lazarus (G0032) haya utilizado sub-técnicas de intérpretes de comandos (T1059.*) o haya realizado ataques contra Ecuador.</t>
  </si>
  <si>
    <t>p07</t>
  </si>
  <si>
    <t>According to ATT&amp;CK, how has APT28 (G0007) carried out password spraying (T1110.003)?</t>
  </si>
  <si>
    <t>ATT&amp;CK records that during the APT28 Nearest Neighbor Campaign (C0051) APT28 performed password-spray attacks against public-facing services to validate credentials; that APT28 used brute-force/password-spray tooling which, in password-spraying mode, made approximately four authentication attempts per hour per targeted account over several days or weeks; and that APT28 also used a Kubernetes cluster to conduct distributed, large-scale password spray attacks.</t>
  </si>
  <si>
    <t>APT28 (G0007) has carried out password spraying (T1110.003) by using a brute-force/password-spray tooling that operated in two modes: in password-spraying mode, it conducted approximately four authentication attempts per hour per targeted account over the course of several days or weeks. Additionally, APT28 has used a Kubernetes cluster to conduct distributed, large-scale password spray attacks. During the APT28 Nearest Neighbor Campaign (C0051), APT28 performed password-spray attacks against public-facing services to validate credentials [1][2].</t>
  </si>
  <si>
    <t>As of now, there is no publicly documented or verified evidence in the MITRE ATT&amp;CK framework that APT28 (G0007) has specifically carried out password spraying (T1110.003) in a manner that is explicitly attributed or detailed within the ATT&amp;CK knowledge base.
While APT28 is known to use credential harvesting and phishing techniques, and password spraying is a common technique used in credential access (T1110.003), the ATT&amp;CK framework does not provide a specific, confirmed instance of APT28 executing password spraying as a tactic or technique.
Therefore, based on available ATT&amp;CK data, **there is no confirmed or documented instance of APT28 (G0007) carrying out password spraying (T1110.003)**.
Note: The MITRE ATT&amp;CK framework describes techniques and behaviors observed in cyberattacks, but it does not assign specific attribution to individual threat actors in all cases—especially for less publicly documented or unverified activities. Attribution remains a complex and often uncertain process.
Answer: There is no confirmed or documented instance in the MITRE ATT&amp;CK framework of APT28 (G0007) carrying out password spraying (T1110.003).</t>
  </si>
  <si>
    <t>p08</t>
  </si>
  <si>
    <t>¿Qué mitigaciones recomienda ATT&amp;CK contra Password Spraying (T1110.003) y qué porcentaje de las intrusiones registradas en 2025 comenzó con esta técnica?</t>
  </si>
  <si>
    <t>ATT&amp;CK recomienda tres mitigaciones: M1027 Password Policies (seguir las guías NIST al definir políticas de contraseñas), M1032 Multi-factor Authentication (usar MFA, también en servicios expuestos a Internet) y M1036 Account Use Policies (bloqueo de cuenta tras cierto número de intentos fallidos, con cuidado de no provocar denegación de servicio; políticas de acceso condicional para bloquear logins desde dispositivos no conformes o fuera de rangos IP de la organización; bloquear autenticaciones desde servicios de anonimización/proxies).</t>
  </si>
  <si>
    <t>El porcentaje de intrusiones de 2025 no existe en el corpus: ATT&amp;CK no contiene estadísticas de incidencia.</t>
  </si>
  <si>
    <t>No se proporciona información en los contextos sobre mitigaciones contra Password Spraying (T1110.003) ni sobre el porcentaje de intrusiones registradas en 2025 que comenzaron con esta técnica. Por lo tanto, no se puede responder a la pregunta con base en los datos ofrecidos.
[1][2][3][4][5] — ninguno de estos pasajes menciona mitigaciones específicas para T1110.003 ni proporciona datos sobre intrusiones en 2025.</t>
  </si>
  <si>
    <t>0/3</t>
  </si>
  <si>
    <t>No se proporciona información oficial en el MITRE ATT&amp;CK sobre mitigaciones específicas para la técnica de Password Spraying (T1110.003), ni se tiene datos disponibles sobre el porcentaje de intrusiones registradas en 2025 que comenzaron con esta técnica.  
El MITRE ATT&amp;CK no publica estadísticas anuales sobre el número o porcentaje de intrusiones que comenzaron con una técnica específica en un año futuro como 2025, ya que es un conjunto de conocimiento de amenazas y no un repositorio de datos de incidentes históricos o proyectados.  
Por lo tanto, **no se puede afirmar un porcentaje de intrusiones en 2025 que comenzaron con Password Spraying**, y **no se recomiendan mitigaciones específicas en el MITRE ATT&amp;CK para esta técnica** en el contexto de datos de 2025.  
Las mitigaciones recomendadas para Password Spraying (T1110.003) en general, basadas en buenas prácticas de seguridad, incluyen:  
- Uso de políticas de contraseñas fuertes y complejas.  
- Implementación de autenticación multifactor (MFA).  
- Configuración de alertas para intentos de acceso múltiples con credenciales.  
- Uso de herramientas de detección de comportamiento anómalo.  
- Educación del personal sobre riesgos de ataques de "spraying".  
Sin embargo, estas no son mitigaciones directamente especificadas por el MITRE ATT&amp;CK para T1110.003.  
✅ Respuesta final:  
**No se proporcionan mitigaciones específicas en el MITRE ATT&amp;CK para Password Spraying (T1110.003), y no se tiene datos sobre el porcentaje de intrusiones registradas en 2025 que comenzaron con esta técnica.**</t>
  </si>
  <si>
    <t>p09</t>
  </si>
  <si>
    <t>Which mitigations does ATT&amp;CK list for Phishing (T1566), and which commercial email security product does MITRE recommend to implement them?</t>
  </si>
  <si>
    <t>ATT&amp;CK lists six mitigations for Phishing: M1031 Network Intrusion Prevention (systems that scan and remove malicious attachments or links), M1021 Restrict Web-Based Content (block risky attachment types such as .scr, .exe, .pif, .cpl), M1017 User Training (train users to recognise social engineering and phishing), M1049 Antivirus/Antimalware (automatic quarantine of suspicious files), M1054 Software Configuration (anti-spoofing and email authentication: SPF, DKIM, DMARC) and M1047 Audit (audits/scans of systems, permissions and configurations).</t>
  </si>
  <si>
    <t>MITRE ATT&amp;CK does not recommend commercial vendors or products; no such recommendation exists in the corpus.</t>
  </si>
  <si>
    <t>The provided context passages do not list any mitigations for Phishing (T1566) nor do they specify any commercial email security product that MITRE recommends to implement them. While the passages mention email authentication mechanisms such as SPF, DKIM, and DMARC as part of filtering and validation, they do not explicitly state these as mitigations for T1566 or identify a specific commercial product to implement them [5]. Therefore, based on the given context, no mitigations or recommended commercial products are specified.
Answer: None of the mitigations or commercial email security products are listed in the provided context.</t>
  </si>
  <si>
    <t>2/6</t>
  </si>
  <si>
    <t>0 | 2 | E1 E2</t>
  </si>
  <si>
    <t>MITRE ATT&amp;CK does not list specific mitigations for Phishing (T1566) in the traditional sense of "mitigations" like firewall rules or endpoint protections. Instead, ATT&amp;CK provides a structured framework of tactics, techniques, and sub-techniques that adversaries use—such as phishing (T1566)—and recommends detection and prevention strategies based on real-world threat intelligence.
For Phishing (T1566), ATT&amp;CK recommends the following **detection and mitigation approaches**:
- **Email content filtering** to detect suspicious or malicious content.
- **Domain-based message authentication, reporting, and conformance (DMARC)** to prevent spoofed emails.
- **Sender Policy Framework (SPF)** and **DomainKeys Identified Mail (DKIM)** to verify sender authenticity.
- **User education and awareness programs** to reduce human susceptibility to phishing.
- **Real-time threat intelligence integration** to identify known phishing domains or URLs.
- **Behavioral analysis** to detect anomalies in email patterns (e.g., unusual senders, attachments, or links).
These are not "mitigations" in the sense of a product feature, but rather **security controls and practices** that help prevent or detect phishing attacks.
Regarding commercial email security products, MITRE does **not** recommend a specific commercial product** for implementing these mitigations. However, MITRE often references or aligns with industry-leading email security solutions that support these controls. For example:
- **Microsoft 365 Defender** (formerly Microsoft Defender for Office 365) is frequently cited in ATT&amp;CK for its capabilities in detecting and blocking phishing emails using DMARC, SPF, DKIM, and AI-driven content analysis.
- **Proofpoint**, **Palo Alto Networks Prisma Cloud**, and **Symantec Email Security** are also known to support many of these ATT&amp;CK-aligned controls.
✅ Therefore, while MITRE does not explicitly recommend a single commercial product for phishing mitigation, **Microsoft 365 Defender** is widely recognized and referenced in the ATT&amp;CK framework as a product that effectively implements many of the recommended mitigations for T1566 (Phishing).
**Final Answer:**
MITRE ATT&amp;CK does not list specific "mitigations" for Phishing (T1566) as a standalone category, but recommends controls such as DMARC/SPF/DKIM, user awareness, and real-time threat intelligence. MITRE does not recommend a single commercial product; however, **Microsoft 365 Defender** is a widely recognized email security solution that supports these ATT&amp;CK-aligned mitigations.</t>
  </si>
  <si>
    <t>1 | N/A | E0 E2</t>
  </si>
  <si>
    <t>p10</t>
  </si>
  <si>
    <t>nula</t>
  </si>
  <si>
    <t>¿Qué es la técnica T1417 Input Capture de ATT&amp;CK Mobile y qué mitigaciones propone ATT&amp;CK para ella?</t>
  </si>
  <si>
    <t>No respondible con el corpus: sólo está ingestado el dominio enterprise-attack; T1417 pertenece a mobile-attack y no existe ningún chunk con ese ID. La respuesta correcta es abstenerse indicando que el contexto no contiene esa información.</t>
  </si>
  <si>
    <t>Toda la pregunta.</t>
  </si>
  <si>
    <t>No se proporciona información sobre la técnica T1417 Input Capture en el contexto dado. Además, no hay menciones a ninguna técnica denominada "T1417 Input Capture" ni a mitigaciones específicas para ella en los pasajes proporcionados. Los pasajes mencionan exclusivamente la técnica T1056 - Input Capture y sus sub-técnicas (como T1056.001 y T1056.003), así como estrategias de detección (DET0102), pero no T1417 ni ninguna mitigación relacionada con ella.
Por lo tanto, no se puede responder a la pregunta con base en el contexto proporcionado.
Respuesta: No se proporciona información sobre la técnica T1417 Input Capture ni sobre mitigaciones para ella en el contexto dado.</t>
  </si>
  <si>
    <t>N/A</t>
  </si>
  <si>
    <t>0/0</t>
  </si>
  <si>
    <t>La técnica **T1417** en el marco de **MITRE ATT&amp;CK** no corresponde a "Input Capture" en el contexto móvil. De hecho, **T1417** está relacionada con **"Input Capture" en dispositivos móviles**, pero es importante aclarar que **T1417** es una técnica de **ciberataque en dispositivos móviles**, y su descripción oficial es:
&gt; **T1417: Input Capture** – *An attacker can capture input from a mobile device (e.g., keyboard, microphone, camera) to gather sensitive data such as passwords, messages, or voice recordings.*
Esta técnica implica que un atacante puede utilizar una aplicación maliciosa o un exploit para capturar entradas del usuario (como contraseñas, mensajes, llamadas o grabaciones) en un dispositivo móvil, lo cual puede ser usado para obtener información sensible.
### Mitigaciones propuestas por ATT&amp;CK para T1417:
El marco de ATT&amp;CK **no proporciona una lista detallada de mitigaciones específicas para T1417** como se hace con otras técnicas. En cambio, **los controles de seguridad y buenas prácticas** recomendados para prevenir esta técnica incluyen:
- **Revisar y restringir las permisos de aplicaciones** (por ejemplo, evitar que las apps accedan a micrófonos, cámaras o teclado).
- **Habilitar y usar funciones de seguridad del sistema** (como el modo de privacidad o protección de entradas).
- **Usar aplicaciones oficiales y verificadas** para evitar maliciosas que puedan capturar entradas.
- **Educación del usuario** sobre el riesgo de compartir información sensible en aplicaciones no confiables.
- **Monitoreo de actividad de entrada** (como teclado o micrófono) para detectar comportamientos anómalos.
&gt; ⚠️ Importante: T1417 está clasificada como **técnicas de ataque en dispositivos móviles**, y aunque está en el marco de ATT&amp;CK, **no tiene una sección específica de "mitigaciones" detalladas** como otras técnicas. Las recomendaciones provienen de buenas prácticas de seguridad móvil.
---
✅ **Resumen:**
- **T1417 (Input Capture)**: Permite a un atacante capturar entradas del usuario (contraseñas, mensajes, grabaciones) en dispositivos móviles.
- **Mitigaciones**: Control de permisos, uso de apps oficiales, educación del usuario, monitoreo de actividad anómala.
&gt; Nota: ATT&amp;CK no proporciona una lista oficial de mitigaciones para T1417. Las recomendaciones son derivadas de buenas prácticas de ciberseguridad móvil.</t>
  </si>
  <si>
    <t>p11</t>
  </si>
  <si>
    <t>Which ICS tactic does T0855 Unauthorized Command Message belong to and which assets does it target?</t>
  </si>
  <si>
    <t>Not answerable from the corpus: T0855 belongs to the ics-attack domain, which is not ingested; no chunk carries that ID. The correct behaviour is to state that the context does not contain the information.</t>
  </si>
  <si>
    <t>Entire question.</t>
  </si>
  <si>
    <t>The context provided does not contain information about T0855 Unauthorized Command Message or any ICS (Industrial Control Systems) tactic. Therefore, it is not possible to determine which ICS tactic T0855 belongs to or which assets it targets based on the given passages.
[No relevant context found.]</t>
  </si>
  <si>
    <t>The technique T0855 (Unauthorized Command Message) is not a valid or recognized entry in the MITRE ATT&amp;CK framework. There is no official technique with the ID "T0855" in the current MITRE ATT&amp;CK database for cyberattack tactics and techniques, including those related to Industrial Control Systems (ICS).
Additionally, the MITRE ATT&amp;CK framework does not have a technique labeled "T0855" — the "T" prefix is used for techniques, but the numbering (e.g., T1059 for command and script injection) follows a specific structure and does not include T0855.
Therefore, T0855 is not a valid or documented technique in the MITRE ATT&amp;CK framework, and thus it does not belong to any ICS tactic, nor does it target any specific assets.
If you meant a different technique or are referring to a non-standard or outdated identifier, please clarify.
Answer: T0855 is not a valid technique in the MITRE ATT&amp;CK framework and does not exist in any ICS tactic or asset targeting.</t>
  </si>
  <si>
    <t>p12</t>
  </si>
  <si>
    <t>¿Cuál fue la técnica ATT&amp;CK más utilizada por los atacantes a nivel mundial durante 2026?</t>
  </si>
  <si>
    <t>No respondible: ATT&amp;CK describe técnicas, grupos y procedimientos, pero no contiene estadísticas de frecuencia de uso por año. La respuesta correcta es abstenerse.</t>
  </si>
  <si>
    <t>No se proporciona información en los contextos sobre cuál fue la técnica ATT&amp;CK más utilizada por los atacantes a nivel mundial durante 2026. Aunque se mencionan varias herramientas y tácticas (como T1608.004, S9041, S9042, S9044), no hay datos que indiquen cuál fue la técnica más utilizada a nivel mundial en ese año. Por lo tanto, no se puede determinar la respuesta basándose únicamente en el contenido dado.
Respuesta: No se puede determinar con la información proporcionada.</t>
  </si>
  <si>
    <t>No se dispone de datos oficiales o públicos que indiquen cuál fue la técnica ATT&amp;CK más utilizada por los atacantes a nivel mundial durante 2026, ya que ese año aún no ha ocurrido y no se han publicado estadísticas oficiales sobre el uso de técnicas de ataque en el marco del MITRE ATT&amp;CK para ese período.
Además, el MITRE ATT&amp;CK no proporciona un ranking anual de técnicas más utilizadas por atacantes en un año futuro. Los datos sobre el uso de técnicas de ataque se basan en análisis de incidentes reales, reportes de amenazas y estudios de seguridad que se publican en años pasados.
Por lo tanto, no es posible responder con precisión a la pregunta sobre la técnica más utilizada en 2026.
Si te interesa, puedo proporcionar información sobre las técnicas más comunes en años pasados (por ejemplo, 2023 o 2024) o sobre las más frecuentes en el marco del MITRE ATT&amp;CK actual.</t>
  </si>
  <si>
    <t>p13</t>
  </si>
  <si>
    <t>¿Qué describe la sub-técnica T1059.099 de ATT&amp;CK y a qué táctica pertenece?</t>
  </si>
  <si>
    <t>No respondible: T1059.099 no existe en ATT&amp;CK ni en el corpus. La respuesta correcta es indicar que no hay información sobre ese identificador (sin inventar una sub-técnica de T1059).</t>
  </si>
  <si>
    <t>No se proporciona información sobre la sub-técnica T1059.099 en los contextos dados. Por lo tanto, no se puede describir ni identificar a qué táctica pertenece. [N/A]</t>
  </si>
  <si>
    <t>La sub-técnica T1059.099 de ATT&amp;CK describe **"Command and Scripting Interpreter: PowerShell"**, específicamente el uso de **PowerShell para ejecutar comandos y scripts**.  
Pertenece a la **táctica T1059: Command and Scripting Interpreter**, que incluye el uso de interpretadores de comandos y scripts para ejecutar código en sistemas operativos, como PowerShell, Bash, o otros lenguajes de scripting.
**Respuesta final:**  
La sub-técnica T1059.099 describe el uso de PowerShell como interpretador de comandos y scripts, y pertenece a la táctica T1059: Command and Scripting Interpreter.</t>
  </si>
  <si>
    <t>n</t>
  </si>
  <si>
    <t>afirmación</t>
  </si>
  <si>
    <t>respaldo</t>
  </si>
  <si>
    <t>cita_n</t>
  </si>
  <si>
    <t>fragmento_sostiene</t>
  </si>
  <si>
    <t>nota</t>
  </si>
  <si>
    <t>códigos (auto)</t>
  </si>
  <si>
    <t>chequeo (auto)</t>
  </si>
  <si>
    <t>APT29 (G0016) utiliza Mimikatz</t>
  </si>
  <si>
    <t>hecho</t>
  </si>
  <si>
    <t>CORRECTA</t>
  </si>
  <si>
    <t>H1</t>
  </si>
  <si>
    <t>ref</t>
  </si>
  <si>
    <t>SIN-RESPALDO</t>
  </si>
  <si>
    <t>1</t>
  </si>
  <si>
    <t>correcta pero ningún fragmento vincula APT29 con Mimikatz</t>
  </si>
  <si>
    <t>APT29 usó ataques Kerberos para movimiento lateral</t>
  </si>
  <si>
    <t>SOSTENIDA</t>
  </si>
  <si>
    <t>Mimikatz implementa T1550.003 Pass the Ticket</t>
  </si>
  <si>
    <t>H2</t>
  </si>
  <si>
    <t>APT29 no utiliza directamente Mimikatz</t>
  </si>
  <si>
    <t>INCORRECTA</t>
  </si>
  <si>
    <t>contradice H1</t>
  </si>
  <si>
    <t>La técnica de tickets Kerberos es T1547.001 Exploitation of Kerberos</t>
  </si>
  <si>
    <t>T1547.001 es Registry Run Keys; ese nombre no existe en el corpus</t>
  </si>
  <si>
    <t>Mimikatz extrae credenciales de memoria</t>
  </si>
  <si>
    <t>Los pasajes no listan ninguna mitigación para T1566</t>
  </si>
  <si>
    <t>abstencion</t>
  </si>
  <si>
    <t>H1;H2;H3;H4;H5;H6</t>
  </si>
  <si>
    <t>H5 y H6 sí llegaron</t>
  </si>
  <si>
    <t>Los pasajes mencionan SPF, DKIM y DMARC para filtrado</t>
  </si>
  <si>
    <t>5</t>
  </si>
  <si>
    <t>verdadera pero no cubre H5: la respuesta niega que sean mitigaciones</t>
  </si>
  <si>
    <t>No hay producto comercial recomendado</t>
  </si>
  <si>
    <t>no_resp</t>
  </si>
  <si>
    <t>ATT&amp;CK no lista mitigaciones específicas para T1566</t>
  </si>
  <si>
    <t>Recomienda DMARC, SPF y DKIM</t>
  </si>
  <si>
    <t>H5</t>
  </si>
  <si>
    <t>Recomienda educación de usuarios</t>
  </si>
  <si>
    <t>H3</t>
  </si>
  <si>
    <t>Recomienda filtrado de contenido, inteligencia de amenazas y análisis de comportamiento</t>
  </si>
  <si>
    <t>MITRE no recomienda un producto comercial concreto</t>
  </si>
  <si>
    <t>Microsoft 365 Defender es ampliamente referenciado en ATT&amp;CK</t>
  </si>
  <si>
    <t>contradice la afirmación anterior</t>
  </si>
  <si>
    <t>Los contextos no dan información sobre mitigaciones de T1059.001</t>
  </si>
  <si>
    <t>H1;H2;H3;H4;H5</t>
  </si>
  <si>
    <t>H5 solo llegó como evidencia parcial (ALT-P)</t>
  </si>
  <si>
    <t>ATT&amp;CK no proporciona una lista detallada de mitigaciones por sub-técnica</t>
  </si>
  <si>
    <t>respuesta truncada (TRUNC)</t>
  </si>
  <si>
    <t>Limitar PowerShell a modos Restricted/RemoteSigned</t>
  </si>
  <si>
    <t>Requerir scripts firmados</t>
  </si>
  <si>
    <t>Monitoreo, auditoría y detección de anomalías</t>
  </si>
  <si>
    <t>Políticas de grupo para limitar el acceso a PowerShell</t>
  </si>
  <si>
    <t>cobertura laxa de H3</t>
  </si>
  <si>
    <t>Usar alternativas (cmd, batch) en entornos críticos</t>
  </si>
  <si>
    <t>Los contextos no dicen qué sub-técnicas T1059.* usa Lazarus</t>
  </si>
  <si>
    <t>H1;H2;H3</t>
  </si>
  <si>
    <t>H1 llegó en r5</t>
  </si>
  <si>
    <t>Lazarus usa T1059.003 y T1059.005 (vía AuditCred y TYPEFRAME)</t>
  </si>
  <si>
    <t>H2;H3</t>
  </si>
  <si>
    <t>1;3</t>
  </si>
  <si>
    <t>No hay referencia a ataques contra Ecuador</t>
  </si>
  <si>
    <t>ATT&amp;CK no documenta que Lazarus use sub-técnicas T1059.*</t>
  </si>
  <si>
    <t>No hay evidencia de ataques de Lazarus contra Ecuador</t>
  </si>
  <si>
    <t>texto del hecho</t>
  </si>
  <si>
    <t>evidencia (n frag.)</t>
  </si>
  <si>
    <t>llegó (RAG)</t>
  </si>
  <si>
    <t>cubierto RAG</t>
  </si>
  <si>
    <t>cubierto LLM</t>
  </si>
  <si>
    <t>cubierto y citado RAG</t>
  </si>
  <si>
    <t>M1038 Execution Prevention</t>
  </si>
  <si>
    <t>M1045 Code Signing</t>
  </si>
  <si>
    <t>M1026 Privileged Account Management</t>
  </si>
  <si>
    <t>H4</t>
  </si>
  <si>
    <t>M1049 Antivirus/Antimalware</t>
  </si>
  <si>
    <t>M1042 Disable or Remove Feature or Program (PowerShell/WinRM)</t>
  </si>
  <si>
    <t>ALT-P</t>
  </si>
  <si>
    <t>Phishing pertenece a Initial Access</t>
  </si>
  <si>
    <t>T1566.001 Spearphishing Attachment</t>
  </si>
  <si>
    <t>T1566.002 Spearphishing Link</t>
  </si>
  <si>
    <t>T1566.003 Spearphishing via Service</t>
  </si>
  <si>
    <t>T1566.004 Spearphishing Voice</t>
  </si>
  <si>
    <t>Persistencia = el adversario intenta mantener su punto de apoyo</t>
  </si>
  <si>
    <t>Conservar acceso pese a reinicios, cambios de credenciales u otras interrupciones</t>
  </si>
  <si>
    <t>Cobalt Strike: herramienta comercial de acceso remoto / simulación de adversarios</t>
  </si>
  <si>
    <t>Aprovecha capacidades de Metasploit y Mimikatz</t>
  </si>
  <si>
    <t>APT29 usa Mimikatz (G0016 &lt;-&gt; S0002)</t>
  </si>
  <si>
    <t>ALT</t>
  </si>
  <si>
    <t>Mimikatz implementa T1558.001 Golden Ticket</t>
  </si>
  <si>
    <t>Mimikatz implementa T1558.002 Silver Ticket</t>
  </si>
  <si>
    <t>Lazarus usa T1059.001 PowerShell</t>
  </si>
  <si>
    <t>Lazarus usa T1059.003 Windows Command Shell</t>
  </si>
  <si>
    <t>Lazarus usa T1059.005 Visual Basic</t>
  </si>
  <si>
    <t>Nearest Neighbor Campaign: APT28 password spray contra servicios públicos</t>
  </si>
  <si>
    <t>Herramienta de fuerza bruta: ~4 intentos por hora por cuenta</t>
  </si>
  <si>
    <t>Clúster de Kubernetes para password spray distribuido</t>
  </si>
  <si>
    <t>M1027 Password Policies (NIST)</t>
  </si>
  <si>
    <t>M1032 Multi-factor Authentication</t>
  </si>
  <si>
    <t>M1036 Account Use Policies</t>
  </si>
  <si>
    <t>M1031 Network Intrusion Prevention</t>
  </si>
  <si>
    <t>M1021 Restrict Web-Based Content</t>
  </si>
  <si>
    <t>M1017 User Training</t>
  </si>
  <si>
    <t>M1054 Software Configuration (SPF, DKIM, DMARC)</t>
  </si>
  <si>
    <t>H6</t>
  </si>
  <si>
    <t>M1047 Audit</t>
  </si>
  <si>
    <t>rank</t>
  </si>
  <si>
    <t>point_id</t>
  </si>
  <si>
    <t>attack_id</t>
  </si>
  <si>
    <t>chunk</t>
  </si>
  <si>
    <t>score</t>
  </si>
  <si>
    <t>texto del fragmento</t>
  </si>
  <si>
    <t>0a79d1de-5953-5bf1-91d8-c87bbbf93bc8</t>
  </si>
  <si>
    <t>T1059.001</t>
  </si>
  <si>
    <t>0/11</t>
  </si>
  <si>
    <t># T1059.001 - PowerShell
Type: sub-technique | Domain: enterprise-attack | ATT&amp;CK version: 19.2
Tactics: execution
Platforms: Windows
Sub-technique of: T1059 Command and Scripting Interpreter
## Description
Adversaries may abuse PowerShell commands and scripts for execution. PowerShell is a powerful interactive command-line interface and scripting environment included in the Windows operating system. Adversaries can use PowerShell to perform a number of actions, including discovery of information and execution of code. Examples include the &lt;code&gt;Start-Process&lt;/code&gt; cmdlet which can be used to run an executable and the &lt;code&gt;Invoke-Command&lt;/code&gt; cmdlet which runs a command locally or on a remote computer (though administrator permissions are required to use PowerShell to connect to remote systems).
PowerShell may also be used to download and run executables from the Internet, which can be executed from disk or in memory without touching disk.</t>
  </si>
  <si>
    <t>4890209d-7610-5835-817d-6f8eb92c4ff3</t>
  </si>
  <si>
    <t>S1193</t>
  </si>
  <si>
    <t>0/1</t>
  </si>
  <si>
    <t># S1193 - TAMECAT
Type: software | Domain: enterprise-attack | ATT&amp;CK version: 19.2
Software type: malware | Aliases: TAMECAT | Platforms: Windows
## Description
[TAMECAT](https://attack.mitre.org/software/S1193) is a malware that is used by [APT42](https://attack.mitre.org/groups/G1044) to execute PowerShell or C# content.
## Techniques used
- T1047 Windows Management Instrumentation
- T1059.001 PowerShell
- T1059.003 Windows Command Shell
- T1059.005 Visual Basic
- T1071.001 Web Protocols
- T1105 Ingress Tool Transfer
- T1132.001 Standard Encoding
- T1518.001 Security Software Discovery
- T1573.001 Symmetric Cryptography
## Used by
- G1044 APT42</t>
  </si>
  <si>
    <t>a2e64c2d-7e66-5e5a-86df-0543d7957b56</t>
  </si>
  <si>
    <t>G0099</t>
  </si>
  <si>
    <t>1/3</t>
  </si>
  <si>
    <t># G0099 - APT-C-36
institutions and entities in the financial, energy, and professional manufacturing sectors across Colombia and other Latin American countries.
## Techniques used
- T1027 Obfuscated Files or Information
- T1027.003 Steganography
- T1027.013 Encrypted/Encoded File
- T1027.016 Junk Code Insertion
- T1036.004 Masquerade Task or Service
- T1036.005 Match Legitimate Resource Name or Location
- T1047 Windows Management Instrumentation
- T1053.005 Scheduled Task
- T1055.012 Process Hollowing
- T1059.001 PowerShell
- T1059.005 Visual Basic
- T1059.007 JavaScript
- T1105 Ingress Tool Transfer
- T1133 External Remote Services
- T1204.001 Malicious Link
- T1204.002 Malicious File
- T1480 Execution Guardrails
- T1534 Internal Spearphishing
- T1564.003 Hidden Window
- T1566.001 Spearphishing Attachment
- T1566.002 Spearphishing Link
- T1568 Dynamic Resolution
- T1571 Non-Standard Port
- T1574.001 DLL
- T1583.001 Domains
- T1583.003 Virtual Private Server
- T1583.006 Web Services
- T1584.005 Botnet
- T1586.002 Email Accounts
- T1586.003 Cloud Accounts
- T1587.001 Malware
- T1588.001 Malware
- T1588.002 Tool
- T1593 Search Open Websites/Domains
- T1608.001 Upload Malware
- T1683.001 Written Content
- T1683.002 Audio-Visual Content
- T1684.001 Impersonation</t>
  </si>
  <si>
    <t>12155368-afb0-5e72-bdbd-189ee840f96e</t>
  </si>
  <si>
    <t>T1059</t>
  </si>
  <si>
    <t>5/10</t>
  </si>
  <si>
    <t># T1059 - Command and Scripting Interpreter
interpreter installations.
- M1042 Disable or Remove Feature or Program: Disable or remove any unnecessary or unused shells or interpreters.
## Sub-techniques
- T1059.007 JavaScript
- T1059.002 AppleScript
- T1059.010 AutoHotKey &amp; AutoIT
- T1059.009 Cloud API
- T1059.008 Network Device CLI
- T1059.001 PowerShell
- T1059.004 Unix Shell
- T1059.011 Lua
- T1059.013 Container CLI/API
- T1059.005 Visual Basic
- T1059.003 Windows Command Shell
- T1059.012 Hypervisor CLI
- T1059.006 Python
## Procedure examples
- C0005 Operation Spalax (campaign): For [Operation Spalax](https://attack.mitre.org/campaigns/C0005), the threat actors used Nullsoft Scriptable Install System (NSIS) scripts to install malware.
- C0029 Cutting Edge (campaign): During [Cutting Edge](https://attack.mitre.org/campaigns/C0029), threat actors used Perl scripts to enable the deployment of the THINSPOOL shell script dropper and for enumerating host data.
- C0046 ArcaneDoor (campaign): [ArcaneDoor](https://attack.mitre.org/campaigns/C0046) included the adversary executing command line interface (CLI) commands.</t>
  </si>
  <si>
    <t>3176af7f-1b20-500d-8754-9e2746f08472</t>
  </si>
  <si>
    <t>S0393</t>
  </si>
  <si>
    <t># S0393 - PowerStallion
Type: software | Domain: enterprise-attack | ATT&amp;CK version: 19.2
Software type: malware | Aliases: PowerStallion | Platforms: Windows
## Description
[PowerStallion](https://attack.mitre.org/software/S0393) is a lightweight [PowerShell](https://attack.mitre.org/techniques/T1059/001) backdoor used by [Turla](https://attack.mitre.org/groups/G0010), possibly as a recovery access tool to install other backdoors.
## Techniques used
- T1027 Obfuscated Files or Information
- T1057 Process Discovery
- T1059.001 PowerShell
- T1070.006 Timestomp
- T1102.002 Bidirectional Communication
## Used by
- G0010 Turla</t>
  </si>
  <si>
    <t>b2a9cfd5-44fa-5197-8cfd-a36ce303763f</t>
  </si>
  <si>
    <t>T1586</t>
  </si>
  <si>
    <t>2/3</t>
  </si>
  <si>
    <t># T1586 - Compromise Accounts
organization.
Much of this activity will take place outside the visibility of the target organization, making detection of this behavior difficult.
Detection efforts may be focused on related stages of the adversary lifecycle, such as during Initial Access (ex: [Phishing](https://attack.mitre.org/techniques/T1566)).
Monitor and analyze traffic patterns and packet inspection associated to protocol(s) that do not follow the expected protocol standards and traffic flows (e.g extraneous packets that do not belong to established flows, gratuitous or anomalous traffic patterns, anomalous syntax, or structure).
Consider correlation with process monitoring and command line to detect anomalous processes execution and command line arguments associated to traffic patterns (e.g.
monitor anomalies in use of files that do not normally initiate connections for respective protocol(s)).
## Mitigations
- M1056 Pre-compromise: This technique cannot be easily mitigated with preventive controls since it is based on behaviors performed outside of the scope of enterprise defenses and controls.
## Sub-techniques
- T1586.001 Social Media Accounts
- T1586.003 Cloud Accounts
- T1586.002 Email Accounts</t>
  </si>
  <si>
    <t>af42649d-952f-5dfb-afab-8c8e51a00019</t>
  </si>
  <si>
    <t>T1566</t>
  </si>
  <si>
    <t>0/8</t>
  </si>
  <si>
    <t># T1566 - Phishing
Type: technique | Domain: enterprise-attack | ATT&amp;CK version: 19.2
Tactics: initial-access
Platforms: Identity Provider, Linux, macOS, Office Suite, SaaS, Windows
## Description
Adversaries may send phishing messages to gain access to victim systems. All forms of phishing are electronically delivered social engineering. Phishing can be targeted, known as spearphishing. In spearphishing, a specific individual, company, or industry will be targeted by the adversary. More generally, adversaries can conduct non-targeted phishing, such as in mass malware spam campaigns.</t>
  </si>
  <si>
    <t>7d5a91ab-56d5-5ca2-b89b-c33ea61c6f5c</t>
  </si>
  <si>
    <t>T1566.004</t>
  </si>
  <si>
    <t>0/4</t>
  </si>
  <si>
    <t># T1566.004 - Spearphishing Voice
Type: sub-technique | Domain: enterprise-attack | ATT&amp;CK version: 19.2
Tactics: initial-access
Platforms: Linux, macOS, Windows, Identity Provider
Sub-technique of: T1566 Phishing
## Description
Adversaries may use voice communications to ultimately gain access to victim systems. Spearphishing voice is a specific variant of spearphishing. It is different from other forms of spearphishing in that it employs the use of manipulating a user into providing access to systems through a phone call or other forms of voice communications. Spearphishing frequently involves social engineering techniques, such as posing as a trusted source (ex: [Impersonation](https://attack.mitre.org/techniques/T1684/001)) and/or creating a sense of urgency or alarm for the recipient.</t>
  </si>
  <si>
    <t>ff4c0835-7fe5-59cd-a94d-d82a9c87c07c</t>
  </si>
  <si>
    <t>TA0001</t>
  </si>
  <si>
    <t># TA0001 - Initial Access
Type: tactic | Domain: enterprise-attack | ATT&amp;CK version: 19.2
Shortname: initial-access
## Description
The adversary is trying to get into your network.
Initial Access consists of techniques that use various entry vectors to gain their initial foothold within a network. Techniques used to gain a foothold include targeted spearphishing and exploiting weaknesses on public-facing web servers. Footholds gained through initial access may allow for continued access, like valid accounts and use of external remote services, or may be limited-use due to changing passwords.
## Techniques in this tactic
- T1078 Valid Accounts
- T1091 Replication Through Removable Media
- T1133 External Remote Services
- T1189 Drive-by Compromise
- T1190 Exploit Public-Facing Application
- T1195 Supply Chain Compromise
- T1199 Trusted Relationship
- T1200 Hardware Additions
- T1566 Phishing
- T1659 Content Injection
- T1669 Wi-Fi Networks</t>
  </si>
  <si>
    <t>f4d8f7cf-221f-59d8-8020-429a851befef</t>
  </si>
  <si>
    <t>T1598</t>
  </si>
  <si>
    <t>0/6</t>
  </si>
  <si>
    <t># T1598 - Phishing for Information
Type: technique | Domain: enterprise-attack | ATT&amp;CK version: 19.2
Tactics: reconnaissance
Platforms: PRE
## Description
Adversaries may send phishing messages to elicit sensitive information that can be used during targeting. Phishing for information is an attempt to trick targets into divulging information, frequently credentials or other actionable information. Phishing for information is different from [Phishing](https://attack.mitre.org/techniques/T1566) in that the objective is gathering data from the victim rather than executing malicious code.
All forms of phishing are electronically delivered social engineering. Phishing can be targeted, known as spearphishing. In spearphishing, a specific individual, company, or industry will be targeted by the adversary. More generally, adversaries can conduct non-targeted phishing, such as in mass credential harvesting campaigns.</t>
  </si>
  <si>
    <t>259ce106-5bf5-5095-9060-49c5e3501b01</t>
  </si>
  <si>
    <t>TA0003</t>
  </si>
  <si>
    <t>0/2</t>
  </si>
  <si>
    <t># TA0003 - Persistence
Type: tactic | Domain: enterprise-attack | ATT&amp;CK version: 19.2
Shortname: persistence
## Description
The adversary is trying to maintain their foothold.
Persistence consists of techniques that adversaries use to keep access to systems across restarts, changed credentials, and other interruptions that could cut off their access. Techniques used for persistence include any access, action, or configuration changes that let them maintain their foothold on systems, such as replacing or hijacking legitimate code or adding startup code.</t>
  </si>
  <si>
    <t>e10a631d-09ba-51f0-875b-5eb8736daa53</t>
  </si>
  <si>
    <t>T1070.010</t>
  </si>
  <si>
    <t># T1070.010 - Relocate Malware
Type: sub-technique | Domain: enterprise-attack | ATT&amp;CK version: 19.2
Tactics: stealth
Platforms: Linux, macOS, Network Devices, Windows
Sub-technique of: T1070 Indicator Removal
## Description
Once a payload is delivered, adversaries may reproduce copies of the same malware on the victim system to remove evidence of their presence and/or avoid defenses. Copying malware payloads to new locations may also be combined with [File Deletion](https://attack.mitre.org/techniques/T1070/004) to cleanup older artifacts.
Relocating malware may be a part of many actions intended to evade defenses. For example, adversaries may copy and rename payloads to better blend into the local environment (i.e., [Match Legitimate Resource Name or Location](https://attack.mitre.org/techniques/T1036/005)). Payloads may also be repositioned to target [File/Path Exclusions](https://attack.mitre.org/techniques/T1564/012) as well as specific locations associated with establishing [Persistence](https://attack.mitre.org/tactics/TA0003).</t>
  </si>
  <si>
    <t>b0eccfc2-c562-56d9-a9c2-b5fb87c09c21</t>
  </si>
  <si>
    <t>T1668</t>
  </si>
  <si>
    <t># T1668 - Exclusive Control
Type: technique | Domain: enterprise-attack | ATT&amp;CK version: 19.2
Tactics: persistence
Platforms: Linux, macOS, Windows
## Description
Adversaries who successfully compromise a system may attempt to maintain persistence by “closing the door” behind them  – in other words, by preventing other threat actors from initially accessing or maintaining a foothold on the same system.
For example, adversaries may patch a vulnerable, compromised system to prevent other threat actors from leveraging that vulnerability in the future. They may “close the door” in other ways, such as disabling vulnerable services, stripping privileges from accounts, or removing other malware already on the compromised device.</t>
  </si>
  <si>
    <t>5eecfeb4-7ff3-5476-a857-a696b2cfa777</t>
  </si>
  <si>
    <t>T1596.003</t>
  </si>
  <si>
    <t># T1596.003 - Digital Certificates
Type: sub-technique | Domain: enterprise-attack | ATT&amp;CK version: 19.2
Tactics: reconnaissance
Platforms: PRE
Sub-technique of: T1596 Search Open Technical Databases
## Description
Adversaries may search public digital certificate data for information about victims that can be used during targeting. Digital certificates are issued by a certificate authority (CA) in order to cryptographically verify the origin of signed content. These certificates, such as those used for encrypted web traffic (HTTPS SSL/TLS communications), contain information about the registered organization such as name and location.</t>
  </si>
  <si>
    <t>d594b40b-00a7-5682-b595-8e660593de1f</t>
  </si>
  <si>
    <t>T1547.007</t>
  </si>
  <si>
    <t># T1547.007 - Re-opened Applications
Type: sub-technique | Domain: enterprise-attack | ATT&amp;CK version: 19.2
Tactics: persistence, privilege-escalation
Platforms: macOS
Sub-technique of: T1547 Boot or Logon Autostart Execution
## Description
Adversaries may modify plist files to automatically run an application when a user logs in. When a user logs out or restarts via the macOS Graphical User Interface (GUI), a prompt is provided to the user with a checkbox to "Reopen windows when logging back in". When selected, all applications currently open are added to a property list file named &lt;code&gt;com.apple.loginwindow.[UUID].plist&lt;/code&gt; within the &lt;code&gt;~/Library/Preferences/ByHost&lt;/code&gt; directory. Applications listed in this file are automatically reopened upon the user’s next logon.
Adversaries can establish [Persistence](https://attack.mitre.org/tactics/TA0003) by adding a malicious application path to the &lt;code&gt;com.apple.loginwindow.[UUID].plist&lt;/code&gt; file to execute payloads when a user logs in.</t>
  </si>
  <si>
    <t>71c1c43a-b0b2-569d-8a65-7d55faff7ef8</t>
  </si>
  <si>
    <t>S0154</t>
  </si>
  <si>
    <t># S0154 - Cobalt Strike
Type: software | Domain: enterprise-attack | ATT&amp;CK version: 19.2
Software type: malware | Aliases: Cobalt Strike | Platforms: Linux, macOS, Windows
## Description
[Cobalt Strike](https://attack.mitre.org/software/S0154) is a commercial, full-featured, remote access tool that bills itself as “adversary simulation software designed to execute targeted attacks and emulate the post-exploitation actions of advanced threat actors”. Cobalt Strike’s interactive post-exploit capabilities cover the full range of ATT&amp;CK tactics, all executed within a single, integrated system.
In addition to its own capabilities, [Cobalt Strike](https://attack.mitre.org/software/S0154) leverages the capabilities of other well-known tools such as Metasploit and [Mimikatz](https://attack.mitre.org/software/S0002).</t>
  </si>
  <si>
    <t>b27606ce-c40b-57f1-92e7-d18ac7673f0e</t>
  </si>
  <si>
    <t>T1021.004</t>
  </si>
  <si>
    <t>6/7</t>
  </si>
  <si>
    <t># T1021.004 - SSH
SSH through an HTTP tunnel.
- S0154 Cobalt Strike (software): [Cobalt Strike](https://attack.mitre.org/software/S0154) can SSH to a remote service.
- S0599 Kinsing (software): [Kinsing](https://attack.mitre.org/software/S0599) has used SSH for lateral movement.</t>
  </si>
  <si>
    <t>c7c1e3ef-2447-55be-8bab-3de4d5e3fa0b</t>
  </si>
  <si>
    <t>G0080</t>
  </si>
  <si>
    <t># G0080 - Cobalt Group
T1566.001 Spearphishing Attachment
- T1566.002 Spearphishing Link
- T1572 Protocol Tunneling
- T1573.002 Asymmetric Cryptography
- T1588.002 Tool
## Software used
- S0002 Mimikatz
- S0284 More_eggs
- S0646 SpicyOmelette
- S0195 SDelete
- S0154 Cobalt Strike
- S0029 PsExec</t>
  </si>
  <si>
    <t>ee34623e-b92f-55b0-bf27-6b757ee1681d</t>
  </si>
  <si>
    <t>S0637</t>
  </si>
  <si>
    <t># S0637 - NativeZone
Type: software | Domain: enterprise-attack | ATT&amp;CK version: 19.2
Software type: malware | Aliases: NativeZone | Platforms: Windows
## Description
[NativeZone](https://attack.mitre.org/software/S0637) is the name given collectively to disposable custom [Cobalt Strike](https://attack.mitre.org/software/S0154) loaders used by [APT29](https://attack.mitre.org/groups/G0016) since at least 2021.
## Techniques used
- T1036 Masquerading
- T1140 Deobfuscate/Decode Files or Information
- T1204.002 Malicious File
- T1218.011 Rundll32
- T1480 Execution Guardrails
- T1497.001 System Checks
## Used by
- G0016 APT29</t>
  </si>
  <si>
    <t>a8f8bb82-ac11-5f17-b51c-536281194ec5</t>
  </si>
  <si>
    <t>T1001.003</t>
  </si>
  <si>
    <t>5/8</t>
  </si>
  <si>
    <t># T1001.003 - Protocol or Service Impersonation
requests.
- S0387 KeyBoy (software): [KeyBoy](https://attack.mitre.org/software/S0387) uses custom SSL libraries to impersonate SSL in C2 traffic.
- S0586 TAINTEDSCRIBE (software): [TAINTEDSCRIBE](https://attack.mitre.org/software/S0586) has used FakeTLS for session authentication.
- S0022 Uroburos (software): [Uroburos](https://attack.mitre.org/software/S0022) can use custom communication methodologies that ride over common  protocols including TCP, UDP, HTTP, SMTP, and DNS in order to blend with normal network traffic.
- S0245 BADCALL (software): [BADCALL](https://attack.mitre.org/software/S0245) uses a FakeTLS method during C2.
- S0154 Cobalt Strike (software): [Cobalt Strike](https://attack.mitre.org/software/S0154) can leverage the HTTP protocol for C2 communication, while hiding the actual data in either an HTTP header, URI parameter, the transaction body, or appending it to the URI.
[Cobalt Strike](https://attack.mitre.org/software/S0154) has also added Host: ocsp.verisign.com to HTTP headers to mimic Online Certificate Status Protocol (OCSP) traffic.</t>
  </si>
  <si>
    <t>750bebf0-a34b-5f77-9ddb-6fe2a3f246ba</t>
  </si>
  <si>
    <t>T1550.003</t>
  </si>
  <si>
    <t>4/5</t>
  </si>
  <si>
    <t># T1550.003 - Pass the Ticket
account password once, force replication, and then change the password a second time. Consider rotating the KRBTGT account password every 180 days.
## Procedure examples
- G0050 APT32 (group): [APT32](https://attack.mitre.org/groups/G0050) successfully gained remote access by using pass the ticket.
- G0016 APT29 (group): [APT29](https://attack.mitre.org/groups/G0016) used Kerberos ticket attacks for lateral movement.
- G0060 BRONZE BUTLER (group): [BRONZE BUTLER](https://attack.mitre.org/groups/G0060) has created forged Kerberos Ticket Granting Ticket (TGT) and Ticket Granting Service (TGS) tickets to maintain administrative access.
- S0053 SeaDuke (software): Some [SeaDuke](https://attack.mitre.org/software/S0053) samples have a module to use pass the ticket with Kerberos for authentication.
- S0002 Mimikatz (software): [Mimikatz](https://attack.mitre.org/software/S0002)’s &lt;code&gt;LSADUMP::DCSync&lt;/code&gt; and &lt;code&gt;KERBEROS::PTT&lt;/code&gt; modules implement the three steps required to extract the krbtgt account hash and create/use Kerberos tickets.
- S0192 Pupy (software): [Pupy](https://attack.mitre.org/software/S0192) can also perform pass-the-ticket.</t>
  </si>
  <si>
    <t>7056425c-0a49-5208-8a73-967b7b0834c4</t>
  </si>
  <si>
    <t># T1550.003 - Pass the Ticket
Type: sub-technique | Domain: enterprise-attack | ATT&amp;CK version: 19.2
Tactics: lateral-movement
Platforms: Windows
Sub-technique of: T1550 Use Alternate Authentication Material
## Description
Adversaries may “pass the ticket” using stolen Kerberos tickets to move laterally within an environment, bypassing normal system access controls. Pass the ticket (PtT) is a method of authenticating to a system using Kerberos tickets without having access to an account's password. Kerberos authentication can be used as the first step to lateral movement to a remote system.
When preforming PtT, valid Kerberos tickets for [Valid Accounts](https://attack.mitre.org/techniques/T1078) are captured by [OS Credential Dumping](https://attack.mitre.org/techniques/T1003). A user's service tickets or ticket granting ticket (TGT) may be obtained, depending on the level of access. A service ticket allows for access to a particular resource, whereas a TGT can be used to request service tickets from the Ticket Granting Service (TGS) to access any resource the user has privileges to access.</t>
  </si>
  <si>
    <t>304f8585-a1e6-5623-9b25-a13b95dab776</t>
  </si>
  <si>
    <t>T1558.003</t>
  </si>
  <si>
    <t>3/7</t>
  </si>
  <si>
    <t># T1558.003 - Kerberoasting
outside normal usage baselines. Also correlates suspicious process activity (e.g., Mimikatz invoking LSASS access) with Kerberos ticket anomalies.
## Mitigations
- M1027 Password Policies: Ensure strong password length (ideally 25+ characters) and complexity for service accounts and that these passwords periodically expire. Also consider using Group Managed Service Accounts or another third party product such as password vaulting.
- M1026 Privileged Account Management: Limit service accounts to minimal required privileges, including membership in privileged groups such as Domain Administrators.
- M1041 Encrypt Sensitive Information: Enable AES Kerberos encryption (or another stronger encryption algorithm), rather than RC4, where possible.
## Procedure examples
- C0024 SolarWinds Compromise (campaign): During the [SolarWinds Compromise](https://attack.mitre.org/campaigns/C0024), [APT29](https://attack.mitre.org/groups/G0016) obtained Ticket Granting Service (TGS) tickets for Active Directory Service Principle Names to crack offline.</t>
  </si>
  <si>
    <t>daaa4cb7-91e0-5cc0-82b5-3b2bb2ca454a</t>
  </si>
  <si>
    <t>S0079</t>
  </si>
  <si>
    <t># S0079 - MobileOrder
Type: software | Domain: enterprise-attack | ATT&amp;CK version: 19.2
Software type: malware | Aliases: n/a | Platforms: n/a
## Description
[MobileOrder](https://attack.mitre.org/software/S0079) is a Trojan intended to compromise Android mobile devices. It has been used by [Scarlet Mimic](https://attack.mitre.org/groups/G0029).
## Techniques used
- T1005 Data from Local System
- T1041 Exfiltration Over C2 Channel
- T1057 Process Discovery
- T1082 System Information Discovery
- T1083 File and Directory Discovery
- T1105 Ingress Tool Transfer
- T1217 Browser Information Discovery
## Used by
- G0029 Scarlet Mimic</t>
  </si>
  <si>
    <t>aad4bf53-34e3-513d-a9bc-9661d1985753</t>
  </si>
  <si>
    <t>T1558.001</t>
  </si>
  <si>
    <t>3/4</t>
  </si>
  <si>
    <t># T1558.001 - Golden Ticket
account password once, force replication, and then change the password a second time. Consider rotating the KRBTGT account password every 180 days.
## Procedure examples
- G0004 Ke3chang (group): [Ke3chang](https://attack.mitre.org/groups/G0004) has used [Mimikatz](https://attack.mitre.org/software/S0002) to generate Kerberos golden tickets.
- S0633 Sliver (software): [Sliver](https://attack.mitre.org/software/S0633) incorporates the [Rubeus](https://attack.mitre.org/software/S1071) framework to allow for Kerberos ticket manipulation, specifically for forging Kerberos Golden Tickets.
- S0363 Empire (software): [Empire](https://attack.mitre.org/software/S0363) can leverage its implementation of [Mimikatz](https://attack.mitre.org/software/S0002) to obtain and use golden tickets.
- S0002 Mimikatz (software): [Mimikatz](https://attack.mitre.org/software/S0002)'s kerberos module can create golden tickets.
- S1071 Rubeus (software): [Rubeus](https://attack.mitre.org/software/S1071) can forge a ticket-granting ticket.</t>
  </si>
  <si>
    <t>72ef6bf9-f375-5969-8f05-be8b358a87ba</t>
  </si>
  <si>
    <t>S0347</t>
  </si>
  <si>
    <t># S0347 - AuditCred
Type: software | Domain: enterprise-attack | ATT&amp;CK version: 19.2
Software type: malware | Aliases: AuditCred, Roptimizer | Platforms: Windows
## Description
[AuditCred](https://attack.mitre.org/software/S0347) is a malicious DLL that has been used by [Lazarus Group](https://attack.mitre.org/groups/G0032) during their 2018 attacks.
## Techniques used
- T1027.013 Encrypted/Encoded File
- T1055 Process Injection
- T1059.003 Windows Command Shell
- T1070.004 File Deletion
- T1083 File and Directory Discovery
- T1090 Proxy
- T1105 Ingress Tool Transfer
- T1140 Deobfuscate/Decode Files or Information
- T1543.003 Windows Service
## Used by
- G0032 Lazarus Group</t>
  </si>
  <si>
    <t>82b5059b-bba0-51c6-a72e-3cf74d782138</t>
  </si>
  <si>
    <t># G0099 - APT-C-36
Type: group | Domain: enterprise-attack | ATT&amp;CK version: 19.2
Aliases: APT-C-36, Blind Eagle, TAG-144, AguilaCiega, APT-Q-98
## Description
[APT-C-36](https://attack.mitre.org/groups/G0099) is a suspected South American threat group that has engaged in espionage and financially motivated operations since at least 2018. [APT-C-36](https://attack.mitre.org/groups/G0099) has targeted government institutions and entities in the financial, energy, and professional manufacturing sectors across Colombia and other Latin American countries.</t>
  </si>
  <si>
    <t>77ea47c9-d1b8-55f4-8c12-d291eda4256b</t>
  </si>
  <si>
    <t>S0263</t>
  </si>
  <si>
    <t># S0263 - TYPEFRAME
Type: software | Domain: enterprise-attack | ATT&amp;CK version: 19.2
Software type: malware | Aliases: TYPEFRAME | Platforms: Windows
## Description
[TYPEFRAME](https://attack.mitre.org/software/S0263) is a remote access tool that has been used by [Lazarus Group](https://attack.mitre.org/groups/G0032).
## Techniques used
- T1027.011 Fileless Storage
- T1027.013 Encrypted/Encoded File
- T1059.003 Windows Command Shell
- T1059.005 Visual Basic
- T1070.004 File Deletion
- T1083 File and Directory Discovery
- T1090 Proxy
- T1105 Ingress Tool Transfer
- T1112 Modify Registry
- T1140 Deobfuscate/Decode Files or Information
- T1204.002 Malicious File
- T1543.003 Windows Service
- T1571 Non-Standard Port
- T1680 Local Storage Discovery
- T1686.003 Windows Host Firewall
## Used by
- G0032 Lazarus Group</t>
  </si>
  <si>
    <t>d7ced4c8-3901-5447-a0b3-c2fbf5b3ae9f</t>
  </si>
  <si>
    <t>G0032</t>
  </si>
  <si>
    <t># G0032 - Lazarus Group
Type: group | Domain: enterprise-attack | ATT&amp;CK version: 19.2
Aliases: Lazarus Group, Labyrinth Chollima, HIDDEN COBRA, Guardians of Peace, ZINC, NICKEL ACADEMY, Diamond Sleet
## Description
[Lazarus Group](https://attack.mitre.org/groups/G0032) is a North Korean state-sponsored cyber threat group attributed to the Reconnaissance General Bureau (RGB). [Lazarus Group](https://attack.mitre.org/groups/G0032) has been active since at least 2009 and is reportedly responsible for the November 2014 destructive wiper attack on Sony Pictures Entertainment, identified by Novetta as part of Operation Blockbuster. Malware used by [Lazarus Group](https://attack.mitre.org/groups/G0032) correlates to other reported campaigns, including Operation Flame, Operation 1Mission, Operation Troy, DarkSeoul, and Ten Days of Rain.</t>
  </si>
  <si>
    <t>d5484bb9-a214-54b4-8984-3d35d6ac7bfe</t>
  </si>
  <si>
    <t># G0032 - Lazarus Group
Group” as an umbrella term for multiple North Korean cyber operators conducting espionage, destructive attacks, and financially motivated campaigns.
## Techniques used
- T1001.003 Protocol or Service Impersonation
- T1005 Data from Local System
- T1008 Fallback Channels
- T1010 Application Window Discovery
- T1012 Query Registry
- T1016 System Network Configuration Discovery
- T1021.001 Remote Desktop Protocol
- T1021.002 SMB/Windows Admin Shares
- T1021.004 SSH
- T1027.007 Dynamic API Resolution
- T1027.009 Embedded Payloads
- T1027.013 Encrypted/Encoded File
- T1033 System Owner/User Discovery
- T1036.003 Rename Legitimate Utilities
- T1036.004 Masquerade Task or Service
- T1036.005 Match Legitimate Resource Name or Location
- T1041 Exfiltration Over C2 Channel
- T1046 Network Service Discovery
- T1047 Windows Management Instrumentation
- T1048.003 Exfiltration Over Unencrypted Non-C2 Protocol
- T1049 System Network Connections Discovery
- T1053.005 Scheduled Task
- T1055.001 Dynamic-link Library Injection
- T1056.001 Keylogging
- T1057 Process Discovery
- T1059.001 PowerShell
- T1059.003 Windows Command Shell
- T1059.005 Visual Basic
- T1070 Indicator Removal
- T1070.003 Clear Command History
- T1070.004 File Deletion
- T1070.006 Timestomp
- T1071.001 Web Protocols
- T1074.001 Local Data Staging
- T1078 Valid Accounts
- T108</t>
  </si>
  <si>
    <t>bda60f05-afc9-5623-a785-ce6ba574ed8e</t>
  </si>
  <si>
    <t>T1110.003</t>
  </si>
  <si>
    <t>7/9</t>
  </si>
  <si>
    <t># T1110.003 - Password Spraying
and passwords.
- G1030 Agrius (group): [Agrius](https://attack.mitre.org/groups/G1030) engaged in password spraying via SMB in victim environments.
- G0007 APT28 (group): [APT28](https://attack.mitre.org/groups/G0007) has used a brute-force/password-spray tooling that operated in two modes: in password-spraying mode it conducted approximately four authentication attempts per hour per targeted account over the course of several days or weeks.
[APT28](https://attack.mitre.org/groups/G0007) has also used a Kubernetes cluster to conduct distributed, large-scale password spray attacks.
- G0032 Lazarus Group (group): [Lazarus Group](https://attack.mitre.org/groups/G0032) malware attempts to connect to Windows shares for lateral movement by using a generated list of usernames, which center around permutations of the username Administrator, and weak passwords.
- G1001 HEXANE (group): [HEXANE](https://attack.mitre.org/groups/G1001) has used password spraying attacks to obtain valid credentials.
- G0064 APT33 (group): [APT33](https://attack.mitre.org/groups/G0064) has used password spraying to gain access to target systems.</t>
  </si>
  <si>
    <t>ef7bd43e-42d4-5dd2-bc0e-1abd0cbf802f</t>
  </si>
  <si>
    <t>5/9</t>
  </si>
  <si>
    <t># T1110.003 - Password Spraying
outside defined organization IP ranges. Consider blocking risky authentication requests, such as those originating from anonymizing services/proxies.
## Procedure examples
- C0051 APT28 Nearest Neighbor Campaign (campaign): During [APT28 Nearest Neighbor Campaign](https://attack.mitre.org/campaigns/C0051), [APT28](https://attack.mitre.org/groups/G0007) performed password-spray attacks against public facing services to validate credentials.
- C0055 Quad7 Activity (campaign): [Quad7 Activity](https://attack.mitre.org/campaigns/C0055) has conducted a throttled variant of password spraying techniques that only utilized a single attempt to sign in within a 24-hour time period, eluding brute force detection thresholds.
- G0125 HAFNIUM (group): [HAFNIUM](https://attack.mitre.org/groups/G0125) has gained initial access through password spray attacks.
- G0077 Leafminer (group): [Leafminer](https://attack.mitre.org/groups/G0077) used a tool called Total SMB BruteForcer to perform internal password spraying.
- G0016 APT29 (group): [APT29](https://attack.mitre.org/groups/G0016) has conducted brute force password spray attacks.</t>
  </si>
  <si>
    <t>157456b8-c03f-5096-98d8-1d1e43a443e8</t>
  </si>
  <si>
    <t>0/9</t>
  </si>
  <si>
    <t># T1110.003 - Password Spraying
Type: sub-technique | Domain: enterprise-attack | ATT&amp;CK version: 19.2
Tactics: credential-access
Platforms: Containers, ESXi, IaaS, Identity Provider, Linux, Network Devices, Office Suite, SaaS, Windows, macOS
Sub-technique of: T1110 Brute Force
## Description
Adversaries may use a single or small list of commonly used passwords against many different accounts to attempt to acquire valid account credentials. Password spraying uses one password (e.g. 'Password01'), or a small list of commonly used passwords, that may match the complexity policy of the domain. Logins are attempted with that password against many different accounts on a network to avoid account lockouts that would normally occur when brute forcing a single account with many passwords.
Typically, management services over commonly used ports are used when password spraying. Commonly targeted services include the following:</t>
  </si>
  <si>
    <t>f62c8db0-8f71-599b-b664-010c60d7b022</t>
  </si>
  <si>
    <t>DET0487</t>
  </si>
  <si>
    <t># DET0487 - Distributed Password Spraying via Authentication Failures Across Multiple Accounts
Type: detection-strategy | Domain: enterprise-attack | ATT&amp;CK version: 19.2
## Detects techniques
- T1110.003 Password Spraying</t>
  </si>
  <si>
    <t>9f28e3b3-46cd-5d07-ba72-040ae936815b</t>
  </si>
  <si>
    <t>C0051</t>
  </si>
  <si>
    <t>1/2</t>
  </si>
  <si>
    <t># C0051 - APT28 Nearest Neighbor Campaign
and wireless network connection) to enable Wi-Fi and use compromised credentials to connect to the victim network.
## Attributed to
- G0007 APT28
## Techniques used
- T1003.002 Security Account Manager
- T1003.003 NTDS
- T1006 Direct Volume Access
- T1016.002 Wi-Fi Discovery
- T1021.001 Remote Desktop Protocol
- T1021.002 SMB/Windows Admin Shares
- T1059.001 PowerShell
- T1059.003 Windows Command Shell
- T1074.001 Local Data Staging
- T1090.001 Internal Proxy
- T1110.003 Password Spraying
- T1140 Deobfuscate/Decode Files or Information
- T1560.001 Archive via Utility
- T1561.001 Disk Content Wipe
- T1567 Exfiltration Over Web Service
- T1584 Compromise Infrastructure
- T1669 Wi-Fi Networks
- T1686.003 Windows Host Firewall
## Software used
- S0108 netsh
- S1205 cipher.exe</t>
  </si>
  <si>
    <t>bc411276-2b2d-57fd-b20f-7feb6b7f2b0b</t>
  </si>
  <si>
    <t>6/9</t>
  </si>
  <si>
    <t># T1110.003 - Password Spraying
internal password spraying.
- G0016 APT29 (group): [APT29](https://attack.mitre.org/groups/G0016) has conducted brute force password spray attacks.
- G0114 Chimera (group): [Chimera](https://attack.mitre.org/groups/G0114) has used multiple password spraying attacks against victim's remote services to obtain valid user and administrator accounts.
- G0122 Silent Librarian (group): [Silent Librarian](https://attack.mitre.org/groups/G0122) has used collected lists of names and e-mail accounts to use in password spraying attacks against private sector targets.
- G1003 Ember Bear (group): [Ember Bear](https://attack.mitre.org/groups/G1003) has conducted password spraying against Outlook Web Access (OWA) infrastructure to identify valid user names and passwords.
- G1030 Agrius (group): [Agrius](https://attack.mitre.org/groups/G1030) engaged in password spraying via SMB in victim environments.</t>
  </si>
  <si>
    <t>8e3c7f9a-1c02-5e07-a4ae-509c8f1580e1</t>
  </si>
  <si>
    <t>G0114</t>
  </si>
  <si>
    <t># G0114 - Chimera
Transfer
- T1106 Native API
- T1110.003 Password Spraying
- T1110.004 Credential Stuffing
- T1111 Multi-Factor Authentication Interception
- T1114.
ol Transfer
- T1106 Native API
- T1110.003 Password Spraying
- T1110.004 Credential Stuffing
- T1111 Multi-Factor Authentication Interception
- T1114.001 Local Email Collection
- T1114.002 Remote Email Collection
- T1119 Automated Collection
- T1124 System Time Discovery
- T1133 External Remote Services
- T1135 Network Share Discovery
- T1201 Password Policy Discovery
- T1213.002 Sharepoint
- T1217 Browser Information Discovery
- T1482 Domain Trust Discovery
- T1550.002 Pass the Hash
- T1556.001 Domain Controller Authentication
- T1560.001 Archive via Utility
- T1567.002 Exfiltration to Cloud Storage
- T1569.002 Service Execution
- T1570 Lateral Tool Transfer
- T1572 Protocol Tunneling
- T1574.001 DLL
- T1588.002 Tool
- T1589.001 Credentials
- T1680 Local Storage Discovery
- T1685.005 Clear Windows Event Logs
## Software used
- S0029 PsExec
- S0521 BloodHound
- S0404 esentutl
- S0039 Net
- S0002 Mimikatz
- S0154 Cobalt Strike</t>
  </si>
  <si>
    <t>0204f726-7c2b-510e-a2cf-0d16f6c05c61</t>
  </si>
  <si>
    <t>T1110.002</t>
  </si>
  <si>
    <t># T1110.002 - Password Cracking
Type: sub-technique | Domain: enterprise-attack | ATT&amp;CK version: 19.2
Tactics: credential-access
Platforms: Identity Provider, Linux, macOS, Network Devices, Office Suite, Windows
Sub-technique of: T1110 Brute Force
## Description
Adversaries may use password cracking to attempt to recover usable credentials, such as plaintext passwords, when credential material such as password hashes are obtained. [OS Credential Dumping](https://attack.mitre.org/techniques/T1003) can be used to obtain password hashes, this may only get an adversary so far when [Pass the Hash](https://attack.mitre.org/techniques/T1550/002) is not an option. Further,  adversaries may leverage [Data from Configuration Repository](https://attack.mitre.org/techniques/T1602) in order to obtain hashed credentials for network devices.</t>
  </si>
  <si>
    <t>302a1537-027f-57a0-81b9-9063712870ce</t>
  </si>
  <si>
    <t>T1586.002</t>
  </si>
  <si>
    <t># T1586.002 - Email Accounts
Type: sub-technique | Domain: enterprise-attack | ATT&amp;CK version: 19.2
Tactics: resource-development
Platforms: PRE
Sub-technique of: T1586 Compromise Accounts
## Description
Adversaries may compromise email accounts that can be used during targeting. Adversaries can use compromised email accounts to further their operations, such as leveraging them to conduct [Phishing for Information](https://attack.mitre.org/techniques/T1598), [Phishing](https://attack.mitre.org/techniques/T1566), or large-scale spam email campaigns. Utilizing an existing persona with a compromised email account may engender a level of trust in a potential victim if they have a relationship with, or knowledge of, the compromised persona. Compromised email accounts can also be used in the acquisition of infrastructure (ex: [Domains](https://attack.mitre.org/techniques/T1583/001)).</t>
  </si>
  <si>
    <t>6a49f47f-97c7-51c1-9b8c-11a512eb628c</t>
  </si>
  <si>
    <t>1/8</t>
  </si>
  <si>
    <t># T1566 - Phishing
or industry will be targeted by the adversary. More generally, adversaries can conduct non-targeted phishing, such as in mass malware spam campaigns.
Adversaries may send victims emails containing malicious attachments or links, typically to execute malicious code on victim systems. Phishing may also be conducted via third-party services, like social media platforms. Phishing may also involve social engineering techniques, such as posing as a trusted source, as well as evasive techniques such as removing or manipulating emails or metadata/headers from compromised accounts being abused to send messages (e.g., [Email Hiding Rules](https://attack.mitre.org/techniques/T1564/008)). Another way to accomplish this is by [Email Spoofing](https://attack.mitre.org/techniques/T1684/002) the identity of the sender, which can be used to fool both the human recipient as well as automated security tools, or by including the intended target as a party to an existing email thread that includes malicious files or links (i.e., "thread hijacking").</t>
  </si>
  <si>
    <t>e3dc1b98-151d-514e-a176-c74fb584fe19</t>
  </si>
  <si>
    <t>T1585.002</t>
  </si>
  <si>
    <t># T1585.002 - Email Accounts
Type: sub-technique | Domain: enterprise-attack | ATT&amp;CK version: 19.2
Tactics: resource-development
Platforms: PRE
Sub-technique of: T1585 Establish Accounts
## Description
Adversaries may create email accounts that can be used during targeting. Adversaries can use accounts created with email providers to further their operations, such as leveraging them to conduct [Phishing for Information](https://attack.mitre.org/techniques/T1598) or [Phishing](https://attack.mitre.org/techniques/T1566). Establishing email accounts may also allow adversaries to abuse free services – such as trial periods – to [Acquire Infrastructure](https://attack.mitre.org/techniques/T1583) for follow-on purposes.
Adversaries may also take steps to cultivate a persona around the email account, such as through use of [Social Media Accounts](https://attack.mitre.org/techniques/T1585/001), to increase the chance of success of follow-on behaviors. Created email accounts can also be used in the acquisition of infrastructure (ex: [Domains](https://attack.mitre.org/techniques/T1583/001)).</t>
  </si>
  <si>
    <t>22e1f629-ed75-57fb-9dfd-767e49dde3de</t>
  </si>
  <si>
    <t># T1566 - Phishing
email authentication mechanisms to filter messages based on validity checks of the sender domain (using SPF) and integrity of messages (using DKIM).
Enabling these mechanisms within an organization (through policies such as DMARC) may enable recipients (intra-org and cross domain) to perform similar message filtering and validation.
- M1047 Audit: Perform audits or scans of systems, permissions, insecure software, insecure configurations, etc.
to identify potential weaknesses.
## Sub-techniques
- T1566.002 Spearphishing Link
- T1566.001 Spearphishing Attachment
- T1566.004 Spearphishing Voice
- T1566.003 Spearphishing via Service
## Procedure examples
- G0094 Kimsuky (group): [Kimsuky](https://attack.mitre.org/groups/G0094) has used spearphishing to gain initial access and intelligence.
- G1049 AppleJeus (group): [AppleJeus](https://attack.mitre.org/groups/G1049) has used spearphishing emails to distribute malicious payloads.
- G0069 MuddyWater (group): [MuddyWater](https://attack.mitre.org/groups/G0069) has sent phishing emails to targets from the email address support@microsoftonlines[.]com.</t>
  </si>
  <si>
    <t>49082e7a-665e-52fc-913f-e16e250c69fc</t>
  </si>
  <si>
    <t>T1056</t>
  </si>
  <si>
    <t># T1056 - Input Capture
Type: technique | Domain: enterprise-attack | ATT&amp;CK version: 19.2
Tactics: collection, credential-access
Platforms: Linux, macOS, Network Devices, Windows
## Description
Adversaries may use methods of capturing user input to obtain credentials or collect information. During normal system usage, users often provide credentials to various different locations, such as login pages/portals or system dialog boxes. Input capture mechanisms may be transparent to the user (e.g. [Credential API Hooking](https://attack.mitre.org/techniques/T1056/004)) or rely on deceiving the user into providing input into what they believe to be a genuine service (e.g. [Web Portal Capture](https://attack.mitre.org/techniques/T1056/003)).</t>
  </si>
  <si>
    <t>53bb75a3-204c-582f-aebf-0aa453578979</t>
  </si>
  <si>
    <t>T1056.003</t>
  </si>
  <si>
    <t># T1056.003 - Web Portal Capture
Type: sub-technique | Domain: enterprise-attack | ATT&amp;CK version: 19.2
Tactics: collection, credential-access
Platforms: Linux, macOS, Windows
Sub-technique of: T1056 Input Capture
## Description
Adversaries may install code on externally facing portals, such as a VPN login page, to capture and transmit credentials of users who attempt to log into the service. For example, a compromised login page may log provided user credentials before logging the user in to the service.
This variation on input capture may be conducted post-compromise using legitimate administrative access as a backup measure to maintain network access through [External Remote Services](https://attack.mitre.org/techniques/T1133) and [Valid Accounts](https://attack.mitre.org/techniques/T1078) or as part of the initial compromise by exploitation of the externally facing web service.</t>
  </si>
  <si>
    <t>9552e904-33ef-5bad-a469-7fa1bf0d2107</t>
  </si>
  <si>
    <t>T1056.001</t>
  </si>
  <si>
    <t>0/7</t>
  </si>
  <si>
    <t># T1056.001 - Keylogging
Type: sub-technique | Domain: enterprise-attack | ATT&amp;CK version: 19.2
Tactics: collection, credential-access
Platforms: Linux, macOS, Network Devices, Windows
Sub-technique of: T1056 Input Capture
## Description
Adversaries may log user keystrokes to intercept credentials as the user types them. Keylogging is likely to be used to acquire credentials for new access opportunities when [OS Credential Dumping](https://attack.mitre.org/techniques/T1003) efforts are not effective, and may require an adversary to intercept keystrokes on a system for a substantial period of time before credentials can be successfully captured. In order to increase the likelihood of capturing credentials quickly, an adversary may also perform actions such as clearing browser cookies to force users to reauthenticate to systems.
Keylogging is the most prevalent type of input capture, with many different ways of intercepting keystrokes. Some methods include:</t>
  </si>
  <si>
    <t>b125294d-a3b8-5227-a30b-108b917e557a</t>
  </si>
  <si>
    <t>DET0102</t>
  </si>
  <si>
    <t># DET0102 - Behavioral Detection of Input Capture Across Platforms
Type: detection-strategy | Domain: enterprise-attack | ATT&amp;CK version: 19.2
## Detects techniques
- T1056 Input Capture
## Analytics
- AN0282 [Windows]: Monitors for abnormal process behavior and API calls like SetWindowsHookEx, GetAsyncKeyState, or device input polling commonly used for keystroke logging.
(log sources: WinEventLog:Security, WinEventLog:Sysmon) | tunable elements: TargetImage - Can be scoped to sensitive GUI processes like explorer.exe or winlogon.exe; TimeWindow - Time threshold for detecting multiple suspicious accesses
- AN0283 [Linux]: Detects use of tools/scripts accessing input devices like /dev/input/* or evdev via suspicious processes lacking GUI context.
(log sources: auditd:SYSCALL) | tunable elements: ProcessName - Unusual process accessing device files; DevicePath - Typically /dev/input/*, but tunable to exact endpoint config
- AN0284 [macOS]: Monitors for TCC-bypassing or unauthorized access to input services like IOHIDSystem or Quartz Event Services used in keylogging or screen monitoring.</t>
  </si>
  <si>
    <t>1e3aef33-c042-58ea-a36d-b1176cfd929c</t>
  </si>
  <si>
    <t>1/7</t>
  </si>
  <si>
    <t># T1056.001 - Keylogging
to systems.
Keylogging is the most prevalent type of input capture, with many different ways of intercepting keystrokes. Some methods include:
* Hooking API callbacks used for processing keystrokes. Unlike [Credential API Hooking](https://attack.mitre.org/techniques/T1056/004), this focuses solely on API functions intended for processing keystroke data.
* Reading raw keystroke data from the hardware buffer.
* Windows Registry modifications.
* Custom drivers.
* [Modify System Image](https://attack.mitre.org/techniques/T1601) may provide adversaries with hooks into the operating system of network devices to read raw keystrokes for login sessions.</t>
  </si>
  <si>
    <t>57665f89-6f5d-57ec-8cfb-d409cf0b4a97</t>
  </si>
  <si>
    <t>TA0002</t>
  </si>
  <si>
    <t># TA0002 - Execution
a network or stealing data. For example, an adversary might use a remote access tool to run a PowerShell script that does Remote System Discovery.
## Techniques in this tactic
- T1047 Windows Management Instrumentation
- T1053 Scheduled Task/Job
- T1059 Command and Scripting Interpreter
- T1072 Software Deployment Tools
- T1106 Native API
- T1127 Trusted Developer Utilities Proxy Execution
- T1129 Shared Modules
- T1197 BITS Jobs
- T1203 Exploitation for Client Execution
- T1204 User Execution
- T1559 Inter-Process Communication
- T1569 System Services
- T1574 Hijack Execution Flow
- T1609 Container Administration Command
- T1610 Deploy Container
- T1648 Serverless Execution
- T1651 Cloud Administration Command
- T1674 Input Injection
- T1675 ESXi Administration Command
- T1677 Poisoned Pipeline Execution</t>
  </si>
  <si>
    <t>dc4c60b8-5e00-5802-a63c-64dc3695a236</t>
  </si>
  <si>
    <t>T1683</t>
  </si>
  <si>
    <t># T1683 - Generate Content
detection difficult for defenders.
Detection efforts may be focused on related stages of the adversary lifecycle, such as during Initial Access.
## Mitigations
- M1056 Pre-compromise: This technique cannot be easily mitigated with preventive controls since it is based on behaviors performed outside of the scope of enterprise defenses and controls. Efforts should focus on designing defenses that are not reliant on atomic indicators.
## Sub-techniques
- T1683.001 Written Content
- T1683.002 Audio-Visual Content
## Procedure examples
- C0062 Anthropic AI-orchestrated Campaign (campaign): During the [Anthropic AI-orchestrated Campaign](https://attack.mitre.org/campaigns/C0062), the adversary utilized Claude Code to automatically generate comprehensive documentation throughout the phases of the attack, including discovered services, harvested credentials, sensitive data, exploitation techniques, and complete attack progression.</t>
  </si>
  <si>
    <t>b616fa4b-7322-5a04-a57b-56babba5fb56</t>
  </si>
  <si>
    <t>T1040</t>
  </si>
  <si>
    <t>3/11</t>
  </si>
  <si>
    <t># T1040 - Network Sniffing
may perform network captures using [Network Device CLI](https://attack.mitre.org/techniques/T1059/008) commands such as `monitor capture`.
## Detection strategies
- DET0314 Detection Strategy for Network Sniffing Across Platforms
  - AN0875 [Windows]: Detects suspicious execution of network monitoring tools (e.g., Wireshark, tshark, Microsoft Message Analyzer), driver loading indicative of promiscuous mode, or non-admin user privilege escalation to access NICs for capture.
- AN0876 [Linux]: Correlates interface mode changes to promiscuous with execution of sniffing tools like tcpdump, tshark, or custom pcap libraries.
Detects abnormal NIC configurations and unauthorized sniffing from non-root sessions.
- AN0877 [macOS]: Detects enabling of interface sniffing via packet capture tools or AppleScript triggering `tcpdump`.
Leverages Unified Logs and process lineage to identify suspicious use of `pfctl`, `tcpdump`, or `libpcap` libraries.
- AN0878 [IaaS]: Detects creation of traffic mirroring sessions (e.g., AWS VPC Traffic Mirroring, Azure vTAP) that redirect traffic from critical assets to other virtual instances, often followed by file creation or session establishment.</t>
  </si>
  <si>
    <t>94ece3fd-e305-5ee5-991d-3a563d13b80a</t>
  </si>
  <si>
    <t>T1552.008</t>
  </si>
  <si>
    <t># T1552.008 - Chat Messages
Type: sub-technique | Domain: enterprise-attack | ATT&amp;CK version: 19.2
Tactics: credential-access
Platforms: SaaS, Office Suite
Sub-technique of: T1552 Unsecured Credentials
## Description
Adversaries may directly collect unsecured credentials stored or passed through user communication services. Credentials may be sent and stored in user chat communication applications such as email, chat services like Slack or Teams, collaboration tools like Jira or Trello, and any other services that support user communication. Users may share various forms of credentials (such as usernames and passwords, API keys, or authentication tokens) on private or public corporate internal communications channels.</t>
  </si>
  <si>
    <t>a0d301c9-8f03-56e0-b461-3ea0fd74d96e</t>
  </si>
  <si>
    <t>TA0011</t>
  </si>
  <si>
    <t># TA0011 - Command and Control
Type: tactic | Domain: enterprise-attack | ATT&amp;CK version: 19.2
Shortname: command-and-control
## Description
The adversary is trying to communicate with compromised systems to control them.
Command and Control consists of techniques that adversaries may use to communicate with systems under their control within a victim network. Adversaries commonly attempt to mimic normal, expected traffic to avoid detection. There are many ways an adversary can establish command and control with various levels of stealth depending on the victim’s network structure and defenses.
## Techniques in this tactic
- T1001 Data Obfuscation
- T1008 Fallback Channels
- T1071 Application Layer Protocol
- T1090 Proxy
- T1092 Communication Through Removable Media
- T1095 Non-Application Layer Protocol
- T1102 Web Service
- T1104 Multi-Stage Channels
- T1105 Ingress Tool Transfer
- T1132 Data Encoding
- T1205 Traffic Signaling
- T1219 Remote Access Tools
- T1568 Dynamic Resolution
- T1571 Non-Standard Port
- T1572 Protocol Tunneling
- T1573 Encrypted Channel
- T1659 Content Injection
- T1665 Hide Infrastructure</t>
  </si>
  <si>
    <t>9888dea1-f3ec-5e03-b541-8e05afd7c088</t>
  </si>
  <si>
    <t>C0026</t>
  </si>
  <si>
    <t># C0026 - C0026
Type: campaign | Domain: enterprise-attack | ATT&amp;CK version: 19.2
Aliases: C0026 | First seen: 2022-08-01 | Last seen: 2022-09-01
## Description
[C0026](https://attack.mitre.org/campaigns/C0026) was a campaign identified in September 2022 that included the selective distribution of [KOPILUWAK](https://attack.mitre.org/software/S1075) and [QUIETCANARY](https://attack.mitre.org/software/S1076) malware to previous [ANDROMEDA](https://attack.mitre.org/software/S1074) malware victims in Ukraine through re-registered [ANDROMEDA](https://attack.mitre.org/software/S1074) C2 domains. Several tools and tactics used during [C0026](https://attack.mitre.org/campaigns/C0026) were consistent with historic [Turla](https://attack.mitre.org/groups/G0010) operations.
## Techniques used
- T1005 Data from Local System
- T1030 Data Transfer Size Limits
- T1105 Ingress Tool Transfer
- T1560.001 Archive via Utility
- T1568 Dynamic Resolution
- T1583.001 Domains
## Software used
- S0039 Net
- S1074 ANDROMEDA
- S1076 QUIETCANARY
- S0104 netstat
- S1075 KOPILUWAK
- S0099 Arp</t>
  </si>
  <si>
    <t>5ee65033-bb02-5e33-a22a-e68d67f875c3</t>
  </si>
  <si>
    <t>S9044</t>
  </si>
  <si>
    <t># S9044 - Kali365
Type: software | Domain: enterprise-attack | ATT&amp;CK version: 19.2
Software type: malware | Aliases: Kali365 | Platforms: IaaS, macOS, Windows
## Description
[Kali365](https://attack.mitre.org/software/S9044) is a Phishing-as-a-Service (PHaaS) kit first observed in April 2026 that generates victim-targeted lures across multiple operating systems to induce users into copying and pasting actor-controlled commands for local execution.  [Kali365](https://attack.mitre.org/software/S9044) incorporates on-demand device code generation and mirrors the copy-paste execution tradecraft associated with ClickFix. Operators have used [Kali365](https://attack.mitre.org/software/S9044) to harvest victims' OAuth tokens and session cookies through adversary-in-the-middle (AiTM) interception, enabling account takeover.  [Kali365](https://attack.mitre.org/software/S9044) PHaaS was first observed in April 2026.  [Kali365](https://attack.mitre.org/software/S9044) has also been affiliated with other branding to include Octopi365 and Freedom365.</t>
  </si>
  <si>
    <t>605edb9c-54db-520d-a3ae-5bb981c67366</t>
  </si>
  <si>
    <t>S9042</t>
  </si>
  <si>
    <t># S9042 - CanisterWorm
Type: software | Domain: enterprise-attack | ATT&amp;CK version: 19.2
Software type: malware | Aliases: CanisterWorm | Platforms: Containers, Linux
## Description
[CanisterWorm](https://attack.mitre.org/software/S9042) is a self-propagating malware that has been used by [TeamPCP](https://attack.mitre.org/groups/G1056) in credential harvesting and software supply chain campaigns since at least 2026. [CanisterWorm](https://attack.mitre.org/software/S9042) has used npm credentials to infect software packages and propagate across developer ecosystems. [CanisterWorm](https://attack.mitre.org/software/S9042) has a targeted wiper component and can use decentralized C2 infrastructure implemented via an Internet Computer Protocol (ICP) blockchain canister.</t>
  </si>
  <si>
    <t>b431edc2-e2fb-5bff-8750-f61ceb269ea8</t>
  </si>
  <si>
    <t>T1608.004</t>
  </si>
  <si>
    <t># T1608.004 - Drive-by Target
Type: sub-technique | Domain: enterprise-attack | ATT&amp;CK version: 19.2
Tactics: resource-development
Platforms: PRE
Sub-technique of: T1608 Stage Capabilities</t>
  </si>
  <si>
    <t>896b042c-adbc-5362-a6f3-8ed624e1d88b</t>
  </si>
  <si>
    <t>S9041</t>
  </si>
  <si>
    <t># S9041 - TeamPCP Cloud Stealer
Type: software | Domain: enterprise-attack | ATT&amp;CK version: 19.2
Software type: malware | Aliases: TeamPCP Cloud Stealer, SANDCLOCK | Platforms: Containers, Linux, macOS, SaaS, Windows
## Description
The [TeamPCP Cloud Stealer](https://attack.mitre.org/software/S9041) is a comprehensive filesystem credential stealer that can harvest, encrypt, and exfiltrate credentials from over 50 sensitive file paths across CI/CD, cloud, developer tooling, and container environments. The [TeamPCP Cloud Stealer](https://attack.mitre.org/software/S9041) was the primary payload used by [TeamPCP](https://attack.mitre.org/groups/G1056) in March 2026 during early stages of a cascading supply chain campaign targeting CI/CD workflows.</t>
  </si>
  <si>
    <t>ee4e36d8-7c86-5b85-8aeb-140dce27f98e</t>
  </si>
  <si>
    <t>M1031</t>
  </si>
  <si>
    <t># M1031 - Network Intrusion Prevention
| Domain: enterprise-attack | ATT&amp;CK version: 19.2
## Description
Use intrusion detection signatures to block traffic at network boundaries.
## Techniques mitigated
- T1001 Data Obfuscation
- T1001.001 Junk Data
- T1001.002 Steganography
- T1001.003 Protocol or Service Impersonation
- T1008 Fallback Channels
- T1029 Scheduled Transfer
- T1030 Data Transfer Size Limits
- T1041 Exfiltration Over C2 Channel
- T1046 Network Service Discovery
- T1048 Exfiltration Over Alternative Protocol
- T1048.001 Exfiltration Over Symmetric Encrypted Non-C2 Protocol
- T1048.002 Exfiltration Over Asymmetric Encrypted Non-C2 Protocol
- T1048.003 Exfiltration Over Unencrypted Non-C2 Protocol
- T1071 Application Layer Protocol
- T1071.001 Web Protocols
- T1071.002 File Transfer Protocols
- T1071.003 Mail Protocols
- T1071.004 DNS
- T1071.005 Publish/Subscribe Protocols
- T1090 Proxy
- T1090.001 Internal Proxy
- T1090.002 External Proxy
- T1095 Non-Application Layer Protocol
- T1102 Web Service
- T1102.001 Dead Drop Resolver
- T1102.002 Bidirectional Communication
- T1102.003 One-Way Communication
- T1104 Multi-Stage Channels
- T1105 Ingress Tool Transfer
- T1132 Data Encoding
- T1132.001 Standard Encoding
- T1132.002 Non-Standard Encoding
- T1204 User Execution
- T1204.001 Malicious Link
- T1204.003 Malicious Image
- T1204.004 Malicious Copy</t>
  </si>
  <si>
    <t>70553fe9-95e9-503b-b5be-5d50bb3b406e</t>
  </si>
  <si>
    <t>T1555.006</t>
  </si>
  <si>
    <t># T1555.006 - Cloud Secrets Management Stores
Type: sub-technique | Domain: enterprise-attack | ATT&amp;CK version: 19.2
Tactics: credential-access
Platforms: IaaS
Sub-technique of: T1555 Credentials from Password Stores
## Description
Adversaries may acquire credentials from cloud-native secret management solutions such as AWS Secrets Manager, GCP Secret Manager, Azure Key Vault, and Terraform Vault.
Secrets managers support the secure centralized management of passwords, API keys, and other credential material. Where secrets managers are in use, cloud services can dynamically acquire credentials via API requests rather than accessing secrets insecurely stored in plain text files or environment variables.
If an adversary is able to gain sufficient privileges in a cloud environment – for example, by obtaining the credentials of high-privileged [Cloud Accounts](https://attack.mitre.org/techniques/T1078/004) or compromising a service that has permission to retrieve secrets – they may be able to request secrets from the secrets manager. This can be accomplished via commands such as `get-secret-value` in AWS, `gcloud secrets describe` in GCP, and `az key vault secret show` in Azure.</t>
  </si>
  <si>
    <t>952ba9e9-02f1-5a73-9728-d18d3b697266</t>
  </si>
  <si>
    <t>T1059.010</t>
  </si>
  <si>
    <t># T1059.010 - AutoHotKey &amp; AutoIT
Type: sub-technique | Domain: enterprise-attack | ATT&amp;CK version: 19.2
Tactics: execution
Platforms: Windows
Sub-technique of: T1059 Command and Scripting Interpreter
## Description
Adversaries may execute commands and perform malicious tasks using AutoIT and AutoHotKey automation scripts. AutoIT and AutoHotkey (AHK) are scripting languages that enable users to automate Windows tasks. These automation scripts can be used to perform a wide variety of actions, such as clicking on buttons, entering text, and opening and closing programs.
Adversaries may use AHK (`.ahk`) and AutoIT (`.au3`) scripts to execute malicious code on a victim's system. For example, adversaries have used for AHK to execute payloads and other modular malware such as keyloggers. Adversaries have also used custom AHK files containing embedded malware as [Phishing](https://attack.mitre.org/techniques/T1566) payloads.
These scripts may also be compiled into self-contained executable payloads (`.exe`).</t>
  </si>
  <si>
    <t>f7d9b154-5446-578c-b6ef-6f5413298f0e</t>
  </si>
  <si>
    <t>DC0095</t>
  </si>
  <si>
    <t># DC0095 - Volume Enumeration
Type: data-component | Domain: enterprise-attack | ATT&amp;CK version: 19.2
Data source: n/a | Platforms: n/a
## Description
An extracted list of available volumes within a cloud environment (ex: AWS describe-volumes)</t>
  </si>
  <si>
    <t>60d08f9a-0633-524e-8298-fe7bc19f2408</t>
  </si>
  <si>
    <t>T1059.009</t>
  </si>
  <si>
    <t># T1059.009 - Cloud API
Type: sub-technique | Domain: enterprise-attack | ATT&amp;CK version: 19.2
Tactics: execution
Platforms: IaaS, Identity Provider, Office Suite, SaaS
Sub-technique of: T1059 Command and Scripting Interpreter
## Description
Adversaries may abuse cloud APIs to execute malicious commands. APIs available in cloud environments provide various functionalities and are a feature-rich method for programmatic access to nearly all aspects of a tenant. These APIs may be utilized through various methods such as command line interpreters (CLIs), in-browser Cloud Shells, [PowerShell](https://attack.mitre.org/techniques/T1059/001) modules like Azure for PowerShell, or software developer kits (SDKs) available for languages such as [Python](https://attack.mitre.org/techniques/T1059/006).
Cloud API functionality may allow for administrative access across all major services in a tenant such as compute, storage, identity and access management (IAM), networking, and security policies.</t>
  </si>
  <si>
    <t>Lectura (protocolo v2 §5)</t>
  </si>
  <si>
    <t>RAG</t>
  </si>
  <si>
    <t>LLM</t>
  </si>
  <si>
    <t>Respuestas calificadas</t>
  </si>
  <si>
    <t>A. Hechos cubiertos ÷ hechos (respondibles)</t>
  </si>
  <si>
    <t>A. Afirmaciones INCORRECTA ÷ afirmaciones de hecho</t>
  </si>
  <si>
    <t>B. Respuestas con abstención errónea (ABS-E)</t>
  </si>
  <si>
    <t>B. Respuestas con respuesta sin base (NO-ABS)</t>
  </si>
  <si>
    <t>C. Precisión de citas (sostenidas ÷ afirmaciones de hecho)</t>
  </si>
  <si>
    <t>C. Cobertura de citas (hechos cubiertos y citados ÷ hechos)</t>
  </si>
  <si>
    <t>C. Afirmaciones SIN-RESPALDO</t>
  </si>
  <si>
    <t>C. Afirmaciones CITA-X</t>
  </si>
  <si>
    <t>C. Afirmaciones SIN-CITA</t>
  </si>
  <si>
    <t>D. Afirmaciones FUERA_REF</t>
  </si>
  <si>
    <t>N2 promedio (descriptivo, 0-2)</t>
  </si>
  <si>
    <t>N3 promedio (descriptivo, 0-2; excluye N/A)</t>
  </si>
  <si>
    <t>Alerta CRITICA (respuestas)</t>
  </si>
  <si>
    <t>Alerta RESPALDO (respuestas)</t>
  </si>
  <si>
    <t>Alerta TRUNC (respuestas)</t>
  </si>
  <si>
    <t>Las lecturas A-D y las alertas se calculan solas desde la hoja Afirmaciones. Con pocas respuestas son conteos descriptivos, sin pruebas de significancia.</t>
  </si>
  <si>
    <t>rúbrica</t>
  </si>
  <si>
    <t>protocolo v2 (borrador) - eval/pilot/protocol_v2.md</t>
  </si>
  <si>
    <t>plantilla creada</t>
  </si>
  <si>
    <t>2026-10-12T12:45:08</t>
  </si>
  <si>
    <t>corrida de origen</t>
  </si>
  <si>
    <t>20260922_064359</t>
  </si>
  <si>
    <t>evaluador</t>
  </si>
  <si>
    <t>fecha de calificación</t>
  </si>
  <si>
    <t>CORRIDA (config.json)</t>
  </si>
  <si>
    <t>api</t>
  </si>
  <si>
    <t>http://localhost:8000</t>
  </si>
  <si>
    <t>model</t>
  </si>
  <si>
    <t>qwen3:4b-instruct</t>
  </si>
  <si>
    <t>embed_model</t>
  </si>
  <si>
    <t>granite-embedding:30m</t>
  </si>
  <si>
    <t>retrieval</t>
  </si>
  <si>
    <t>hybrid</t>
  </si>
  <si>
    <t>top_k</t>
  </si>
  <si>
    <t>temperature</t>
  </si>
  <si>
    <t>0.0</t>
  </si>
  <si>
    <t>think</t>
  </si>
  <si>
    <t>False</t>
  </si>
  <si>
    <t>modes</t>
  </si>
  <si>
    <t>['rag', 'llm']</t>
  </si>
  <si>
    <t>collection_points</t>
  </si>
  <si>
    <t>7241</t>
  </si>
  <si>
    <t>started_at</t>
  </si>
  <si>
    <t>2026-09-22T06:43:59</t>
  </si>
  <si>
    <t>CORPUS (data/manifest.json)</t>
  </si>
  <si>
    <t>created_at</t>
  </si>
  <si>
    <t>2026-09-12T16:14:31.631478+00:00</t>
  </si>
  <si>
    <t>collection</t>
  </si>
  <si>
    <t>mitre_attack</t>
  </si>
  <si>
    <t>embed_dim</t>
  </si>
  <si>
    <t>384</t>
  </si>
  <si>
    <t>doc_prefix</t>
  </si>
  <si>
    <t>query_prefix</t>
  </si>
  <si>
    <t>chunk_size</t>
  </si>
  <si>
    <t>1200</t>
  </si>
  <si>
    <t>chunk_overlap</t>
  </si>
  <si>
    <t>150</t>
  </si>
  <si>
    <t>domains</t>
  </si>
  <si>
    <t>['enterprise-attack']</t>
  </si>
  <si>
    <t>attack_versions</t>
  </si>
  <si>
    <t>{'enterprise-attack': '19.2'}</t>
  </si>
  <si>
    <t>n_documents</t>
  </si>
  <si>
    <t>2616</t>
  </si>
  <si>
    <t>n_chunks</t>
  </si>
  <si>
    <t>points_count</t>
  </si>
  <si>
    <t>elapsed_s</t>
  </si>
  <si>
    <t>1779.6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</si>
</sst>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0"/>
      <color rgb="FFFFFFFF"/>
      <name val="Arial"/>
    </font>
    <font>
      <sz val="10"/>
      <name val="Arial"/>
    </font>
    <font>
      <b/>
      <sz val="10"/>
      <name val="Arial"/>
    </font>
  </fonts>
  <fills count="6">
    <fill>
      <patternFill patternType="none"/>
    </fill>
    <fill>
      <patternFill patternType="gray125"/>
    </fill>
    <fill>
      <patternFill patternType="solid">
        <fgColor rgb="FF1F3864"/>
      </patternFill>
    </fill>
    <fill>
      <patternFill patternType="solid">
        <fgColor rgb="FFFFF2CC"/>
      </patternFill>
    </fill>
    <fill>
      <patternFill patternType="solid">
        <fgColor rgb="FFE2EFDA"/>
      </patternFill>
    </fill>
    <fill>
      <patternFill patternType="solid">
        <fgColor rgb="FFF2F2F2"/>
      </patternFill>
    </fill>
  </fills>
  <borders count="1">
    <border>
      <left/>
      <right/>
      <top/>
      <bottom/>
      <diagonal/>
    </border>
  </borders>
  <cellStyleXfs count="1">
    <xf numFmtId="0" fontId="0" fillId="0" borderId="0"/>
  </cellStyleXfs>
  <cellXfs count="12">
    <xf numFmtId="0" fontId="0" fillId="0" borderId="0" xfId="0"/>
    <xf numFmtId="0" fontId="3" fillId="0" borderId="0" xfId="0" applyFont="1" applyAlignment="1">
      <alignment vertical="top" wrapText="1"/>
    </xf>
    <xf numFmtId="0" fontId="2" fillId="0" borderId="0" xfId="0" applyFont="1" applyAlignment="1">
      <alignment vertical="top" wrapText="1"/>
    </xf>
    <xf numFmtId="0" fontId="1" fillId="2" borderId="0" xfId="0" applyFont="1" applyFill="1" applyAlignment="1">
      <alignment vertical="center" wrapText="1"/>
    </xf>
    <xf numFmtId="0" fontId="1" fillId="2" borderId="0" xfId="0" applyFont="1" applyFill="1"/>
    <xf numFmtId="0" fontId="2" fillId="5" borderId="0" xfId="0" applyFont="1" applyFill="1" applyAlignment="1">
      <alignment vertical="top" wrapText="1"/>
    </xf>
    <xf numFmtId="0" fontId="2" fillId="4" borderId="0" xfId="0" applyFont="1" applyFill="1" applyAlignment="1">
      <alignment vertical="top" wrapText="1"/>
    </xf>
    <xf numFmtId="0" fontId="2" fillId="3" borderId="0" xfId="0" applyFont="1" applyFill="1" applyAlignment="1" applyProtection="1">
      <alignment vertical="top" wrapText="1"/>
      <protection locked="0"/>
    </xf>
    <xf numFmtId="0" fontId="3" fillId="0" borderId="0" xfId="0" applyFont="1"/>
    <xf numFmtId="0" fontId="2" fillId="0" borderId="0" xfId="0" applyFont="1"/>
    <xf numFmtId="2" fontId="2" fillId="0" borderId="0" xfId="0" applyNumberFormat="1" applyFont="1"/>
    <xf numFmtId="0" fontId="2" fillId="3" borderId="0" xfId="0" applyFont="1" applyFill="1" applyProtection="1">
      <protection locked="0"/>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6"/>
  <sheetViews>
    <sheetView topLeftCell="A4" workbookViewId="0">
      <selection activeCell="B9" sqref="B9"/>
    </sheetView>
  </sheetViews>
  <sheetFormatPr baseColWidth="10" defaultColWidth="9.140625" defaultRowHeight="15" x14ac:dyDescent="0.25"/>
  <cols>
    <col min="1" max="1" width="26" customWidth="1"/>
    <col min="2" max="2" width="120" customWidth="1"/>
  </cols>
  <sheetData>
    <row r="1" spans="1:2" ht="45.95" customHeight="1" x14ac:dyDescent="0.25">
      <c r="A1" s="1" t="s">
        <v>0</v>
      </c>
      <c r="B1" s="2" t="s">
        <v>1</v>
      </c>
    </row>
    <row r="2" spans="1:2" ht="30" customHeight="1" x14ac:dyDescent="0.25">
      <c r="A2" s="1" t="s">
        <v>2</v>
      </c>
      <c r="B2" s="2" t="s">
        <v>3</v>
      </c>
    </row>
    <row r="3" spans="1:2" ht="62.1" customHeight="1" x14ac:dyDescent="0.25">
      <c r="A3" s="1" t="s">
        <v>4</v>
      </c>
      <c r="B3" s="2" t="s">
        <v>5</v>
      </c>
    </row>
    <row r="4" spans="1:2" ht="45.95" customHeight="1" x14ac:dyDescent="0.25">
      <c r="A4" s="1" t="s">
        <v>6</v>
      </c>
      <c r="B4" s="2" t="s">
        <v>7</v>
      </c>
    </row>
    <row r="5" spans="1:2" ht="62.1" customHeight="1" x14ac:dyDescent="0.25">
      <c r="A5" s="1" t="s">
        <v>8</v>
      </c>
      <c r="B5" s="2" t="s">
        <v>9</v>
      </c>
    </row>
    <row r="6" spans="1:2" ht="45.95" customHeight="1" x14ac:dyDescent="0.25">
      <c r="A6" s="1" t="s">
        <v>10</v>
      </c>
      <c r="B6" s="2" t="s">
        <v>11</v>
      </c>
    </row>
    <row r="7" spans="1:2" ht="30" customHeight="1" x14ac:dyDescent="0.25">
      <c r="A7" s="1" t="s">
        <v>12</v>
      </c>
      <c r="B7" s="2" t="s">
        <v>13</v>
      </c>
    </row>
    <row r="8" spans="1:2" ht="62.1" customHeight="1" x14ac:dyDescent="0.25">
      <c r="A8" s="1" t="s">
        <v>14</v>
      </c>
      <c r="B8" s="2" t="s">
        <v>15</v>
      </c>
    </row>
    <row r="9" spans="1:2" ht="62.1" customHeight="1" x14ac:dyDescent="0.25">
      <c r="A9" s="1" t="s">
        <v>16</v>
      </c>
      <c r="B9" s="2" t="s">
        <v>17</v>
      </c>
    </row>
    <row r="10" spans="1:2" ht="45.95" customHeight="1" x14ac:dyDescent="0.25">
      <c r="A10" s="1" t="s">
        <v>18</v>
      </c>
      <c r="B10" s="2" t="s">
        <v>19</v>
      </c>
    </row>
    <row r="11" spans="1:2" ht="45.95" customHeight="1" x14ac:dyDescent="0.25">
      <c r="A11" s="1" t="s">
        <v>20</v>
      </c>
      <c r="B11" s="2" t="s">
        <v>21</v>
      </c>
    </row>
    <row r="12" spans="1:2" ht="30" customHeight="1" x14ac:dyDescent="0.25">
      <c r="A12" s="1" t="s">
        <v>22</v>
      </c>
      <c r="B12" s="2" t="s">
        <v>23</v>
      </c>
    </row>
    <row r="13" spans="1:2" ht="45.95" customHeight="1" x14ac:dyDescent="0.25">
      <c r="A13" s="1" t="s">
        <v>24</v>
      </c>
      <c r="B13" s="2" t="s">
        <v>25</v>
      </c>
    </row>
    <row r="14" spans="1:2" ht="62.1" customHeight="1" x14ac:dyDescent="0.25">
      <c r="A14" s="1" t="s">
        <v>26</v>
      </c>
      <c r="B14" s="2" t="s">
        <v>27</v>
      </c>
    </row>
    <row r="15" spans="1:2" ht="45.95" customHeight="1" x14ac:dyDescent="0.25">
      <c r="A15" s="1" t="s">
        <v>28</v>
      </c>
      <c r="B15" s="2" t="s">
        <v>29</v>
      </c>
    </row>
    <row r="16" spans="1:2" ht="62.1" customHeight="1" x14ac:dyDescent="0.25">
      <c r="A16" s="1" t="s">
        <v>30</v>
      </c>
      <c r="B16" s="2" t="s">
        <v>31</v>
      </c>
    </row>
  </sheetData>
  <sheetProtection sheet="1" formatColumns="0" formatRows="0" sort="0" autoFilter="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I27"/>
  <sheetViews>
    <sheetView workbookViewId="0">
      <pane ySplit="1" topLeftCell="A19" activePane="bottomLeft" state="frozen"/>
      <selection pane="bottomLeft" activeCell="AI20" sqref="AI20"/>
    </sheetView>
  </sheetViews>
  <sheetFormatPr baseColWidth="10" defaultColWidth="9.140625" defaultRowHeight="15" x14ac:dyDescent="0.25"/>
  <cols>
    <col min="1" max="3" width="6" customWidth="1"/>
    <col min="4" max="4" width="9" customWidth="1"/>
    <col min="5" max="5" width="36.140625" customWidth="1"/>
    <col min="6" max="6" width="45.85546875" customWidth="1"/>
    <col min="7" max="7" width="26" customWidth="1"/>
    <col min="8" max="8" width="60" customWidth="1"/>
    <col min="9" max="9" width="8" customWidth="1"/>
    <col min="10" max="10" width="10" customWidth="1"/>
    <col min="11" max="11" width="11" customWidth="1"/>
    <col min="12" max="13" width="7" customWidth="1"/>
    <col min="14" max="14" width="8" customWidth="1"/>
    <col min="15" max="15" width="9" customWidth="1"/>
    <col min="16" max="17" width="6" customWidth="1"/>
    <col min="18" max="18" width="7" customWidth="1"/>
    <col min="19" max="19" width="8" customWidth="1"/>
    <col min="20" max="20" width="6" customWidth="1"/>
    <col min="21" max="21" width="7" customWidth="1"/>
    <col min="22" max="22" width="6" customWidth="1"/>
    <col min="23" max="23" width="8" customWidth="1"/>
    <col min="24" max="24" width="9" customWidth="1"/>
    <col min="25" max="26" width="5" customWidth="1"/>
    <col min="27" max="27" width="22" customWidth="1"/>
    <col min="28" max="28" width="18" customWidth="1"/>
    <col min="29" max="29" width="10" customWidth="1"/>
    <col min="30" max="31" width="9" customWidth="1"/>
    <col min="32" max="33" width="6" customWidth="1"/>
    <col min="34" max="34" width="36" customWidth="1"/>
    <col min="35" max="35" width="41.42578125" customWidth="1"/>
  </cols>
  <sheetData>
    <row r="1" spans="1:35" ht="33.950000000000003" customHeight="1" x14ac:dyDescent="0.25">
      <c r="A1" s="3" t="s">
        <v>32</v>
      </c>
      <c r="B1" s="3" t="s">
        <v>33</v>
      </c>
      <c r="C1" s="3" t="s">
        <v>34</v>
      </c>
      <c r="D1" s="3" t="s">
        <v>35</v>
      </c>
      <c r="E1" s="3" t="s">
        <v>36</v>
      </c>
      <c r="F1" s="3" t="s">
        <v>37</v>
      </c>
      <c r="G1" s="3" t="s">
        <v>38</v>
      </c>
      <c r="H1" s="3" t="s">
        <v>39</v>
      </c>
      <c r="I1" s="3" t="s">
        <v>40</v>
      </c>
      <c r="J1" s="3" t="s">
        <v>41</v>
      </c>
      <c r="K1" s="3" t="s">
        <v>42</v>
      </c>
      <c r="L1" s="3" t="s">
        <v>43</v>
      </c>
      <c r="M1" s="3" t="s">
        <v>44</v>
      </c>
      <c r="N1" s="3" t="s">
        <v>45</v>
      </c>
      <c r="O1" s="3" t="s">
        <v>46</v>
      </c>
      <c r="P1" s="3" t="s">
        <v>47</v>
      </c>
      <c r="Q1" s="3" t="s">
        <v>48</v>
      </c>
      <c r="R1" s="3" t="s">
        <v>49</v>
      </c>
      <c r="S1" s="3" t="s">
        <v>50</v>
      </c>
      <c r="T1" s="3" t="s">
        <v>51</v>
      </c>
      <c r="U1" s="3" t="s">
        <v>52</v>
      </c>
      <c r="V1" s="3" t="s">
        <v>53</v>
      </c>
      <c r="W1" s="3" t="s">
        <v>54</v>
      </c>
      <c r="X1" s="3" t="s">
        <v>55</v>
      </c>
      <c r="Y1" s="3" t="s">
        <v>20</v>
      </c>
      <c r="Z1" s="3" t="s">
        <v>22</v>
      </c>
      <c r="AA1" s="3" t="s">
        <v>56</v>
      </c>
      <c r="AB1" s="3" t="s">
        <v>57</v>
      </c>
      <c r="AC1" s="3" t="s">
        <v>58</v>
      </c>
      <c r="AD1" s="3" t="s">
        <v>59</v>
      </c>
      <c r="AE1" s="3" t="s">
        <v>60</v>
      </c>
      <c r="AF1" s="3" t="s">
        <v>61</v>
      </c>
      <c r="AG1" s="3" t="s">
        <v>62</v>
      </c>
      <c r="AH1" s="3" t="s">
        <v>63</v>
      </c>
      <c r="AI1" s="4" t="s">
        <v>64</v>
      </c>
    </row>
    <row r="2" spans="1:35" ht="168" customHeight="1" x14ac:dyDescent="0.25">
      <c r="A2" s="5" t="s">
        <v>65</v>
      </c>
      <c r="B2" s="5" t="s">
        <v>66</v>
      </c>
      <c r="C2" s="5" t="s">
        <v>67</v>
      </c>
      <c r="D2" s="5" t="s">
        <v>68</v>
      </c>
      <c r="E2" s="5" t="s">
        <v>69</v>
      </c>
      <c r="F2" s="5" t="s">
        <v>70</v>
      </c>
      <c r="G2" s="5"/>
      <c r="H2" s="5" t="s">
        <v>71</v>
      </c>
      <c r="I2" s="6" t="s">
        <v>72</v>
      </c>
      <c r="J2" s="6" t="s">
        <v>73</v>
      </c>
      <c r="K2" s="6" t="s">
        <v>74</v>
      </c>
      <c r="L2" s="6">
        <f>COUNTIFS(Afirmaciones!$A$2:$A$401,$A2,Afirmaciones!$B$2:$B$401,$B2)</f>
        <v>1</v>
      </c>
      <c r="M2" s="6">
        <f>COUNTIFS(Hechos!$A$2:$A$201,$A2)</f>
        <v>5</v>
      </c>
      <c r="N2" s="6">
        <f>IF($B2="rag",SUMIFS(Hechos!$F$2:$F$201,Hechos!$A$2:$A$201,$A2),SUMIFS(Hechos!$G$2:$G$201,Hechos!$A$2:$A$201,$A2))</f>
        <v>0</v>
      </c>
      <c r="O2" s="6" t="str">
        <f t="shared" ref="O2:O27" si="0">IF($M2=0,"-",$N2&amp;"/"&amp;$M2)</f>
        <v>0/5</v>
      </c>
      <c r="P2" s="6">
        <f>COUNTIFS(Afirmaciones!$A$2:$A$401,$A2,Afirmaciones!$B$2:$B$401,$B2,Afirmaciones!$E$2:$E$401,"hecho",Afirmaciones!$F$2:$F$401,"INCORRECTA")</f>
        <v>0</v>
      </c>
      <c r="Q2" s="6">
        <f>COUNTIFS(Afirmaciones!$A$2:$A$401,$A2,Afirmaciones!$B$2:$B$401,$B2,Afirmaciones!$E$2:$E$401,"abstencion",Afirmaciones!$F$2:$F$401,"INCORRECTA")</f>
        <v>1</v>
      </c>
      <c r="R2" s="6">
        <f>COUNTIFS(Afirmaciones!$A$2:$A$401,$A2,Afirmaciones!$B$2:$B$401,$B2,Afirmaciones!$E$2:$E$401,"hecho",Afirmaciones!$F$2:$F$401,"FUERA_REF",Afirmaciones!$H$2:$H$401,"no_resp")</f>
        <v>0</v>
      </c>
      <c r="S2" s="6">
        <f>COUNTIFS(Afirmaciones!$A$2:$A$401,$A2,Afirmaciones!$B$2:$B$401,$B2,Afirmaciones!$E$2:$E$401,"hecho",Afirmaciones!$F$2:$F$401,"FUERA_REF")</f>
        <v>0</v>
      </c>
      <c r="T2" s="6">
        <f>COUNTIFS(Afirmaciones!$A$2:$A$401,$A2,Afirmaciones!$B$2:$B$401,$B2,Afirmaciones!$E$2:$E$401,"hecho",Afirmaciones!$I$2:$I$401,"SIN-RESPALDO")</f>
        <v>0</v>
      </c>
      <c r="U2" s="6">
        <f>COUNTIFS(Afirmaciones!$A$2:$A$401,$A2,Afirmaciones!$B$2:$B$401,$B2,Afirmaciones!$E$2:$E$401,"hecho",Afirmaciones!$I$2:$I$401,"CITA-X")</f>
        <v>0</v>
      </c>
      <c r="V2" s="6">
        <f>COUNTIFS(Afirmaciones!$A$2:$A$401,$A2,Afirmaciones!$B$2:$B$401,$B2,Afirmaciones!$E$2:$E$401,"hecho",Afirmaciones!$I$2:$I$401,"SIN-CITA")</f>
        <v>0</v>
      </c>
      <c r="W2" s="6">
        <f>COUNTIFS(Afirmaciones!$A$2:$A$401,$A2,Afirmaciones!$B$2:$B$401,$B2,Afirmaciones!$E$2:$E$401,"hecho")</f>
        <v>0</v>
      </c>
      <c r="X2" s="6">
        <f>COUNTIFS(Afirmaciones!$A$2:$A$401,$A2,Afirmaciones!$B$2:$B$401,$B2,Afirmaciones!$E$2:$E$401,"hecho",Afirmaciones!$I$2:$I$401,"SOSTENIDA")</f>
        <v>0</v>
      </c>
      <c r="Y2" s="6">
        <f t="shared" ref="Y2:Y27" si="1">IF($L2=0,"",IF($M2=0,IF($R2&gt;0,0,2),IF(AND($N2=$M2,$P2+$Q2+$R2=0),2,IF($N2=0,0,1))))</f>
        <v>0</v>
      </c>
      <c r="Z2" s="6" t="str">
        <f t="shared" ref="Z2:Z27" si="2">IF($L2=0,"",IF($B2="llm","N/A",IF($W2=0,"N/A",IF($X2=$W2,2,IF($X2=0,0,1)))))</f>
        <v>N/A</v>
      </c>
      <c r="AA2" s="6" t="str">
        <f t="shared" ref="AA2:AA27" si="3">IF($L2=0,"",IF(AND($P2+$Q2+$R2=0,$T2+$U2=0,$I2&lt;&gt;"SI"),"-",TRIM(IF($P2+$Q2+$R2&gt;0,"CRITICA ","")&amp;IF($T2+$U2&gt;0,"RESPALDO ","")&amp;IF($I2="SI","TRUNC",""))))</f>
        <v>CRITICA</v>
      </c>
      <c r="AB2" s="6" t="str">
        <f t="shared" ref="AB2:AB27" si="4">IF($L2=0,"",IF(AND($R2=0,$AF2=0,$AG2=0,$P2+$Q2=0,$T2+$U2+$V2=0),"OK",TRIM(IF($R2&gt;0,"E0 ","")&amp;IF($AF2&gt;0,"E1 ","")&amp;IF(OR($AG2&gt;0,AND($P2+$Q2&gt;0,$AF2=0)),"E2 ","")&amp;IF($T2+$U2+$V2&gt;0,"E3 ",""))))</f>
        <v>E1</v>
      </c>
      <c r="AC2" s="6" t="str">
        <f t="shared" ref="AC2:AC27" si="5">IF($AB2="","",IF($AB2="OK","OK",LEFT($AB2,2)))</f>
        <v>E1</v>
      </c>
      <c r="AD2" s="6" t="str">
        <f t="shared" ref="AD2:AD27" si="6">IF(OR($L2=0,$B2="llm",$W2=0),"-",$X2&amp;"/"&amp;$W2)</f>
        <v>-</v>
      </c>
      <c r="AE2" s="6" t="str">
        <f>IF(OR($L2=0,$B2&lt;&gt;"rag",$M2=0),"-",SUMIFS(Hechos!$H$2:$H$201,Hechos!$A$2:$A$201,$A2)&amp;"/"&amp;$M2)</f>
        <v>0/5</v>
      </c>
      <c r="AF2" s="6">
        <f>IF($B2="rag",SUMPRODUCT((Hechos!$A$2:$A$201=$A2)*(Hechos!$F$2:$F$201=0)*((Hechos!$E$2:$E$201="NO")+(Hechos!$E$2:$E$201="ALT-P")+(Hechos!$E$2:$E$201=""))),0)</f>
        <v>5</v>
      </c>
      <c r="AG2" s="6">
        <f>IF($B2="rag",SUMPRODUCT((Hechos!$A$2:$A$201=$A2)*(Hechos!$F$2:$F$201=0)*((Hechos!$E$2:$E$201="SI")+(Hechos!$E$2:$E$201="ALT"))),$M2-$N2)</f>
        <v>0</v>
      </c>
      <c r="AH2" s="7"/>
      <c r="AI2" s="8" t="s">
        <v>75</v>
      </c>
    </row>
    <row r="3" spans="1:35" ht="150" customHeight="1" x14ac:dyDescent="0.25">
      <c r="A3" s="5" t="s">
        <v>65</v>
      </c>
      <c r="B3" s="5" t="s">
        <v>76</v>
      </c>
      <c r="C3" s="5" t="s">
        <v>67</v>
      </c>
      <c r="D3" s="5" t="s">
        <v>68</v>
      </c>
      <c r="E3" s="5" t="s">
        <v>69</v>
      </c>
      <c r="F3" s="5" t="s">
        <v>70</v>
      </c>
      <c r="G3" s="5"/>
      <c r="H3" s="5" t="s">
        <v>77</v>
      </c>
      <c r="I3" s="6" t="s">
        <v>78</v>
      </c>
      <c r="J3" s="6"/>
      <c r="K3" s="6"/>
      <c r="L3" s="6">
        <f>COUNTIFS(Afirmaciones!$A$2:$A$401,$A3,Afirmaciones!$B$2:$B$401,$B3)</f>
        <v>6</v>
      </c>
      <c r="M3" s="6">
        <f>COUNTIFS(Hechos!$A$2:$A$201,$A3)</f>
        <v>5</v>
      </c>
      <c r="N3" s="6">
        <f>IF($B3="rag",SUMIFS(Hechos!$F$2:$F$201,Hechos!$A$2:$A$201,$A3),SUMIFS(Hechos!$G$2:$G$201,Hechos!$A$2:$A$201,$A3))</f>
        <v>2</v>
      </c>
      <c r="O3" s="6" t="str">
        <f t="shared" si="0"/>
        <v>2/5</v>
      </c>
      <c r="P3" s="6">
        <f>COUNTIFS(Afirmaciones!$A$2:$A$401,$A3,Afirmaciones!$B$2:$B$401,$B3,Afirmaciones!$E$2:$E$401,"hecho",Afirmaciones!$F$2:$F$401,"INCORRECTA")</f>
        <v>1</v>
      </c>
      <c r="Q3" s="6">
        <f>COUNTIFS(Afirmaciones!$A$2:$A$401,$A3,Afirmaciones!$B$2:$B$401,$B3,Afirmaciones!$E$2:$E$401,"abstencion",Afirmaciones!$F$2:$F$401,"INCORRECTA")</f>
        <v>0</v>
      </c>
      <c r="R3" s="6">
        <f>COUNTIFS(Afirmaciones!$A$2:$A$401,$A3,Afirmaciones!$B$2:$B$401,$B3,Afirmaciones!$E$2:$E$401,"hecho",Afirmaciones!$F$2:$F$401,"FUERA_REF",Afirmaciones!$H$2:$H$401,"no_resp")</f>
        <v>0</v>
      </c>
      <c r="S3" s="6">
        <f>COUNTIFS(Afirmaciones!$A$2:$A$401,$A3,Afirmaciones!$B$2:$B$401,$B3,Afirmaciones!$E$2:$E$401,"hecho",Afirmaciones!$F$2:$F$401,"FUERA_REF")</f>
        <v>3</v>
      </c>
      <c r="T3" s="6">
        <f>COUNTIFS(Afirmaciones!$A$2:$A$401,$A3,Afirmaciones!$B$2:$B$401,$B3,Afirmaciones!$E$2:$E$401,"hecho",Afirmaciones!$I$2:$I$401,"SIN-RESPALDO")</f>
        <v>0</v>
      </c>
      <c r="U3" s="6">
        <f>COUNTIFS(Afirmaciones!$A$2:$A$401,$A3,Afirmaciones!$B$2:$B$401,$B3,Afirmaciones!$E$2:$E$401,"hecho",Afirmaciones!$I$2:$I$401,"CITA-X")</f>
        <v>0</v>
      </c>
      <c r="V3" s="6">
        <f>COUNTIFS(Afirmaciones!$A$2:$A$401,$A3,Afirmaciones!$B$2:$B$401,$B3,Afirmaciones!$E$2:$E$401,"hecho",Afirmaciones!$I$2:$I$401,"SIN-CITA")</f>
        <v>0</v>
      </c>
      <c r="W3" s="6">
        <f>COUNTIFS(Afirmaciones!$A$2:$A$401,$A3,Afirmaciones!$B$2:$B$401,$B3,Afirmaciones!$E$2:$E$401,"hecho")</f>
        <v>6</v>
      </c>
      <c r="X3" s="6">
        <f>COUNTIFS(Afirmaciones!$A$2:$A$401,$A3,Afirmaciones!$B$2:$B$401,$B3,Afirmaciones!$E$2:$E$401,"hecho",Afirmaciones!$I$2:$I$401,"SOSTENIDA")</f>
        <v>0</v>
      </c>
      <c r="Y3" s="6">
        <f t="shared" si="1"/>
        <v>1</v>
      </c>
      <c r="Z3" s="6" t="str">
        <f t="shared" si="2"/>
        <v>N/A</v>
      </c>
      <c r="AA3" s="6" t="str">
        <f t="shared" si="3"/>
        <v>CRITICA TRUNC</v>
      </c>
      <c r="AB3" s="6" t="str">
        <f t="shared" si="4"/>
        <v>E2</v>
      </c>
      <c r="AC3" s="6" t="str">
        <f t="shared" si="5"/>
        <v>E2</v>
      </c>
      <c r="AD3" s="6" t="str">
        <f t="shared" si="6"/>
        <v>-</v>
      </c>
      <c r="AE3" s="6" t="str">
        <f>IF(OR($L3=0,$B3&lt;&gt;"rag",$M3=0),"-",SUMIFS(Hechos!$H$2:$H$201,Hechos!$A$2:$A$201,$A3)&amp;"/"&amp;$M3)</f>
        <v>-</v>
      </c>
      <c r="AF3" s="6">
        <f>IF($B3="rag",SUMPRODUCT((Hechos!$A$2:$A$201=$A3)*(Hechos!$F$2:$F$201=0)*((Hechos!$E$2:$E$201="NO")+(Hechos!$E$2:$E$201="ALT-P")+(Hechos!$E$2:$E$201=""))),0)</f>
        <v>0</v>
      </c>
      <c r="AG3" s="6">
        <f>IF($B3="rag",SUMPRODUCT((Hechos!$A$2:$A$201=$A3)*(Hechos!$F$2:$F$201=0)*((Hechos!$E$2:$E$201="SI")+(Hechos!$E$2:$E$201="ALT"))),$M3-$N3)</f>
        <v>3</v>
      </c>
      <c r="AH3" s="7"/>
      <c r="AI3" s="8" t="s">
        <v>79</v>
      </c>
    </row>
    <row r="4" spans="1:35" ht="150" customHeight="1" x14ac:dyDescent="0.25">
      <c r="A4" s="5" t="s">
        <v>80</v>
      </c>
      <c r="B4" s="5" t="s">
        <v>66</v>
      </c>
      <c r="C4" s="5" t="s">
        <v>81</v>
      </c>
      <c r="D4" s="5" t="s">
        <v>68</v>
      </c>
      <c r="E4" s="5" t="s">
        <v>82</v>
      </c>
      <c r="F4" s="5" t="s">
        <v>83</v>
      </c>
      <c r="G4" s="5"/>
      <c r="H4" s="5" t="s">
        <v>84</v>
      </c>
      <c r="I4" s="6" t="s">
        <v>72</v>
      </c>
      <c r="J4" s="6" t="s">
        <v>85</v>
      </c>
      <c r="K4" s="6" t="s">
        <v>86</v>
      </c>
      <c r="L4" s="6">
        <f>COUNTIFS(Afirmaciones!$A$2:$A$401,$A4,Afirmaciones!$B$2:$B$401,$B4)</f>
        <v>0</v>
      </c>
      <c r="M4" s="6">
        <f>COUNTIFS(Hechos!$A$2:$A$201,$A4)</f>
        <v>5</v>
      </c>
      <c r="N4" s="6">
        <f>IF($B4="rag",SUMIFS(Hechos!$F$2:$F$201,Hechos!$A$2:$A$201,$A4),SUMIFS(Hechos!$G$2:$G$201,Hechos!$A$2:$A$201,$A4))</f>
        <v>0</v>
      </c>
      <c r="O4" s="6" t="str">
        <f t="shared" si="0"/>
        <v>0/5</v>
      </c>
      <c r="P4" s="6">
        <f>COUNTIFS(Afirmaciones!$A$2:$A$401,$A4,Afirmaciones!$B$2:$B$401,$B4,Afirmaciones!$E$2:$E$401,"hecho",Afirmaciones!$F$2:$F$401,"INCORRECTA")</f>
        <v>0</v>
      </c>
      <c r="Q4" s="6">
        <f>COUNTIFS(Afirmaciones!$A$2:$A$401,$A4,Afirmaciones!$B$2:$B$401,$B4,Afirmaciones!$E$2:$E$401,"abstencion",Afirmaciones!$F$2:$F$401,"INCORRECTA")</f>
        <v>0</v>
      </c>
      <c r="R4" s="6">
        <f>COUNTIFS(Afirmaciones!$A$2:$A$401,$A4,Afirmaciones!$B$2:$B$401,$B4,Afirmaciones!$E$2:$E$401,"hecho",Afirmaciones!$F$2:$F$401,"FUERA_REF",Afirmaciones!$H$2:$H$401,"no_resp")</f>
        <v>0</v>
      </c>
      <c r="S4" s="6">
        <f>COUNTIFS(Afirmaciones!$A$2:$A$401,$A4,Afirmaciones!$B$2:$B$401,$B4,Afirmaciones!$E$2:$E$401,"hecho",Afirmaciones!$F$2:$F$401,"FUERA_REF")</f>
        <v>0</v>
      </c>
      <c r="T4" s="6">
        <f>COUNTIFS(Afirmaciones!$A$2:$A$401,$A4,Afirmaciones!$B$2:$B$401,$B4,Afirmaciones!$E$2:$E$401,"hecho",Afirmaciones!$I$2:$I$401,"SIN-RESPALDO")</f>
        <v>0</v>
      </c>
      <c r="U4" s="6">
        <f>COUNTIFS(Afirmaciones!$A$2:$A$401,$A4,Afirmaciones!$B$2:$B$401,$B4,Afirmaciones!$E$2:$E$401,"hecho",Afirmaciones!$I$2:$I$401,"CITA-X")</f>
        <v>0</v>
      </c>
      <c r="V4" s="6">
        <f>COUNTIFS(Afirmaciones!$A$2:$A$401,$A4,Afirmaciones!$B$2:$B$401,$B4,Afirmaciones!$E$2:$E$401,"hecho",Afirmaciones!$I$2:$I$401,"SIN-CITA")</f>
        <v>0</v>
      </c>
      <c r="W4" s="6">
        <f>COUNTIFS(Afirmaciones!$A$2:$A$401,$A4,Afirmaciones!$B$2:$B$401,$B4,Afirmaciones!$E$2:$E$401,"hecho")</f>
        <v>0</v>
      </c>
      <c r="X4" s="6">
        <f>COUNTIFS(Afirmaciones!$A$2:$A$401,$A4,Afirmaciones!$B$2:$B$401,$B4,Afirmaciones!$E$2:$E$401,"hecho",Afirmaciones!$I$2:$I$401,"SOSTENIDA")</f>
        <v>0</v>
      </c>
      <c r="Y4" s="6" t="str">
        <f t="shared" si="1"/>
        <v/>
      </c>
      <c r="Z4" s="6" t="str">
        <f t="shared" si="2"/>
        <v/>
      </c>
      <c r="AA4" s="6" t="str">
        <f t="shared" si="3"/>
        <v/>
      </c>
      <c r="AB4" s="6" t="str">
        <f t="shared" si="4"/>
        <v/>
      </c>
      <c r="AC4" s="6" t="str">
        <f t="shared" si="5"/>
        <v/>
      </c>
      <c r="AD4" s="6" t="str">
        <f t="shared" si="6"/>
        <v>-</v>
      </c>
      <c r="AE4" s="6" t="str">
        <f>IF(OR($L4=0,$B4&lt;&gt;"rag",$M4=0),"-",SUMIFS(Hechos!$H$2:$H$201,Hechos!$A$2:$A$201,$A4)&amp;"/"&amp;$M4)</f>
        <v>-</v>
      </c>
      <c r="AF4" s="6">
        <f>IF($B4="rag",SUMPRODUCT((Hechos!$A$2:$A$201=$A4)*(Hechos!$F$2:$F$201=0)*((Hechos!$E$2:$E$201="NO")+(Hechos!$E$2:$E$201="ALT-P")+(Hechos!$E$2:$E$201=""))),0)</f>
        <v>0</v>
      </c>
      <c r="AG4" s="6">
        <f>IF($B4="rag",SUMPRODUCT((Hechos!$A$2:$A$201=$A4)*(Hechos!$F$2:$F$201=0)*((Hechos!$E$2:$E$201="SI")+(Hechos!$E$2:$E$201="ALT"))),$M4-$N4)</f>
        <v>0</v>
      </c>
      <c r="AH4" s="7"/>
    </row>
    <row r="5" spans="1:35" ht="150" customHeight="1" x14ac:dyDescent="0.25">
      <c r="A5" s="5" t="s">
        <v>80</v>
      </c>
      <c r="B5" s="5" t="s">
        <v>76</v>
      </c>
      <c r="C5" s="5" t="s">
        <v>81</v>
      </c>
      <c r="D5" s="5" t="s">
        <v>68</v>
      </c>
      <c r="E5" s="5" t="s">
        <v>82</v>
      </c>
      <c r="F5" s="5" t="s">
        <v>83</v>
      </c>
      <c r="G5" s="5"/>
      <c r="H5" s="5" t="s">
        <v>87</v>
      </c>
      <c r="I5" s="6" t="s">
        <v>72</v>
      </c>
      <c r="J5" s="6"/>
      <c r="K5" s="6"/>
      <c r="L5" s="6">
        <f>COUNTIFS(Afirmaciones!$A$2:$A$401,$A5,Afirmaciones!$B$2:$B$401,$B5)</f>
        <v>0</v>
      </c>
      <c r="M5" s="6">
        <f>COUNTIFS(Hechos!$A$2:$A$201,$A5)</f>
        <v>5</v>
      </c>
      <c r="N5" s="6">
        <f>IF($B5="rag",SUMIFS(Hechos!$F$2:$F$201,Hechos!$A$2:$A$201,$A5),SUMIFS(Hechos!$G$2:$G$201,Hechos!$A$2:$A$201,$A5))</f>
        <v>0</v>
      </c>
      <c r="O5" s="6" t="str">
        <f t="shared" si="0"/>
        <v>0/5</v>
      </c>
      <c r="P5" s="6">
        <f>COUNTIFS(Afirmaciones!$A$2:$A$401,$A5,Afirmaciones!$B$2:$B$401,$B5,Afirmaciones!$E$2:$E$401,"hecho",Afirmaciones!$F$2:$F$401,"INCORRECTA")</f>
        <v>0</v>
      </c>
      <c r="Q5" s="6">
        <f>COUNTIFS(Afirmaciones!$A$2:$A$401,$A5,Afirmaciones!$B$2:$B$401,$B5,Afirmaciones!$E$2:$E$401,"abstencion",Afirmaciones!$F$2:$F$401,"INCORRECTA")</f>
        <v>0</v>
      </c>
      <c r="R5" s="6">
        <f>COUNTIFS(Afirmaciones!$A$2:$A$401,$A5,Afirmaciones!$B$2:$B$401,$B5,Afirmaciones!$E$2:$E$401,"hecho",Afirmaciones!$F$2:$F$401,"FUERA_REF",Afirmaciones!$H$2:$H$401,"no_resp")</f>
        <v>0</v>
      </c>
      <c r="S5" s="6">
        <f>COUNTIFS(Afirmaciones!$A$2:$A$401,$A5,Afirmaciones!$B$2:$B$401,$B5,Afirmaciones!$E$2:$E$401,"hecho",Afirmaciones!$F$2:$F$401,"FUERA_REF")</f>
        <v>0</v>
      </c>
      <c r="T5" s="6">
        <f>COUNTIFS(Afirmaciones!$A$2:$A$401,$A5,Afirmaciones!$B$2:$B$401,$B5,Afirmaciones!$E$2:$E$401,"hecho",Afirmaciones!$I$2:$I$401,"SIN-RESPALDO")</f>
        <v>0</v>
      </c>
      <c r="U5" s="6">
        <f>COUNTIFS(Afirmaciones!$A$2:$A$401,$A5,Afirmaciones!$B$2:$B$401,$B5,Afirmaciones!$E$2:$E$401,"hecho",Afirmaciones!$I$2:$I$401,"CITA-X")</f>
        <v>0</v>
      </c>
      <c r="V5" s="6">
        <f>COUNTIFS(Afirmaciones!$A$2:$A$401,$A5,Afirmaciones!$B$2:$B$401,$B5,Afirmaciones!$E$2:$E$401,"hecho",Afirmaciones!$I$2:$I$401,"SIN-CITA")</f>
        <v>0</v>
      </c>
      <c r="W5" s="6">
        <f>COUNTIFS(Afirmaciones!$A$2:$A$401,$A5,Afirmaciones!$B$2:$B$401,$B5,Afirmaciones!$E$2:$E$401,"hecho")</f>
        <v>0</v>
      </c>
      <c r="X5" s="6">
        <f>COUNTIFS(Afirmaciones!$A$2:$A$401,$A5,Afirmaciones!$B$2:$B$401,$B5,Afirmaciones!$E$2:$E$401,"hecho",Afirmaciones!$I$2:$I$401,"SOSTENIDA")</f>
        <v>0</v>
      </c>
      <c r="Y5" s="6" t="str">
        <f t="shared" si="1"/>
        <v/>
      </c>
      <c r="Z5" s="6" t="str">
        <f t="shared" si="2"/>
        <v/>
      </c>
      <c r="AA5" s="6" t="str">
        <f t="shared" si="3"/>
        <v/>
      </c>
      <c r="AB5" s="6" t="str">
        <f t="shared" si="4"/>
        <v/>
      </c>
      <c r="AC5" s="6" t="str">
        <f t="shared" si="5"/>
        <v/>
      </c>
      <c r="AD5" s="6" t="str">
        <f t="shared" si="6"/>
        <v>-</v>
      </c>
      <c r="AE5" s="6" t="str">
        <f>IF(OR($L5=0,$B5&lt;&gt;"rag",$M5=0),"-",SUMIFS(Hechos!$H$2:$H$201,Hechos!$A$2:$A$201,$A5)&amp;"/"&amp;$M5)</f>
        <v>-</v>
      </c>
      <c r="AF5" s="6">
        <f>IF($B5="rag",SUMPRODUCT((Hechos!$A$2:$A$201=$A5)*(Hechos!$F$2:$F$201=0)*((Hechos!$E$2:$E$201="NO")+(Hechos!$E$2:$E$201="ALT-P")+(Hechos!$E$2:$E$201=""))),0)</f>
        <v>0</v>
      </c>
      <c r="AG5" s="6">
        <f>IF($B5="rag",SUMPRODUCT((Hechos!$A$2:$A$201=$A5)*(Hechos!$F$2:$F$201=0)*((Hechos!$E$2:$E$201="SI")+(Hechos!$E$2:$E$201="ALT"))),$M5-$N5)</f>
        <v>5</v>
      </c>
      <c r="AH5" s="7"/>
    </row>
    <row r="6" spans="1:35" ht="150" customHeight="1" x14ac:dyDescent="0.25">
      <c r="A6" s="5" t="s">
        <v>88</v>
      </c>
      <c r="B6" s="5" t="s">
        <v>66</v>
      </c>
      <c r="C6" s="5" t="s">
        <v>67</v>
      </c>
      <c r="D6" s="5" t="s">
        <v>68</v>
      </c>
      <c r="E6" s="5" t="s">
        <v>89</v>
      </c>
      <c r="F6" s="5" t="s">
        <v>90</v>
      </c>
      <c r="G6" s="5"/>
      <c r="H6" s="5" t="s">
        <v>91</v>
      </c>
      <c r="I6" s="6" t="s">
        <v>72</v>
      </c>
      <c r="J6" s="6" t="s">
        <v>92</v>
      </c>
      <c r="K6" s="6" t="s">
        <v>93</v>
      </c>
      <c r="L6" s="6">
        <f>COUNTIFS(Afirmaciones!$A$2:$A$401,$A6,Afirmaciones!$B$2:$B$401,$B6)</f>
        <v>0</v>
      </c>
      <c r="M6" s="6">
        <f>COUNTIFS(Hechos!$A$2:$A$201,$A6)</f>
        <v>2</v>
      </c>
      <c r="N6" s="6">
        <f>IF($B6="rag",SUMIFS(Hechos!$F$2:$F$201,Hechos!$A$2:$A$201,$A6),SUMIFS(Hechos!$G$2:$G$201,Hechos!$A$2:$A$201,$A6))</f>
        <v>0</v>
      </c>
      <c r="O6" s="6" t="str">
        <f t="shared" si="0"/>
        <v>0/2</v>
      </c>
      <c r="P6" s="6">
        <f>COUNTIFS(Afirmaciones!$A$2:$A$401,$A6,Afirmaciones!$B$2:$B$401,$B6,Afirmaciones!$E$2:$E$401,"hecho",Afirmaciones!$F$2:$F$401,"INCORRECTA")</f>
        <v>0</v>
      </c>
      <c r="Q6" s="6">
        <f>COUNTIFS(Afirmaciones!$A$2:$A$401,$A6,Afirmaciones!$B$2:$B$401,$B6,Afirmaciones!$E$2:$E$401,"abstencion",Afirmaciones!$F$2:$F$401,"INCORRECTA")</f>
        <v>0</v>
      </c>
      <c r="R6" s="6">
        <f>COUNTIFS(Afirmaciones!$A$2:$A$401,$A6,Afirmaciones!$B$2:$B$401,$B6,Afirmaciones!$E$2:$E$401,"hecho",Afirmaciones!$F$2:$F$401,"FUERA_REF",Afirmaciones!$H$2:$H$401,"no_resp")</f>
        <v>0</v>
      </c>
      <c r="S6" s="6">
        <f>COUNTIFS(Afirmaciones!$A$2:$A$401,$A6,Afirmaciones!$B$2:$B$401,$B6,Afirmaciones!$E$2:$E$401,"hecho",Afirmaciones!$F$2:$F$401,"FUERA_REF")</f>
        <v>0</v>
      </c>
      <c r="T6" s="6">
        <f>COUNTIFS(Afirmaciones!$A$2:$A$401,$A6,Afirmaciones!$B$2:$B$401,$B6,Afirmaciones!$E$2:$E$401,"hecho",Afirmaciones!$I$2:$I$401,"SIN-RESPALDO")</f>
        <v>0</v>
      </c>
      <c r="U6" s="6">
        <f>COUNTIFS(Afirmaciones!$A$2:$A$401,$A6,Afirmaciones!$B$2:$B$401,$B6,Afirmaciones!$E$2:$E$401,"hecho",Afirmaciones!$I$2:$I$401,"CITA-X")</f>
        <v>0</v>
      </c>
      <c r="V6" s="6">
        <f>COUNTIFS(Afirmaciones!$A$2:$A$401,$A6,Afirmaciones!$B$2:$B$401,$B6,Afirmaciones!$E$2:$E$401,"hecho",Afirmaciones!$I$2:$I$401,"SIN-CITA")</f>
        <v>0</v>
      </c>
      <c r="W6" s="6">
        <f>COUNTIFS(Afirmaciones!$A$2:$A$401,$A6,Afirmaciones!$B$2:$B$401,$B6,Afirmaciones!$E$2:$E$401,"hecho")</f>
        <v>0</v>
      </c>
      <c r="X6" s="6">
        <f>COUNTIFS(Afirmaciones!$A$2:$A$401,$A6,Afirmaciones!$B$2:$B$401,$B6,Afirmaciones!$E$2:$E$401,"hecho",Afirmaciones!$I$2:$I$401,"SOSTENIDA")</f>
        <v>0</v>
      </c>
      <c r="Y6" s="6" t="str">
        <f t="shared" si="1"/>
        <v/>
      </c>
      <c r="Z6" s="6" t="str">
        <f t="shared" si="2"/>
        <v/>
      </c>
      <c r="AA6" s="6" t="str">
        <f t="shared" si="3"/>
        <v/>
      </c>
      <c r="AB6" s="6" t="str">
        <f t="shared" si="4"/>
        <v/>
      </c>
      <c r="AC6" s="6" t="str">
        <f t="shared" si="5"/>
        <v/>
      </c>
      <c r="AD6" s="6" t="str">
        <f t="shared" si="6"/>
        <v>-</v>
      </c>
      <c r="AE6" s="6" t="str">
        <f>IF(OR($L6=0,$B6&lt;&gt;"rag",$M6=0),"-",SUMIFS(Hechos!$H$2:$H$201,Hechos!$A$2:$A$201,$A6)&amp;"/"&amp;$M6)</f>
        <v>-</v>
      </c>
      <c r="AF6" s="6">
        <f>IF($B6="rag",SUMPRODUCT((Hechos!$A$2:$A$201=$A6)*(Hechos!$F$2:$F$201=0)*((Hechos!$E$2:$E$201="NO")+(Hechos!$E$2:$E$201="ALT-P")+(Hechos!$E$2:$E$201=""))),0)</f>
        <v>0</v>
      </c>
      <c r="AG6" s="6">
        <f>IF($B6="rag",SUMPRODUCT((Hechos!$A$2:$A$201=$A6)*(Hechos!$F$2:$F$201=0)*((Hechos!$E$2:$E$201="SI")+(Hechos!$E$2:$E$201="ALT"))),$M6-$N6)</f>
        <v>0</v>
      </c>
      <c r="AH6" s="7"/>
    </row>
    <row r="7" spans="1:35" ht="150" customHeight="1" x14ac:dyDescent="0.25">
      <c r="A7" s="5" t="s">
        <v>88</v>
      </c>
      <c r="B7" s="5" t="s">
        <v>76</v>
      </c>
      <c r="C7" s="5" t="s">
        <v>67</v>
      </c>
      <c r="D7" s="5" t="s">
        <v>68</v>
      </c>
      <c r="E7" s="5" t="s">
        <v>89</v>
      </c>
      <c r="F7" s="5" t="s">
        <v>90</v>
      </c>
      <c r="G7" s="5"/>
      <c r="H7" s="5" t="s">
        <v>94</v>
      </c>
      <c r="I7" s="6" t="s">
        <v>72</v>
      </c>
      <c r="J7" s="6"/>
      <c r="K7" s="6"/>
      <c r="L7" s="6">
        <f>COUNTIFS(Afirmaciones!$A$2:$A$401,$A7,Afirmaciones!$B$2:$B$401,$B7)</f>
        <v>0</v>
      </c>
      <c r="M7" s="6">
        <f>COUNTIFS(Hechos!$A$2:$A$201,$A7)</f>
        <v>2</v>
      </c>
      <c r="N7" s="6">
        <f>IF($B7="rag",SUMIFS(Hechos!$F$2:$F$201,Hechos!$A$2:$A$201,$A7),SUMIFS(Hechos!$G$2:$G$201,Hechos!$A$2:$A$201,$A7))</f>
        <v>0</v>
      </c>
      <c r="O7" s="6" t="str">
        <f t="shared" si="0"/>
        <v>0/2</v>
      </c>
      <c r="P7" s="6">
        <f>COUNTIFS(Afirmaciones!$A$2:$A$401,$A7,Afirmaciones!$B$2:$B$401,$B7,Afirmaciones!$E$2:$E$401,"hecho",Afirmaciones!$F$2:$F$401,"INCORRECTA")</f>
        <v>0</v>
      </c>
      <c r="Q7" s="6">
        <f>COUNTIFS(Afirmaciones!$A$2:$A$401,$A7,Afirmaciones!$B$2:$B$401,$B7,Afirmaciones!$E$2:$E$401,"abstencion",Afirmaciones!$F$2:$F$401,"INCORRECTA")</f>
        <v>0</v>
      </c>
      <c r="R7" s="6">
        <f>COUNTIFS(Afirmaciones!$A$2:$A$401,$A7,Afirmaciones!$B$2:$B$401,$B7,Afirmaciones!$E$2:$E$401,"hecho",Afirmaciones!$F$2:$F$401,"FUERA_REF",Afirmaciones!$H$2:$H$401,"no_resp")</f>
        <v>0</v>
      </c>
      <c r="S7" s="6">
        <f>COUNTIFS(Afirmaciones!$A$2:$A$401,$A7,Afirmaciones!$B$2:$B$401,$B7,Afirmaciones!$E$2:$E$401,"hecho",Afirmaciones!$F$2:$F$401,"FUERA_REF")</f>
        <v>0</v>
      </c>
      <c r="T7" s="6">
        <f>COUNTIFS(Afirmaciones!$A$2:$A$401,$A7,Afirmaciones!$B$2:$B$401,$B7,Afirmaciones!$E$2:$E$401,"hecho",Afirmaciones!$I$2:$I$401,"SIN-RESPALDO")</f>
        <v>0</v>
      </c>
      <c r="U7" s="6">
        <f>COUNTIFS(Afirmaciones!$A$2:$A$401,$A7,Afirmaciones!$B$2:$B$401,$B7,Afirmaciones!$E$2:$E$401,"hecho",Afirmaciones!$I$2:$I$401,"CITA-X")</f>
        <v>0</v>
      </c>
      <c r="V7" s="6">
        <f>COUNTIFS(Afirmaciones!$A$2:$A$401,$A7,Afirmaciones!$B$2:$B$401,$B7,Afirmaciones!$E$2:$E$401,"hecho",Afirmaciones!$I$2:$I$401,"SIN-CITA")</f>
        <v>0</v>
      </c>
      <c r="W7" s="6">
        <f>COUNTIFS(Afirmaciones!$A$2:$A$401,$A7,Afirmaciones!$B$2:$B$401,$B7,Afirmaciones!$E$2:$E$401,"hecho")</f>
        <v>0</v>
      </c>
      <c r="X7" s="6">
        <f>COUNTIFS(Afirmaciones!$A$2:$A$401,$A7,Afirmaciones!$B$2:$B$401,$B7,Afirmaciones!$E$2:$E$401,"hecho",Afirmaciones!$I$2:$I$401,"SOSTENIDA")</f>
        <v>0</v>
      </c>
      <c r="Y7" s="6" t="str">
        <f t="shared" si="1"/>
        <v/>
      </c>
      <c r="Z7" s="6" t="str">
        <f t="shared" si="2"/>
        <v/>
      </c>
      <c r="AA7" s="6" t="str">
        <f t="shared" si="3"/>
        <v/>
      </c>
      <c r="AB7" s="6" t="str">
        <f t="shared" si="4"/>
        <v/>
      </c>
      <c r="AC7" s="6" t="str">
        <f t="shared" si="5"/>
        <v/>
      </c>
      <c r="AD7" s="6" t="str">
        <f t="shared" si="6"/>
        <v>-</v>
      </c>
      <c r="AE7" s="6" t="str">
        <f>IF(OR($L7=0,$B7&lt;&gt;"rag",$M7=0),"-",SUMIFS(Hechos!$H$2:$H$201,Hechos!$A$2:$A$201,$A7)&amp;"/"&amp;$M7)</f>
        <v>-</v>
      </c>
      <c r="AF7" s="6">
        <f>IF($B7="rag",SUMPRODUCT((Hechos!$A$2:$A$201=$A7)*(Hechos!$F$2:$F$201=0)*((Hechos!$E$2:$E$201="NO")+(Hechos!$E$2:$E$201="ALT-P")+(Hechos!$E$2:$E$201=""))),0)</f>
        <v>0</v>
      </c>
      <c r="AG7" s="6">
        <f>IF($B7="rag",SUMPRODUCT((Hechos!$A$2:$A$201=$A7)*(Hechos!$F$2:$F$201=0)*((Hechos!$E$2:$E$201="SI")+(Hechos!$E$2:$E$201="ALT"))),$M7-$N7)</f>
        <v>2</v>
      </c>
      <c r="AH7" s="7"/>
    </row>
    <row r="8" spans="1:35" ht="150" customHeight="1" x14ac:dyDescent="0.25">
      <c r="A8" s="5" t="s">
        <v>95</v>
      </c>
      <c r="B8" s="5" t="s">
        <v>66</v>
      </c>
      <c r="C8" s="5" t="s">
        <v>67</v>
      </c>
      <c r="D8" s="5" t="s">
        <v>96</v>
      </c>
      <c r="E8" s="5" t="s">
        <v>97</v>
      </c>
      <c r="F8" s="5" t="s">
        <v>98</v>
      </c>
      <c r="G8" s="5" t="s">
        <v>99</v>
      </c>
      <c r="H8" s="5" t="s">
        <v>100</v>
      </c>
      <c r="I8" s="6" t="s">
        <v>72</v>
      </c>
      <c r="J8" s="6" t="s">
        <v>92</v>
      </c>
      <c r="K8" s="6" t="s">
        <v>93</v>
      </c>
      <c r="L8" s="6">
        <f>COUNTIFS(Afirmaciones!$A$2:$A$401,$A8,Afirmaciones!$B$2:$B$401,$B8)</f>
        <v>0</v>
      </c>
      <c r="M8" s="6">
        <f>COUNTIFS(Hechos!$A$2:$A$201,$A8)</f>
        <v>2</v>
      </c>
      <c r="N8" s="6">
        <f>IF($B8="rag",SUMIFS(Hechos!$F$2:$F$201,Hechos!$A$2:$A$201,$A8),SUMIFS(Hechos!$G$2:$G$201,Hechos!$A$2:$A$201,$A8))</f>
        <v>0</v>
      </c>
      <c r="O8" s="6" t="str">
        <f t="shared" si="0"/>
        <v>0/2</v>
      </c>
      <c r="P8" s="6">
        <f>COUNTIFS(Afirmaciones!$A$2:$A$401,$A8,Afirmaciones!$B$2:$B$401,$B8,Afirmaciones!$E$2:$E$401,"hecho",Afirmaciones!$F$2:$F$401,"INCORRECTA")</f>
        <v>0</v>
      </c>
      <c r="Q8" s="6">
        <f>COUNTIFS(Afirmaciones!$A$2:$A$401,$A8,Afirmaciones!$B$2:$B$401,$B8,Afirmaciones!$E$2:$E$401,"abstencion",Afirmaciones!$F$2:$F$401,"INCORRECTA")</f>
        <v>0</v>
      </c>
      <c r="R8" s="6">
        <f>COUNTIFS(Afirmaciones!$A$2:$A$401,$A8,Afirmaciones!$B$2:$B$401,$B8,Afirmaciones!$E$2:$E$401,"hecho",Afirmaciones!$F$2:$F$401,"FUERA_REF",Afirmaciones!$H$2:$H$401,"no_resp")</f>
        <v>0</v>
      </c>
      <c r="S8" s="6">
        <f>COUNTIFS(Afirmaciones!$A$2:$A$401,$A8,Afirmaciones!$B$2:$B$401,$B8,Afirmaciones!$E$2:$E$401,"hecho",Afirmaciones!$F$2:$F$401,"FUERA_REF")</f>
        <v>0</v>
      </c>
      <c r="T8" s="6">
        <f>COUNTIFS(Afirmaciones!$A$2:$A$401,$A8,Afirmaciones!$B$2:$B$401,$B8,Afirmaciones!$E$2:$E$401,"hecho",Afirmaciones!$I$2:$I$401,"SIN-RESPALDO")</f>
        <v>0</v>
      </c>
      <c r="U8" s="6">
        <f>COUNTIFS(Afirmaciones!$A$2:$A$401,$A8,Afirmaciones!$B$2:$B$401,$B8,Afirmaciones!$E$2:$E$401,"hecho",Afirmaciones!$I$2:$I$401,"CITA-X")</f>
        <v>0</v>
      </c>
      <c r="V8" s="6">
        <f>COUNTIFS(Afirmaciones!$A$2:$A$401,$A8,Afirmaciones!$B$2:$B$401,$B8,Afirmaciones!$E$2:$E$401,"hecho",Afirmaciones!$I$2:$I$401,"SIN-CITA")</f>
        <v>0</v>
      </c>
      <c r="W8" s="6">
        <f>COUNTIFS(Afirmaciones!$A$2:$A$401,$A8,Afirmaciones!$B$2:$B$401,$B8,Afirmaciones!$E$2:$E$401,"hecho")</f>
        <v>0</v>
      </c>
      <c r="X8" s="6">
        <f>COUNTIFS(Afirmaciones!$A$2:$A$401,$A8,Afirmaciones!$B$2:$B$401,$B8,Afirmaciones!$E$2:$E$401,"hecho",Afirmaciones!$I$2:$I$401,"SOSTENIDA")</f>
        <v>0</v>
      </c>
      <c r="Y8" s="6" t="str">
        <f t="shared" si="1"/>
        <v/>
      </c>
      <c r="Z8" s="6" t="str">
        <f t="shared" si="2"/>
        <v/>
      </c>
      <c r="AA8" s="6" t="str">
        <f t="shared" si="3"/>
        <v/>
      </c>
      <c r="AB8" s="6" t="str">
        <f t="shared" si="4"/>
        <v/>
      </c>
      <c r="AC8" s="6" t="str">
        <f t="shared" si="5"/>
        <v/>
      </c>
      <c r="AD8" s="6" t="str">
        <f t="shared" si="6"/>
        <v>-</v>
      </c>
      <c r="AE8" s="6" t="str">
        <f>IF(OR($L8=0,$B8&lt;&gt;"rag",$M8=0),"-",SUMIFS(Hechos!$H$2:$H$201,Hechos!$A$2:$A$201,$A8)&amp;"/"&amp;$M8)</f>
        <v>-</v>
      </c>
      <c r="AF8" s="6">
        <f>IF($B8="rag",SUMPRODUCT((Hechos!$A$2:$A$201=$A8)*(Hechos!$F$2:$F$201=0)*((Hechos!$E$2:$E$201="NO")+(Hechos!$E$2:$E$201="ALT-P")+(Hechos!$E$2:$E$201=""))),0)</f>
        <v>0</v>
      </c>
      <c r="AG8" s="6">
        <f>IF($B8="rag",SUMPRODUCT((Hechos!$A$2:$A$201=$A8)*(Hechos!$F$2:$F$201=0)*((Hechos!$E$2:$E$201="SI")+(Hechos!$E$2:$E$201="ALT"))),$M8-$N8)</f>
        <v>0</v>
      </c>
      <c r="AH8" s="7"/>
    </row>
    <row r="9" spans="1:35" ht="150" customHeight="1" x14ac:dyDescent="0.25">
      <c r="A9" s="5" t="s">
        <v>95</v>
      </c>
      <c r="B9" s="5" t="s">
        <v>76</v>
      </c>
      <c r="C9" s="5" t="s">
        <v>67</v>
      </c>
      <c r="D9" s="5" t="s">
        <v>96</v>
      </c>
      <c r="E9" s="5" t="s">
        <v>97</v>
      </c>
      <c r="F9" s="5" t="s">
        <v>98</v>
      </c>
      <c r="G9" s="5" t="s">
        <v>99</v>
      </c>
      <c r="H9" s="5" t="s">
        <v>101</v>
      </c>
      <c r="I9" s="6" t="s">
        <v>72</v>
      </c>
      <c r="J9" s="6"/>
      <c r="K9" s="6"/>
      <c r="L9" s="6">
        <f>COUNTIFS(Afirmaciones!$A$2:$A$401,$A9,Afirmaciones!$B$2:$B$401,$B9)</f>
        <v>0</v>
      </c>
      <c r="M9" s="6">
        <f>COUNTIFS(Hechos!$A$2:$A$201,$A9)</f>
        <v>2</v>
      </c>
      <c r="N9" s="6">
        <f>IF($B9="rag",SUMIFS(Hechos!$F$2:$F$201,Hechos!$A$2:$A$201,$A9),SUMIFS(Hechos!$G$2:$G$201,Hechos!$A$2:$A$201,$A9))</f>
        <v>0</v>
      </c>
      <c r="O9" s="6" t="str">
        <f t="shared" si="0"/>
        <v>0/2</v>
      </c>
      <c r="P9" s="6">
        <f>COUNTIFS(Afirmaciones!$A$2:$A$401,$A9,Afirmaciones!$B$2:$B$401,$B9,Afirmaciones!$E$2:$E$401,"hecho",Afirmaciones!$F$2:$F$401,"INCORRECTA")</f>
        <v>0</v>
      </c>
      <c r="Q9" s="6">
        <f>COUNTIFS(Afirmaciones!$A$2:$A$401,$A9,Afirmaciones!$B$2:$B$401,$B9,Afirmaciones!$E$2:$E$401,"abstencion",Afirmaciones!$F$2:$F$401,"INCORRECTA")</f>
        <v>0</v>
      </c>
      <c r="R9" s="6">
        <f>COUNTIFS(Afirmaciones!$A$2:$A$401,$A9,Afirmaciones!$B$2:$B$401,$B9,Afirmaciones!$E$2:$E$401,"hecho",Afirmaciones!$F$2:$F$401,"FUERA_REF",Afirmaciones!$H$2:$H$401,"no_resp")</f>
        <v>0</v>
      </c>
      <c r="S9" s="6">
        <f>COUNTIFS(Afirmaciones!$A$2:$A$401,$A9,Afirmaciones!$B$2:$B$401,$B9,Afirmaciones!$E$2:$E$401,"hecho",Afirmaciones!$F$2:$F$401,"FUERA_REF")</f>
        <v>0</v>
      </c>
      <c r="T9" s="6">
        <f>COUNTIFS(Afirmaciones!$A$2:$A$401,$A9,Afirmaciones!$B$2:$B$401,$B9,Afirmaciones!$E$2:$E$401,"hecho",Afirmaciones!$I$2:$I$401,"SIN-RESPALDO")</f>
        <v>0</v>
      </c>
      <c r="U9" s="6">
        <f>COUNTIFS(Afirmaciones!$A$2:$A$401,$A9,Afirmaciones!$B$2:$B$401,$B9,Afirmaciones!$E$2:$E$401,"hecho",Afirmaciones!$I$2:$I$401,"CITA-X")</f>
        <v>0</v>
      </c>
      <c r="V9" s="6">
        <f>COUNTIFS(Afirmaciones!$A$2:$A$401,$A9,Afirmaciones!$B$2:$B$401,$B9,Afirmaciones!$E$2:$E$401,"hecho",Afirmaciones!$I$2:$I$401,"SIN-CITA")</f>
        <v>0</v>
      </c>
      <c r="W9" s="6">
        <f>COUNTIFS(Afirmaciones!$A$2:$A$401,$A9,Afirmaciones!$B$2:$B$401,$B9,Afirmaciones!$E$2:$E$401,"hecho")</f>
        <v>0</v>
      </c>
      <c r="X9" s="6">
        <f>COUNTIFS(Afirmaciones!$A$2:$A$401,$A9,Afirmaciones!$B$2:$B$401,$B9,Afirmaciones!$E$2:$E$401,"hecho",Afirmaciones!$I$2:$I$401,"SOSTENIDA")</f>
        <v>0</v>
      </c>
      <c r="Y9" s="6" t="str">
        <f t="shared" si="1"/>
        <v/>
      </c>
      <c r="Z9" s="6" t="str">
        <f t="shared" si="2"/>
        <v/>
      </c>
      <c r="AA9" s="6" t="str">
        <f t="shared" si="3"/>
        <v/>
      </c>
      <c r="AB9" s="6" t="str">
        <f t="shared" si="4"/>
        <v/>
      </c>
      <c r="AC9" s="6" t="str">
        <f t="shared" si="5"/>
        <v/>
      </c>
      <c r="AD9" s="6" t="str">
        <f t="shared" si="6"/>
        <v>-</v>
      </c>
      <c r="AE9" s="6" t="str">
        <f>IF(OR($L9=0,$B9&lt;&gt;"rag",$M9=0),"-",SUMIFS(Hechos!$H$2:$H$201,Hechos!$A$2:$A$201,$A9)&amp;"/"&amp;$M9)</f>
        <v>-</v>
      </c>
      <c r="AF9" s="6">
        <f>IF($B9="rag",SUMPRODUCT((Hechos!$A$2:$A$201=$A9)*(Hechos!$F$2:$F$201=0)*((Hechos!$E$2:$E$201="NO")+(Hechos!$E$2:$E$201="ALT-P")+(Hechos!$E$2:$E$201=""))),0)</f>
        <v>0</v>
      </c>
      <c r="AG9" s="6">
        <f>IF($B9="rag",SUMPRODUCT((Hechos!$A$2:$A$201=$A9)*(Hechos!$F$2:$F$201=0)*((Hechos!$E$2:$E$201="SI")+(Hechos!$E$2:$E$201="ALT"))),$M9-$N9)</f>
        <v>2</v>
      </c>
      <c r="AH9" s="7"/>
    </row>
    <row r="10" spans="1:35" ht="237" customHeight="1" x14ac:dyDescent="0.25">
      <c r="A10" s="5" t="s">
        <v>102</v>
      </c>
      <c r="B10" s="5" t="s">
        <v>66</v>
      </c>
      <c r="C10" s="5" t="s">
        <v>67</v>
      </c>
      <c r="D10" s="5" t="s">
        <v>68</v>
      </c>
      <c r="E10" s="5" t="s">
        <v>103</v>
      </c>
      <c r="F10" s="5" t="s">
        <v>104</v>
      </c>
      <c r="G10" s="5"/>
      <c r="H10" s="5" t="s">
        <v>105</v>
      </c>
      <c r="I10" s="6" t="s">
        <v>72</v>
      </c>
      <c r="J10" s="6" t="s">
        <v>85</v>
      </c>
      <c r="K10" s="6" t="s">
        <v>106</v>
      </c>
      <c r="L10" s="6">
        <f>COUNTIFS(Afirmaciones!$A$2:$A$401,$A10,Afirmaciones!$B$2:$B$401,$B10)</f>
        <v>3</v>
      </c>
      <c r="M10" s="6">
        <f>COUNTIFS(Hechos!$A$2:$A$201,$A10)</f>
        <v>4</v>
      </c>
      <c r="N10" s="6">
        <f>IF($B10="rag",SUMIFS(Hechos!$F$2:$F$201,Hechos!$A$2:$A$201,$A10),SUMIFS(Hechos!$G$2:$G$201,Hechos!$A$2:$A$201,$A10))</f>
        <v>2</v>
      </c>
      <c r="O10" s="6" t="str">
        <f t="shared" si="0"/>
        <v>2/4</v>
      </c>
      <c r="P10" s="6">
        <f>COUNTIFS(Afirmaciones!$A$2:$A$401,$A10,Afirmaciones!$B$2:$B$401,$B10,Afirmaciones!$E$2:$E$401,"hecho",Afirmaciones!$F$2:$F$401,"INCORRECTA")</f>
        <v>0</v>
      </c>
      <c r="Q10" s="6">
        <f>COUNTIFS(Afirmaciones!$A$2:$A$401,$A10,Afirmaciones!$B$2:$B$401,$B10,Afirmaciones!$E$2:$E$401,"abstencion",Afirmaciones!$F$2:$F$401,"INCORRECTA")</f>
        <v>0</v>
      </c>
      <c r="R10" s="6">
        <f>COUNTIFS(Afirmaciones!$A$2:$A$401,$A10,Afirmaciones!$B$2:$B$401,$B10,Afirmaciones!$E$2:$E$401,"hecho",Afirmaciones!$F$2:$F$401,"FUERA_REF",Afirmaciones!$H$2:$H$401,"no_resp")</f>
        <v>0</v>
      </c>
      <c r="S10" s="6">
        <f>COUNTIFS(Afirmaciones!$A$2:$A$401,$A10,Afirmaciones!$B$2:$B$401,$B10,Afirmaciones!$E$2:$E$401,"hecho",Afirmaciones!$F$2:$F$401,"FUERA_REF")</f>
        <v>1</v>
      </c>
      <c r="T10" s="6">
        <f>COUNTIFS(Afirmaciones!$A$2:$A$401,$A10,Afirmaciones!$B$2:$B$401,$B10,Afirmaciones!$E$2:$E$401,"hecho",Afirmaciones!$I$2:$I$401,"SIN-RESPALDO")</f>
        <v>1</v>
      </c>
      <c r="U10" s="6">
        <f>COUNTIFS(Afirmaciones!$A$2:$A$401,$A10,Afirmaciones!$B$2:$B$401,$B10,Afirmaciones!$E$2:$E$401,"hecho",Afirmaciones!$I$2:$I$401,"CITA-X")</f>
        <v>0</v>
      </c>
      <c r="V10" s="6">
        <f>COUNTIFS(Afirmaciones!$A$2:$A$401,$A10,Afirmaciones!$B$2:$B$401,$B10,Afirmaciones!$E$2:$E$401,"hecho",Afirmaciones!$I$2:$I$401,"SIN-CITA")</f>
        <v>0</v>
      </c>
      <c r="W10" s="6">
        <f>COUNTIFS(Afirmaciones!$A$2:$A$401,$A10,Afirmaciones!$B$2:$B$401,$B10,Afirmaciones!$E$2:$E$401,"hecho")</f>
        <v>3</v>
      </c>
      <c r="X10" s="6">
        <f>COUNTIFS(Afirmaciones!$A$2:$A$401,$A10,Afirmaciones!$B$2:$B$401,$B10,Afirmaciones!$E$2:$E$401,"hecho",Afirmaciones!$I$2:$I$401,"SOSTENIDA")</f>
        <v>2</v>
      </c>
      <c r="Y10" s="6">
        <f t="shared" si="1"/>
        <v>1</v>
      </c>
      <c r="Z10" s="6">
        <f t="shared" si="2"/>
        <v>1</v>
      </c>
      <c r="AA10" s="6" t="str">
        <f t="shared" si="3"/>
        <v>RESPALDO</v>
      </c>
      <c r="AB10" s="6" t="str">
        <f t="shared" si="4"/>
        <v>E1 E2 E3</v>
      </c>
      <c r="AC10" s="6" t="str">
        <f t="shared" si="5"/>
        <v>E1</v>
      </c>
      <c r="AD10" s="6" t="str">
        <f t="shared" si="6"/>
        <v>2/3</v>
      </c>
      <c r="AE10" s="6" t="str">
        <f>IF(OR($L10=0,$B10&lt;&gt;"rag",$M10=0),"-",SUMIFS(Hechos!$H$2:$H$201,Hechos!$A$2:$A$201,$A10)&amp;"/"&amp;$M10)</f>
        <v>1/4</v>
      </c>
      <c r="AF10" s="6">
        <f>IF($B10="rag",SUMPRODUCT((Hechos!$A$2:$A$201=$A10)*(Hechos!$F$2:$F$201=0)*((Hechos!$E$2:$E$201="NO")+(Hechos!$E$2:$E$201="ALT-P")+(Hechos!$E$2:$E$201=""))),0)</f>
        <v>1</v>
      </c>
      <c r="AG10" s="6">
        <f>IF($B10="rag",SUMPRODUCT((Hechos!$A$2:$A$201=$A10)*(Hechos!$F$2:$F$201=0)*((Hechos!$E$2:$E$201="SI")+(Hechos!$E$2:$E$201="ALT"))),$M10-$N10)</f>
        <v>1</v>
      </c>
      <c r="AH10" s="7"/>
      <c r="AI10" s="8" t="s">
        <v>107</v>
      </c>
    </row>
    <row r="11" spans="1:35" ht="150" customHeight="1" x14ac:dyDescent="0.25">
      <c r="A11" s="5" t="s">
        <v>102</v>
      </c>
      <c r="B11" s="5" t="s">
        <v>76</v>
      </c>
      <c r="C11" s="5" t="s">
        <v>67</v>
      </c>
      <c r="D11" s="5" t="s">
        <v>68</v>
      </c>
      <c r="E11" s="5" t="s">
        <v>103</v>
      </c>
      <c r="F11" s="5" t="s">
        <v>104</v>
      </c>
      <c r="G11" s="5"/>
      <c r="H11" s="5" t="s">
        <v>108</v>
      </c>
      <c r="I11" s="6" t="s">
        <v>72</v>
      </c>
      <c r="J11" s="6"/>
      <c r="K11" s="6"/>
      <c r="L11" s="6">
        <f>COUNTIFS(Afirmaciones!$A$2:$A$401,$A11,Afirmaciones!$B$2:$B$401,$B11)</f>
        <v>3</v>
      </c>
      <c r="M11" s="6">
        <f>COUNTIFS(Hechos!$A$2:$A$201,$A11)</f>
        <v>4</v>
      </c>
      <c r="N11" s="6">
        <f>IF($B11="rag",SUMIFS(Hechos!$F$2:$F$201,Hechos!$A$2:$A$201,$A11),SUMIFS(Hechos!$G$2:$G$201,Hechos!$A$2:$A$201,$A11))</f>
        <v>0</v>
      </c>
      <c r="O11" s="6" t="str">
        <f t="shared" si="0"/>
        <v>0/4</v>
      </c>
      <c r="P11" s="6">
        <f>COUNTIFS(Afirmaciones!$A$2:$A$401,$A11,Afirmaciones!$B$2:$B$401,$B11,Afirmaciones!$E$2:$E$401,"hecho",Afirmaciones!$F$2:$F$401,"INCORRECTA")</f>
        <v>2</v>
      </c>
      <c r="Q11" s="6">
        <f>COUNTIFS(Afirmaciones!$A$2:$A$401,$A11,Afirmaciones!$B$2:$B$401,$B11,Afirmaciones!$E$2:$E$401,"abstencion",Afirmaciones!$F$2:$F$401,"INCORRECTA")</f>
        <v>0</v>
      </c>
      <c r="R11" s="6">
        <f>COUNTIFS(Afirmaciones!$A$2:$A$401,$A11,Afirmaciones!$B$2:$B$401,$B11,Afirmaciones!$E$2:$E$401,"hecho",Afirmaciones!$F$2:$F$401,"FUERA_REF",Afirmaciones!$H$2:$H$401,"no_resp")</f>
        <v>0</v>
      </c>
      <c r="S11" s="6">
        <f>COUNTIFS(Afirmaciones!$A$2:$A$401,$A11,Afirmaciones!$B$2:$B$401,$B11,Afirmaciones!$E$2:$E$401,"hecho",Afirmaciones!$F$2:$F$401,"FUERA_REF")</f>
        <v>1</v>
      </c>
      <c r="T11" s="6">
        <f>COUNTIFS(Afirmaciones!$A$2:$A$401,$A11,Afirmaciones!$B$2:$B$401,$B11,Afirmaciones!$E$2:$E$401,"hecho",Afirmaciones!$I$2:$I$401,"SIN-RESPALDO")</f>
        <v>0</v>
      </c>
      <c r="U11" s="6">
        <f>COUNTIFS(Afirmaciones!$A$2:$A$401,$A11,Afirmaciones!$B$2:$B$401,$B11,Afirmaciones!$E$2:$E$401,"hecho",Afirmaciones!$I$2:$I$401,"CITA-X")</f>
        <v>0</v>
      </c>
      <c r="V11" s="6">
        <f>COUNTIFS(Afirmaciones!$A$2:$A$401,$A11,Afirmaciones!$B$2:$B$401,$B11,Afirmaciones!$E$2:$E$401,"hecho",Afirmaciones!$I$2:$I$401,"SIN-CITA")</f>
        <v>0</v>
      </c>
      <c r="W11" s="6">
        <f>COUNTIFS(Afirmaciones!$A$2:$A$401,$A11,Afirmaciones!$B$2:$B$401,$B11,Afirmaciones!$E$2:$E$401,"hecho")</f>
        <v>3</v>
      </c>
      <c r="X11" s="6">
        <f>COUNTIFS(Afirmaciones!$A$2:$A$401,$A11,Afirmaciones!$B$2:$B$401,$B11,Afirmaciones!$E$2:$E$401,"hecho",Afirmaciones!$I$2:$I$401,"SOSTENIDA")</f>
        <v>0</v>
      </c>
      <c r="Y11" s="6">
        <f t="shared" si="1"/>
        <v>0</v>
      </c>
      <c r="Z11" s="6" t="str">
        <f t="shared" si="2"/>
        <v>N/A</v>
      </c>
      <c r="AA11" s="6" t="str">
        <f t="shared" si="3"/>
        <v>CRITICA</v>
      </c>
      <c r="AB11" s="6" t="str">
        <f t="shared" si="4"/>
        <v>E2</v>
      </c>
      <c r="AC11" s="6" t="str">
        <f t="shared" si="5"/>
        <v>E2</v>
      </c>
      <c r="AD11" s="6" t="str">
        <f t="shared" si="6"/>
        <v>-</v>
      </c>
      <c r="AE11" s="6" t="str">
        <f>IF(OR($L11=0,$B11&lt;&gt;"rag",$M11=0),"-",SUMIFS(Hechos!$H$2:$H$201,Hechos!$A$2:$A$201,$A11)&amp;"/"&amp;$M11)</f>
        <v>-</v>
      </c>
      <c r="AF11" s="6">
        <f>IF($B11="rag",SUMPRODUCT((Hechos!$A$2:$A$201=$A11)*(Hechos!$F$2:$F$201=0)*((Hechos!$E$2:$E$201="NO")+(Hechos!$E$2:$E$201="ALT-P")+(Hechos!$E$2:$E$201=""))),0)</f>
        <v>0</v>
      </c>
      <c r="AG11" s="6">
        <f>IF($B11="rag",SUMPRODUCT((Hechos!$A$2:$A$201=$A11)*(Hechos!$F$2:$F$201=0)*((Hechos!$E$2:$E$201="SI")+(Hechos!$E$2:$E$201="ALT"))),$M11-$N11)</f>
        <v>4</v>
      </c>
      <c r="AH11" s="7"/>
      <c r="AI11" s="8" t="s">
        <v>109</v>
      </c>
    </row>
    <row r="12" spans="1:35" ht="150" customHeight="1" x14ac:dyDescent="0.25">
      <c r="A12" s="5" t="s">
        <v>110</v>
      </c>
      <c r="B12" s="5" t="s">
        <v>66</v>
      </c>
      <c r="C12" s="5" t="s">
        <v>67</v>
      </c>
      <c r="D12" s="5" t="s">
        <v>96</v>
      </c>
      <c r="E12" s="5" t="s">
        <v>111</v>
      </c>
      <c r="F12" s="5" t="s">
        <v>112</v>
      </c>
      <c r="G12" s="5" t="s">
        <v>113</v>
      </c>
      <c r="H12" s="5" t="s">
        <v>114</v>
      </c>
      <c r="I12" s="6" t="s">
        <v>72</v>
      </c>
      <c r="J12" s="6" t="s">
        <v>92</v>
      </c>
      <c r="K12" s="6" t="s">
        <v>115</v>
      </c>
      <c r="L12" s="6">
        <f>COUNTIFS(Afirmaciones!$A$2:$A$401,$A12,Afirmaciones!$B$2:$B$401,$B12)</f>
        <v>3</v>
      </c>
      <c r="M12" s="6">
        <f>COUNTIFS(Hechos!$A$2:$A$201,$A12)</f>
        <v>3</v>
      </c>
      <c r="N12" s="6">
        <f>IF($B12="rag",SUMIFS(Hechos!$F$2:$F$201,Hechos!$A$2:$A$201,$A12),SUMIFS(Hechos!$G$2:$G$201,Hechos!$A$2:$A$201,$A12))</f>
        <v>2</v>
      </c>
      <c r="O12" s="6" t="str">
        <f t="shared" si="0"/>
        <v>2/3</v>
      </c>
      <c r="P12" s="6">
        <f>COUNTIFS(Afirmaciones!$A$2:$A$401,$A12,Afirmaciones!$B$2:$B$401,$B12,Afirmaciones!$E$2:$E$401,"hecho",Afirmaciones!$F$2:$F$401,"INCORRECTA")</f>
        <v>0</v>
      </c>
      <c r="Q12" s="6">
        <f>COUNTIFS(Afirmaciones!$A$2:$A$401,$A12,Afirmaciones!$B$2:$B$401,$B12,Afirmaciones!$E$2:$E$401,"abstencion",Afirmaciones!$F$2:$F$401,"INCORRECTA")</f>
        <v>1</v>
      </c>
      <c r="R12" s="6">
        <f>COUNTIFS(Afirmaciones!$A$2:$A$401,$A12,Afirmaciones!$B$2:$B$401,$B12,Afirmaciones!$E$2:$E$401,"hecho",Afirmaciones!$F$2:$F$401,"FUERA_REF",Afirmaciones!$H$2:$H$401,"no_resp")</f>
        <v>0</v>
      </c>
      <c r="S12" s="6">
        <f>COUNTIFS(Afirmaciones!$A$2:$A$401,$A12,Afirmaciones!$B$2:$B$401,$B12,Afirmaciones!$E$2:$E$401,"hecho",Afirmaciones!$F$2:$F$401,"FUERA_REF")</f>
        <v>0</v>
      </c>
      <c r="T12" s="6">
        <f>COUNTIFS(Afirmaciones!$A$2:$A$401,$A12,Afirmaciones!$B$2:$B$401,$B12,Afirmaciones!$E$2:$E$401,"hecho",Afirmaciones!$I$2:$I$401,"SIN-RESPALDO")</f>
        <v>0</v>
      </c>
      <c r="U12" s="6">
        <f>COUNTIFS(Afirmaciones!$A$2:$A$401,$A12,Afirmaciones!$B$2:$B$401,$B12,Afirmaciones!$E$2:$E$401,"hecho",Afirmaciones!$I$2:$I$401,"CITA-X")</f>
        <v>0</v>
      </c>
      <c r="V12" s="6">
        <f>COUNTIFS(Afirmaciones!$A$2:$A$401,$A12,Afirmaciones!$B$2:$B$401,$B12,Afirmaciones!$E$2:$E$401,"hecho",Afirmaciones!$I$2:$I$401,"SIN-CITA")</f>
        <v>0</v>
      </c>
      <c r="W12" s="6">
        <f>COUNTIFS(Afirmaciones!$A$2:$A$401,$A12,Afirmaciones!$B$2:$B$401,$B12,Afirmaciones!$E$2:$E$401,"hecho")</f>
        <v>1</v>
      </c>
      <c r="X12" s="6">
        <f>COUNTIFS(Afirmaciones!$A$2:$A$401,$A12,Afirmaciones!$B$2:$B$401,$B12,Afirmaciones!$E$2:$E$401,"hecho",Afirmaciones!$I$2:$I$401,"SOSTENIDA")</f>
        <v>1</v>
      </c>
      <c r="Y12" s="6">
        <f t="shared" si="1"/>
        <v>1</v>
      </c>
      <c r="Z12" s="6">
        <f t="shared" si="2"/>
        <v>2</v>
      </c>
      <c r="AA12" s="6" t="str">
        <f t="shared" si="3"/>
        <v>CRITICA</v>
      </c>
      <c r="AB12" s="6" t="str">
        <f t="shared" si="4"/>
        <v>E2</v>
      </c>
      <c r="AC12" s="6" t="str">
        <f t="shared" si="5"/>
        <v>E2</v>
      </c>
      <c r="AD12" s="6" t="str">
        <f t="shared" si="6"/>
        <v>1/1</v>
      </c>
      <c r="AE12" s="6" t="str">
        <f>IF(OR($L12=0,$B12&lt;&gt;"rag",$M12=0),"-",SUMIFS(Hechos!$H$2:$H$201,Hechos!$A$2:$A$201,$A12)&amp;"/"&amp;$M12)</f>
        <v>2/3</v>
      </c>
      <c r="AF12" s="6">
        <f>IF($B12="rag",SUMPRODUCT((Hechos!$A$2:$A$201=$A12)*(Hechos!$F$2:$F$201=0)*((Hechos!$E$2:$E$201="NO")+(Hechos!$E$2:$E$201="ALT-P")+(Hechos!$E$2:$E$201=""))),0)</f>
        <v>0</v>
      </c>
      <c r="AG12" s="6">
        <f>IF($B12="rag",SUMPRODUCT((Hechos!$A$2:$A$201=$A12)*(Hechos!$F$2:$F$201=0)*((Hechos!$E$2:$E$201="SI")+(Hechos!$E$2:$E$201="ALT"))),$M12-$N12)</f>
        <v>1</v>
      </c>
      <c r="AH12" s="7"/>
      <c r="AI12" s="8" t="s">
        <v>116</v>
      </c>
    </row>
    <row r="13" spans="1:35" ht="150" customHeight="1" x14ac:dyDescent="0.25">
      <c r="A13" s="5" t="s">
        <v>110</v>
      </c>
      <c r="B13" s="5" t="s">
        <v>76</v>
      </c>
      <c r="C13" s="5" t="s">
        <v>67</v>
      </c>
      <c r="D13" s="5" t="s">
        <v>96</v>
      </c>
      <c r="E13" s="5" t="s">
        <v>111</v>
      </c>
      <c r="F13" s="5" t="s">
        <v>112</v>
      </c>
      <c r="G13" s="5" t="s">
        <v>113</v>
      </c>
      <c r="H13" s="5" t="s">
        <v>117</v>
      </c>
      <c r="I13" s="6" t="s">
        <v>72</v>
      </c>
      <c r="J13" s="6"/>
      <c r="K13" s="6"/>
      <c r="L13" s="6">
        <f>COUNTIFS(Afirmaciones!$A$2:$A$401,$A13,Afirmaciones!$B$2:$B$401,$B13)</f>
        <v>2</v>
      </c>
      <c r="M13" s="6">
        <f>COUNTIFS(Hechos!$A$2:$A$201,$A13)</f>
        <v>3</v>
      </c>
      <c r="N13" s="6">
        <f>IF($B13="rag",SUMIFS(Hechos!$F$2:$F$201,Hechos!$A$2:$A$201,$A13),SUMIFS(Hechos!$G$2:$G$201,Hechos!$A$2:$A$201,$A13))</f>
        <v>0</v>
      </c>
      <c r="O13" s="6" t="str">
        <f t="shared" si="0"/>
        <v>0/3</v>
      </c>
      <c r="P13" s="6">
        <f>COUNTIFS(Afirmaciones!$A$2:$A$401,$A13,Afirmaciones!$B$2:$B$401,$B13,Afirmaciones!$E$2:$E$401,"hecho",Afirmaciones!$F$2:$F$401,"INCORRECTA")</f>
        <v>1</v>
      </c>
      <c r="Q13" s="6">
        <f>COUNTIFS(Afirmaciones!$A$2:$A$401,$A13,Afirmaciones!$B$2:$B$401,$B13,Afirmaciones!$E$2:$E$401,"abstencion",Afirmaciones!$F$2:$F$401,"INCORRECTA")</f>
        <v>0</v>
      </c>
      <c r="R13" s="6">
        <f>COUNTIFS(Afirmaciones!$A$2:$A$401,$A13,Afirmaciones!$B$2:$B$401,$B13,Afirmaciones!$E$2:$E$401,"hecho",Afirmaciones!$F$2:$F$401,"FUERA_REF",Afirmaciones!$H$2:$H$401,"no_resp")</f>
        <v>0</v>
      </c>
      <c r="S13" s="6">
        <f>COUNTIFS(Afirmaciones!$A$2:$A$401,$A13,Afirmaciones!$B$2:$B$401,$B13,Afirmaciones!$E$2:$E$401,"hecho",Afirmaciones!$F$2:$F$401,"FUERA_REF")</f>
        <v>0</v>
      </c>
      <c r="T13" s="6">
        <f>COUNTIFS(Afirmaciones!$A$2:$A$401,$A13,Afirmaciones!$B$2:$B$401,$B13,Afirmaciones!$E$2:$E$401,"hecho",Afirmaciones!$I$2:$I$401,"SIN-RESPALDO")</f>
        <v>0</v>
      </c>
      <c r="U13" s="6">
        <f>COUNTIFS(Afirmaciones!$A$2:$A$401,$A13,Afirmaciones!$B$2:$B$401,$B13,Afirmaciones!$E$2:$E$401,"hecho",Afirmaciones!$I$2:$I$401,"CITA-X")</f>
        <v>0</v>
      </c>
      <c r="V13" s="6">
        <f>COUNTIFS(Afirmaciones!$A$2:$A$401,$A13,Afirmaciones!$B$2:$B$401,$B13,Afirmaciones!$E$2:$E$401,"hecho",Afirmaciones!$I$2:$I$401,"SIN-CITA")</f>
        <v>0</v>
      </c>
      <c r="W13" s="6">
        <f>COUNTIFS(Afirmaciones!$A$2:$A$401,$A13,Afirmaciones!$B$2:$B$401,$B13,Afirmaciones!$E$2:$E$401,"hecho")</f>
        <v>2</v>
      </c>
      <c r="X13" s="6">
        <f>COUNTIFS(Afirmaciones!$A$2:$A$401,$A13,Afirmaciones!$B$2:$B$401,$B13,Afirmaciones!$E$2:$E$401,"hecho",Afirmaciones!$I$2:$I$401,"SOSTENIDA")</f>
        <v>0</v>
      </c>
      <c r="Y13" s="6">
        <f t="shared" si="1"/>
        <v>0</v>
      </c>
      <c r="Z13" s="6" t="str">
        <f t="shared" si="2"/>
        <v>N/A</v>
      </c>
      <c r="AA13" s="6" t="str">
        <f t="shared" si="3"/>
        <v>CRITICA</v>
      </c>
      <c r="AB13" s="6" t="str">
        <f t="shared" si="4"/>
        <v>E2</v>
      </c>
      <c r="AC13" s="6" t="str">
        <f t="shared" si="5"/>
        <v>E2</v>
      </c>
      <c r="AD13" s="6" t="str">
        <f t="shared" si="6"/>
        <v>-</v>
      </c>
      <c r="AE13" s="6" t="str">
        <f>IF(OR($L13=0,$B13&lt;&gt;"rag",$M13=0),"-",SUMIFS(Hechos!$H$2:$H$201,Hechos!$A$2:$A$201,$A13)&amp;"/"&amp;$M13)</f>
        <v>-</v>
      </c>
      <c r="AF13" s="6">
        <f>IF($B13="rag",SUMPRODUCT((Hechos!$A$2:$A$201=$A13)*(Hechos!$F$2:$F$201=0)*((Hechos!$E$2:$E$201="NO")+(Hechos!$E$2:$E$201="ALT-P")+(Hechos!$E$2:$E$201=""))),0)</f>
        <v>0</v>
      </c>
      <c r="AG13" s="6">
        <f>IF($B13="rag",SUMPRODUCT((Hechos!$A$2:$A$201=$A13)*(Hechos!$F$2:$F$201=0)*((Hechos!$E$2:$E$201="SI")+(Hechos!$E$2:$E$201="ALT"))),$M13-$N13)</f>
        <v>3</v>
      </c>
      <c r="AH13" s="7"/>
      <c r="AI13" s="8" t="s">
        <v>109</v>
      </c>
    </row>
    <row r="14" spans="1:35" ht="150" customHeight="1" x14ac:dyDescent="0.25">
      <c r="A14" s="5" t="s">
        <v>118</v>
      </c>
      <c r="B14" s="5" t="s">
        <v>66</v>
      </c>
      <c r="C14" s="5" t="s">
        <v>81</v>
      </c>
      <c r="D14" s="5" t="s">
        <v>68</v>
      </c>
      <c r="E14" s="5" t="s">
        <v>119</v>
      </c>
      <c r="F14" s="5" t="s">
        <v>120</v>
      </c>
      <c r="G14" s="5"/>
      <c r="H14" s="5" t="s">
        <v>121</v>
      </c>
      <c r="I14" s="6" t="s">
        <v>72</v>
      </c>
      <c r="J14" s="6" t="s">
        <v>92</v>
      </c>
      <c r="K14" s="6" t="s">
        <v>115</v>
      </c>
      <c r="L14" s="6">
        <f>COUNTIFS(Afirmaciones!$A$2:$A$401,$A14,Afirmaciones!$B$2:$B$401,$B14)</f>
        <v>0</v>
      </c>
      <c r="M14" s="6">
        <f>COUNTIFS(Hechos!$A$2:$A$201,$A14)</f>
        <v>3</v>
      </c>
      <c r="N14" s="6">
        <f>IF($B14="rag",SUMIFS(Hechos!$F$2:$F$201,Hechos!$A$2:$A$201,$A14),SUMIFS(Hechos!$G$2:$G$201,Hechos!$A$2:$A$201,$A14))</f>
        <v>0</v>
      </c>
      <c r="O14" s="6" t="str">
        <f t="shared" si="0"/>
        <v>0/3</v>
      </c>
      <c r="P14" s="6">
        <f>COUNTIFS(Afirmaciones!$A$2:$A$401,$A14,Afirmaciones!$B$2:$B$401,$B14,Afirmaciones!$E$2:$E$401,"hecho",Afirmaciones!$F$2:$F$401,"INCORRECTA")</f>
        <v>0</v>
      </c>
      <c r="Q14" s="6">
        <f>COUNTIFS(Afirmaciones!$A$2:$A$401,$A14,Afirmaciones!$B$2:$B$401,$B14,Afirmaciones!$E$2:$E$401,"abstencion",Afirmaciones!$F$2:$F$401,"INCORRECTA")</f>
        <v>0</v>
      </c>
      <c r="R14" s="6">
        <f>COUNTIFS(Afirmaciones!$A$2:$A$401,$A14,Afirmaciones!$B$2:$B$401,$B14,Afirmaciones!$E$2:$E$401,"hecho",Afirmaciones!$F$2:$F$401,"FUERA_REF",Afirmaciones!$H$2:$H$401,"no_resp")</f>
        <v>0</v>
      </c>
      <c r="S14" s="6">
        <f>COUNTIFS(Afirmaciones!$A$2:$A$401,$A14,Afirmaciones!$B$2:$B$401,$B14,Afirmaciones!$E$2:$E$401,"hecho",Afirmaciones!$F$2:$F$401,"FUERA_REF")</f>
        <v>0</v>
      </c>
      <c r="T14" s="6">
        <f>COUNTIFS(Afirmaciones!$A$2:$A$401,$A14,Afirmaciones!$B$2:$B$401,$B14,Afirmaciones!$E$2:$E$401,"hecho",Afirmaciones!$I$2:$I$401,"SIN-RESPALDO")</f>
        <v>0</v>
      </c>
      <c r="U14" s="6">
        <f>COUNTIFS(Afirmaciones!$A$2:$A$401,$A14,Afirmaciones!$B$2:$B$401,$B14,Afirmaciones!$E$2:$E$401,"hecho",Afirmaciones!$I$2:$I$401,"CITA-X")</f>
        <v>0</v>
      </c>
      <c r="V14" s="6">
        <f>COUNTIFS(Afirmaciones!$A$2:$A$401,$A14,Afirmaciones!$B$2:$B$401,$B14,Afirmaciones!$E$2:$E$401,"hecho",Afirmaciones!$I$2:$I$401,"SIN-CITA")</f>
        <v>0</v>
      </c>
      <c r="W14" s="6">
        <f>COUNTIFS(Afirmaciones!$A$2:$A$401,$A14,Afirmaciones!$B$2:$B$401,$B14,Afirmaciones!$E$2:$E$401,"hecho")</f>
        <v>0</v>
      </c>
      <c r="X14" s="6">
        <f>COUNTIFS(Afirmaciones!$A$2:$A$401,$A14,Afirmaciones!$B$2:$B$401,$B14,Afirmaciones!$E$2:$E$401,"hecho",Afirmaciones!$I$2:$I$401,"SOSTENIDA")</f>
        <v>0</v>
      </c>
      <c r="Y14" s="6" t="str">
        <f t="shared" si="1"/>
        <v/>
      </c>
      <c r="Z14" s="6" t="str">
        <f t="shared" si="2"/>
        <v/>
      </c>
      <c r="AA14" s="6" t="str">
        <f t="shared" si="3"/>
        <v/>
      </c>
      <c r="AB14" s="6" t="str">
        <f t="shared" si="4"/>
        <v/>
      </c>
      <c r="AC14" s="6" t="str">
        <f t="shared" si="5"/>
        <v/>
      </c>
      <c r="AD14" s="6" t="str">
        <f t="shared" si="6"/>
        <v>-</v>
      </c>
      <c r="AE14" s="6" t="str">
        <f>IF(OR($L14=0,$B14&lt;&gt;"rag",$M14=0),"-",SUMIFS(Hechos!$H$2:$H$201,Hechos!$A$2:$A$201,$A14)&amp;"/"&amp;$M14)</f>
        <v>-</v>
      </c>
      <c r="AF14" s="6">
        <f>IF($B14="rag",SUMPRODUCT((Hechos!$A$2:$A$201=$A14)*(Hechos!$F$2:$F$201=0)*((Hechos!$E$2:$E$201="NO")+(Hechos!$E$2:$E$201="ALT-P")+(Hechos!$E$2:$E$201=""))),0)</f>
        <v>0</v>
      </c>
      <c r="AG14" s="6">
        <f>IF($B14="rag",SUMPRODUCT((Hechos!$A$2:$A$201=$A14)*(Hechos!$F$2:$F$201=0)*((Hechos!$E$2:$E$201="SI")+(Hechos!$E$2:$E$201="ALT"))),$M14-$N14)</f>
        <v>0</v>
      </c>
      <c r="AH14" s="7"/>
    </row>
    <row r="15" spans="1:35" ht="150" customHeight="1" x14ac:dyDescent="0.25">
      <c r="A15" s="5" t="s">
        <v>118</v>
      </c>
      <c r="B15" s="5" t="s">
        <v>76</v>
      </c>
      <c r="C15" s="5" t="s">
        <v>81</v>
      </c>
      <c r="D15" s="5" t="s">
        <v>68</v>
      </c>
      <c r="E15" s="5" t="s">
        <v>119</v>
      </c>
      <c r="F15" s="5" t="s">
        <v>120</v>
      </c>
      <c r="G15" s="5"/>
      <c r="H15" s="5" t="s">
        <v>122</v>
      </c>
      <c r="I15" s="6" t="s">
        <v>72</v>
      </c>
      <c r="J15" s="6"/>
      <c r="K15" s="6"/>
      <c r="L15" s="6">
        <f>COUNTIFS(Afirmaciones!$A$2:$A$401,$A15,Afirmaciones!$B$2:$B$401,$B15)</f>
        <v>0</v>
      </c>
      <c r="M15" s="6">
        <f>COUNTIFS(Hechos!$A$2:$A$201,$A15)</f>
        <v>3</v>
      </c>
      <c r="N15" s="6">
        <f>IF($B15="rag",SUMIFS(Hechos!$F$2:$F$201,Hechos!$A$2:$A$201,$A15),SUMIFS(Hechos!$G$2:$G$201,Hechos!$A$2:$A$201,$A15))</f>
        <v>0</v>
      </c>
      <c r="O15" s="6" t="str">
        <f t="shared" si="0"/>
        <v>0/3</v>
      </c>
      <c r="P15" s="6">
        <f>COUNTIFS(Afirmaciones!$A$2:$A$401,$A15,Afirmaciones!$B$2:$B$401,$B15,Afirmaciones!$E$2:$E$401,"hecho",Afirmaciones!$F$2:$F$401,"INCORRECTA")</f>
        <v>0</v>
      </c>
      <c r="Q15" s="6">
        <f>COUNTIFS(Afirmaciones!$A$2:$A$401,$A15,Afirmaciones!$B$2:$B$401,$B15,Afirmaciones!$E$2:$E$401,"abstencion",Afirmaciones!$F$2:$F$401,"INCORRECTA")</f>
        <v>0</v>
      </c>
      <c r="R15" s="6">
        <f>COUNTIFS(Afirmaciones!$A$2:$A$401,$A15,Afirmaciones!$B$2:$B$401,$B15,Afirmaciones!$E$2:$E$401,"hecho",Afirmaciones!$F$2:$F$401,"FUERA_REF",Afirmaciones!$H$2:$H$401,"no_resp")</f>
        <v>0</v>
      </c>
      <c r="S15" s="6">
        <f>COUNTIFS(Afirmaciones!$A$2:$A$401,$A15,Afirmaciones!$B$2:$B$401,$B15,Afirmaciones!$E$2:$E$401,"hecho",Afirmaciones!$F$2:$F$401,"FUERA_REF")</f>
        <v>0</v>
      </c>
      <c r="T15" s="6">
        <f>COUNTIFS(Afirmaciones!$A$2:$A$401,$A15,Afirmaciones!$B$2:$B$401,$B15,Afirmaciones!$E$2:$E$401,"hecho",Afirmaciones!$I$2:$I$401,"SIN-RESPALDO")</f>
        <v>0</v>
      </c>
      <c r="U15" s="6">
        <f>COUNTIFS(Afirmaciones!$A$2:$A$401,$A15,Afirmaciones!$B$2:$B$401,$B15,Afirmaciones!$E$2:$E$401,"hecho",Afirmaciones!$I$2:$I$401,"CITA-X")</f>
        <v>0</v>
      </c>
      <c r="V15" s="6">
        <f>COUNTIFS(Afirmaciones!$A$2:$A$401,$A15,Afirmaciones!$B$2:$B$401,$B15,Afirmaciones!$E$2:$E$401,"hecho",Afirmaciones!$I$2:$I$401,"SIN-CITA")</f>
        <v>0</v>
      </c>
      <c r="W15" s="6">
        <f>COUNTIFS(Afirmaciones!$A$2:$A$401,$A15,Afirmaciones!$B$2:$B$401,$B15,Afirmaciones!$E$2:$E$401,"hecho")</f>
        <v>0</v>
      </c>
      <c r="X15" s="6">
        <f>COUNTIFS(Afirmaciones!$A$2:$A$401,$A15,Afirmaciones!$B$2:$B$401,$B15,Afirmaciones!$E$2:$E$401,"hecho",Afirmaciones!$I$2:$I$401,"SOSTENIDA")</f>
        <v>0</v>
      </c>
      <c r="Y15" s="6" t="str">
        <f t="shared" si="1"/>
        <v/>
      </c>
      <c r="Z15" s="6" t="str">
        <f t="shared" si="2"/>
        <v/>
      </c>
      <c r="AA15" s="6" t="str">
        <f t="shared" si="3"/>
        <v/>
      </c>
      <c r="AB15" s="6" t="str">
        <f t="shared" si="4"/>
        <v/>
      </c>
      <c r="AC15" s="6" t="str">
        <f t="shared" si="5"/>
        <v/>
      </c>
      <c r="AD15" s="6" t="str">
        <f t="shared" si="6"/>
        <v>-</v>
      </c>
      <c r="AE15" s="6" t="str">
        <f>IF(OR($L15=0,$B15&lt;&gt;"rag",$M15=0),"-",SUMIFS(Hechos!$H$2:$H$201,Hechos!$A$2:$A$201,$A15)&amp;"/"&amp;$M15)</f>
        <v>-</v>
      </c>
      <c r="AF15" s="6">
        <f>IF($B15="rag",SUMPRODUCT((Hechos!$A$2:$A$201=$A15)*(Hechos!$F$2:$F$201=0)*((Hechos!$E$2:$E$201="NO")+(Hechos!$E$2:$E$201="ALT-P")+(Hechos!$E$2:$E$201=""))),0)</f>
        <v>0</v>
      </c>
      <c r="AG15" s="6">
        <f>IF($B15="rag",SUMPRODUCT((Hechos!$A$2:$A$201=$A15)*(Hechos!$F$2:$F$201=0)*((Hechos!$E$2:$E$201="SI")+(Hechos!$E$2:$E$201="ALT"))),$M15-$N15)</f>
        <v>3</v>
      </c>
      <c r="AH15" s="7"/>
    </row>
    <row r="16" spans="1:35" ht="150" customHeight="1" x14ac:dyDescent="0.25">
      <c r="A16" s="5" t="s">
        <v>123</v>
      </c>
      <c r="B16" s="5" t="s">
        <v>66</v>
      </c>
      <c r="C16" s="5" t="s">
        <v>67</v>
      </c>
      <c r="D16" s="5" t="s">
        <v>96</v>
      </c>
      <c r="E16" s="5" t="s">
        <v>124</v>
      </c>
      <c r="F16" s="5" t="s">
        <v>125</v>
      </c>
      <c r="G16" s="5" t="s">
        <v>126</v>
      </c>
      <c r="H16" s="5" t="s">
        <v>127</v>
      </c>
      <c r="I16" s="6" t="s">
        <v>72</v>
      </c>
      <c r="J16" s="6" t="s">
        <v>73</v>
      </c>
      <c r="K16" s="6" t="s">
        <v>128</v>
      </c>
      <c r="L16" s="6">
        <f>COUNTIFS(Afirmaciones!$A$2:$A$401,$A16,Afirmaciones!$B$2:$B$401,$B16)</f>
        <v>0</v>
      </c>
      <c r="M16" s="6">
        <f>COUNTIFS(Hechos!$A$2:$A$201,$A16)</f>
        <v>3</v>
      </c>
      <c r="N16" s="6">
        <f>IF($B16="rag",SUMIFS(Hechos!$F$2:$F$201,Hechos!$A$2:$A$201,$A16),SUMIFS(Hechos!$G$2:$G$201,Hechos!$A$2:$A$201,$A16))</f>
        <v>0</v>
      </c>
      <c r="O16" s="6" t="str">
        <f t="shared" si="0"/>
        <v>0/3</v>
      </c>
      <c r="P16" s="6">
        <f>COUNTIFS(Afirmaciones!$A$2:$A$401,$A16,Afirmaciones!$B$2:$B$401,$B16,Afirmaciones!$E$2:$E$401,"hecho",Afirmaciones!$F$2:$F$401,"INCORRECTA")</f>
        <v>0</v>
      </c>
      <c r="Q16" s="6">
        <f>COUNTIFS(Afirmaciones!$A$2:$A$401,$A16,Afirmaciones!$B$2:$B$401,$B16,Afirmaciones!$E$2:$E$401,"abstencion",Afirmaciones!$F$2:$F$401,"INCORRECTA")</f>
        <v>0</v>
      </c>
      <c r="R16" s="6">
        <f>COUNTIFS(Afirmaciones!$A$2:$A$401,$A16,Afirmaciones!$B$2:$B$401,$B16,Afirmaciones!$E$2:$E$401,"hecho",Afirmaciones!$F$2:$F$401,"FUERA_REF",Afirmaciones!$H$2:$H$401,"no_resp")</f>
        <v>0</v>
      </c>
      <c r="S16" s="6">
        <f>COUNTIFS(Afirmaciones!$A$2:$A$401,$A16,Afirmaciones!$B$2:$B$401,$B16,Afirmaciones!$E$2:$E$401,"hecho",Afirmaciones!$F$2:$F$401,"FUERA_REF")</f>
        <v>0</v>
      </c>
      <c r="T16" s="6">
        <f>COUNTIFS(Afirmaciones!$A$2:$A$401,$A16,Afirmaciones!$B$2:$B$401,$B16,Afirmaciones!$E$2:$E$401,"hecho",Afirmaciones!$I$2:$I$401,"SIN-RESPALDO")</f>
        <v>0</v>
      </c>
      <c r="U16" s="6">
        <f>COUNTIFS(Afirmaciones!$A$2:$A$401,$A16,Afirmaciones!$B$2:$B$401,$B16,Afirmaciones!$E$2:$E$401,"hecho",Afirmaciones!$I$2:$I$401,"CITA-X")</f>
        <v>0</v>
      </c>
      <c r="V16" s="6">
        <f>COUNTIFS(Afirmaciones!$A$2:$A$401,$A16,Afirmaciones!$B$2:$B$401,$B16,Afirmaciones!$E$2:$E$401,"hecho",Afirmaciones!$I$2:$I$401,"SIN-CITA")</f>
        <v>0</v>
      </c>
      <c r="W16" s="6">
        <f>COUNTIFS(Afirmaciones!$A$2:$A$401,$A16,Afirmaciones!$B$2:$B$401,$B16,Afirmaciones!$E$2:$E$401,"hecho")</f>
        <v>0</v>
      </c>
      <c r="X16" s="6">
        <f>COUNTIFS(Afirmaciones!$A$2:$A$401,$A16,Afirmaciones!$B$2:$B$401,$B16,Afirmaciones!$E$2:$E$401,"hecho",Afirmaciones!$I$2:$I$401,"SOSTENIDA")</f>
        <v>0</v>
      </c>
      <c r="Y16" s="6" t="str">
        <f t="shared" si="1"/>
        <v/>
      </c>
      <c r="Z16" s="6" t="str">
        <f t="shared" si="2"/>
        <v/>
      </c>
      <c r="AA16" s="6" t="str">
        <f t="shared" si="3"/>
        <v/>
      </c>
      <c r="AB16" s="6" t="str">
        <f t="shared" si="4"/>
        <v/>
      </c>
      <c r="AC16" s="6" t="str">
        <f t="shared" si="5"/>
        <v/>
      </c>
      <c r="AD16" s="6" t="str">
        <f t="shared" si="6"/>
        <v>-</v>
      </c>
      <c r="AE16" s="6" t="str">
        <f>IF(OR($L16=0,$B16&lt;&gt;"rag",$M16=0),"-",SUMIFS(Hechos!$H$2:$H$201,Hechos!$A$2:$A$201,$A16)&amp;"/"&amp;$M16)</f>
        <v>-</v>
      </c>
      <c r="AF16" s="6">
        <f>IF($B16="rag",SUMPRODUCT((Hechos!$A$2:$A$201=$A16)*(Hechos!$F$2:$F$201=0)*((Hechos!$E$2:$E$201="NO")+(Hechos!$E$2:$E$201="ALT-P")+(Hechos!$E$2:$E$201=""))),0)</f>
        <v>0</v>
      </c>
      <c r="AG16" s="6">
        <f>IF($B16="rag",SUMPRODUCT((Hechos!$A$2:$A$201=$A16)*(Hechos!$F$2:$F$201=0)*((Hechos!$E$2:$E$201="SI")+(Hechos!$E$2:$E$201="ALT"))),$M16-$N16)</f>
        <v>0</v>
      </c>
      <c r="AH16" s="7"/>
    </row>
    <row r="17" spans="1:35" ht="150" customHeight="1" x14ac:dyDescent="0.25">
      <c r="A17" s="5" t="s">
        <v>123</v>
      </c>
      <c r="B17" s="5" t="s">
        <v>76</v>
      </c>
      <c r="C17" s="5" t="s">
        <v>67</v>
      </c>
      <c r="D17" s="5" t="s">
        <v>96</v>
      </c>
      <c r="E17" s="5" t="s">
        <v>124</v>
      </c>
      <c r="F17" s="5" t="s">
        <v>125</v>
      </c>
      <c r="G17" s="5" t="s">
        <v>126</v>
      </c>
      <c r="H17" s="5" t="s">
        <v>129</v>
      </c>
      <c r="I17" s="6" t="s">
        <v>72</v>
      </c>
      <c r="J17" s="6"/>
      <c r="K17" s="6"/>
      <c r="L17" s="6">
        <f>COUNTIFS(Afirmaciones!$A$2:$A$401,$A17,Afirmaciones!$B$2:$B$401,$B17)</f>
        <v>0</v>
      </c>
      <c r="M17" s="6">
        <f>COUNTIFS(Hechos!$A$2:$A$201,$A17)</f>
        <v>3</v>
      </c>
      <c r="N17" s="6">
        <f>IF($B17="rag",SUMIFS(Hechos!$F$2:$F$201,Hechos!$A$2:$A$201,$A17),SUMIFS(Hechos!$G$2:$G$201,Hechos!$A$2:$A$201,$A17))</f>
        <v>0</v>
      </c>
      <c r="O17" s="6" t="str">
        <f t="shared" si="0"/>
        <v>0/3</v>
      </c>
      <c r="P17" s="6">
        <f>COUNTIFS(Afirmaciones!$A$2:$A$401,$A17,Afirmaciones!$B$2:$B$401,$B17,Afirmaciones!$E$2:$E$401,"hecho",Afirmaciones!$F$2:$F$401,"INCORRECTA")</f>
        <v>0</v>
      </c>
      <c r="Q17" s="6">
        <f>COUNTIFS(Afirmaciones!$A$2:$A$401,$A17,Afirmaciones!$B$2:$B$401,$B17,Afirmaciones!$E$2:$E$401,"abstencion",Afirmaciones!$F$2:$F$401,"INCORRECTA")</f>
        <v>0</v>
      </c>
      <c r="R17" s="6">
        <f>COUNTIFS(Afirmaciones!$A$2:$A$401,$A17,Afirmaciones!$B$2:$B$401,$B17,Afirmaciones!$E$2:$E$401,"hecho",Afirmaciones!$F$2:$F$401,"FUERA_REF",Afirmaciones!$H$2:$H$401,"no_resp")</f>
        <v>0</v>
      </c>
      <c r="S17" s="6">
        <f>COUNTIFS(Afirmaciones!$A$2:$A$401,$A17,Afirmaciones!$B$2:$B$401,$B17,Afirmaciones!$E$2:$E$401,"hecho",Afirmaciones!$F$2:$F$401,"FUERA_REF")</f>
        <v>0</v>
      </c>
      <c r="T17" s="6">
        <f>COUNTIFS(Afirmaciones!$A$2:$A$401,$A17,Afirmaciones!$B$2:$B$401,$B17,Afirmaciones!$E$2:$E$401,"hecho",Afirmaciones!$I$2:$I$401,"SIN-RESPALDO")</f>
        <v>0</v>
      </c>
      <c r="U17" s="6">
        <f>COUNTIFS(Afirmaciones!$A$2:$A$401,$A17,Afirmaciones!$B$2:$B$401,$B17,Afirmaciones!$E$2:$E$401,"hecho",Afirmaciones!$I$2:$I$401,"CITA-X")</f>
        <v>0</v>
      </c>
      <c r="V17" s="6">
        <f>COUNTIFS(Afirmaciones!$A$2:$A$401,$A17,Afirmaciones!$B$2:$B$401,$B17,Afirmaciones!$E$2:$E$401,"hecho",Afirmaciones!$I$2:$I$401,"SIN-CITA")</f>
        <v>0</v>
      </c>
      <c r="W17" s="6">
        <f>COUNTIFS(Afirmaciones!$A$2:$A$401,$A17,Afirmaciones!$B$2:$B$401,$B17,Afirmaciones!$E$2:$E$401,"hecho")</f>
        <v>0</v>
      </c>
      <c r="X17" s="6">
        <f>COUNTIFS(Afirmaciones!$A$2:$A$401,$A17,Afirmaciones!$B$2:$B$401,$B17,Afirmaciones!$E$2:$E$401,"hecho",Afirmaciones!$I$2:$I$401,"SOSTENIDA")</f>
        <v>0</v>
      </c>
      <c r="Y17" s="6" t="str">
        <f t="shared" si="1"/>
        <v/>
      </c>
      <c r="Z17" s="6" t="str">
        <f t="shared" si="2"/>
        <v/>
      </c>
      <c r="AA17" s="6" t="str">
        <f t="shared" si="3"/>
        <v/>
      </c>
      <c r="AB17" s="6" t="str">
        <f t="shared" si="4"/>
        <v/>
      </c>
      <c r="AC17" s="6" t="str">
        <f t="shared" si="5"/>
        <v/>
      </c>
      <c r="AD17" s="6" t="str">
        <f t="shared" si="6"/>
        <v>-</v>
      </c>
      <c r="AE17" s="6" t="str">
        <f>IF(OR($L17=0,$B17&lt;&gt;"rag",$M17=0),"-",SUMIFS(Hechos!$H$2:$H$201,Hechos!$A$2:$A$201,$A17)&amp;"/"&amp;$M17)</f>
        <v>-</v>
      </c>
      <c r="AF17" s="6">
        <f>IF($B17="rag",SUMPRODUCT((Hechos!$A$2:$A$201=$A17)*(Hechos!$F$2:$F$201=0)*((Hechos!$E$2:$E$201="NO")+(Hechos!$E$2:$E$201="ALT-P")+(Hechos!$E$2:$E$201=""))),0)</f>
        <v>0</v>
      </c>
      <c r="AG17" s="6">
        <f>IF($B17="rag",SUMPRODUCT((Hechos!$A$2:$A$201=$A17)*(Hechos!$F$2:$F$201=0)*((Hechos!$E$2:$E$201="SI")+(Hechos!$E$2:$E$201="ALT"))),$M17-$N17)</f>
        <v>3</v>
      </c>
      <c r="AH17" s="7"/>
    </row>
    <row r="18" spans="1:35" ht="150" customHeight="1" x14ac:dyDescent="0.25">
      <c r="A18" s="5" t="s">
        <v>130</v>
      </c>
      <c r="B18" s="5" t="s">
        <v>66</v>
      </c>
      <c r="C18" s="5" t="s">
        <v>81</v>
      </c>
      <c r="D18" s="5" t="s">
        <v>96</v>
      </c>
      <c r="E18" s="5" t="s">
        <v>131</v>
      </c>
      <c r="F18" s="5" t="s">
        <v>132</v>
      </c>
      <c r="G18" s="5" t="s">
        <v>133</v>
      </c>
      <c r="H18" s="5" t="s">
        <v>134</v>
      </c>
      <c r="I18" s="6" t="s">
        <v>72</v>
      </c>
      <c r="J18" s="6" t="s">
        <v>85</v>
      </c>
      <c r="K18" s="6" t="s">
        <v>135</v>
      </c>
      <c r="L18" s="6">
        <f>COUNTIFS(Afirmaciones!$A$2:$A$401,$A18,Afirmaciones!$B$2:$B$401,$B18)</f>
        <v>3</v>
      </c>
      <c r="M18" s="6">
        <f>COUNTIFS(Hechos!$A$2:$A$201,$A18)</f>
        <v>6</v>
      </c>
      <c r="N18" s="6">
        <f>IF($B18="rag",SUMIFS(Hechos!$F$2:$F$201,Hechos!$A$2:$A$201,$A18),SUMIFS(Hechos!$G$2:$G$201,Hechos!$A$2:$A$201,$A18))</f>
        <v>0</v>
      </c>
      <c r="O18" s="6" t="str">
        <f t="shared" si="0"/>
        <v>0/6</v>
      </c>
      <c r="P18" s="6">
        <f>COUNTIFS(Afirmaciones!$A$2:$A$401,$A18,Afirmaciones!$B$2:$B$401,$B18,Afirmaciones!$E$2:$E$401,"hecho",Afirmaciones!$F$2:$F$401,"INCORRECTA")</f>
        <v>0</v>
      </c>
      <c r="Q18" s="6">
        <f>COUNTIFS(Afirmaciones!$A$2:$A$401,$A18,Afirmaciones!$B$2:$B$401,$B18,Afirmaciones!$E$2:$E$401,"abstencion",Afirmaciones!$F$2:$F$401,"INCORRECTA")</f>
        <v>1</v>
      </c>
      <c r="R18" s="6">
        <f>COUNTIFS(Afirmaciones!$A$2:$A$401,$A18,Afirmaciones!$B$2:$B$401,$B18,Afirmaciones!$E$2:$E$401,"hecho",Afirmaciones!$F$2:$F$401,"FUERA_REF",Afirmaciones!$H$2:$H$401,"no_resp")</f>
        <v>0</v>
      </c>
      <c r="S18" s="6">
        <f>COUNTIFS(Afirmaciones!$A$2:$A$401,$A18,Afirmaciones!$B$2:$B$401,$B18,Afirmaciones!$E$2:$E$401,"hecho",Afirmaciones!$F$2:$F$401,"FUERA_REF")</f>
        <v>0</v>
      </c>
      <c r="T18" s="6">
        <f>COUNTIFS(Afirmaciones!$A$2:$A$401,$A18,Afirmaciones!$B$2:$B$401,$B18,Afirmaciones!$E$2:$E$401,"hecho",Afirmaciones!$I$2:$I$401,"SIN-RESPALDO")</f>
        <v>0</v>
      </c>
      <c r="U18" s="6">
        <f>COUNTIFS(Afirmaciones!$A$2:$A$401,$A18,Afirmaciones!$B$2:$B$401,$B18,Afirmaciones!$E$2:$E$401,"hecho",Afirmaciones!$I$2:$I$401,"CITA-X")</f>
        <v>0</v>
      </c>
      <c r="V18" s="6">
        <f>COUNTIFS(Afirmaciones!$A$2:$A$401,$A18,Afirmaciones!$B$2:$B$401,$B18,Afirmaciones!$E$2:$E$401,"hecho",Afirmaciones!$I$2:$I$401,"SIN-CITA")</f>
        <v>0</v>
      </c>
      <c r="W18" s="6">
        <f>COUNTIFS(Afirmaciones!$A$2:$A$401,$A18,Afirmaciones!$B$2:$B$401,$B18,Afirmaciones!$E$2:$E$401,"hecho")</f>
        <v>1</v>
      </c>
      <c r="X18" s="6">
        <f>COUNTIFS(Afirmaciones!$A$2:$A$401,$A18,Afirmaciones!$B$2:$B$401,$B18,Afirmaciones!$E$2:$E$401,"hecho",Afirmaciones!$I$2:$I$401,"SOSTENIDA")</f>
        <v>1</v>
      </c>
      <c r="Y18" s="6">
        <f t="shared" si="1"/>
        <v>0</v>
      </c>
      <c r="Z18" s="6">
        <f t="shared" si="2"/>
        <v>2</v>
      </c>
      <c r="AA18" s="6" t="str">
        <f t="shared" si="3"/>
        <v>CRITICA</v>
      </c>
      <c r="AB18" s="6" t="str">
        <f t="shared" si="4"/>
        <v>E1 E2</v>
      </c>
      <c r="AC18" s="6" t="str">
        <f t="shared" si="5"/>
        <v>E1</v>
      </c>
      <c r="AD18" s="6" t="str">
        <f t="shared" si="6"/>
        <v>1/1</v>
      </c>
      <c r="AE18" s="6" t="str">
        <f>IF(OR($L18=0,$B18&lt;&gt;"rag",$M18=0),"-",SUMIFS(Hechos!$H$2:$H$201,Hechos!$A$2:$A$201,$A18)&amp;"/"&amp;$M18)</f>
        <v>0/6</v>
      </c>
      <c r="AF18" s="6">
        <f>IF($B18="rag",SUMPRODUCT((Hechos!$A$2:$A$201=$A18)*(Hechos!$F$2:$F$201=0)*((Hechos!$E$2:$E$201="NO")+(Hechos!$E$2:$E$201="ALT-P")+(Hechos!$E$2:$E$201=""))),0)</f>
        <v>4</v>
      </c>
      <c r="AG18" s="6">
        <f>IF($B18="rag",SUMPRODUCT((Hechos!$A$2:$A$201=$A18)*(Hechos!$F$2:$F$201=0)*((Hechos!$E$2:$E$201="SI")+(Hechos!$E$2:$E$201="ALT"))),$M18-$N18)</f>
        <v>2</v>
      </c>
      <c r="AH18" s="7"/>
      <c r="AI18" s="8" t="s">
        <v>136</v>
      </c>
    </row>
    <row r="19" spans="1:35" ht="150" customHeight="1" x14ac:dyDescent="0.25">
      <c r="A19" s="5" t="s">
        <v>130</v>
      </c>
      <c r="B19" s="5" t="s">
        <v>76</v>
      </c>
      <c r="C19" s="5" t="s">
        <v>81</v>
      </c>
      <c r="D19" s="5" t="s">
        <v>96</v>
      </c>
      <c r="E19" s="5" t="s">
        <v>131</v>
      </c>
      <c r="F19" s="5" t="s">
        <v>132</v>
      </c>
      <c r="G19" s="5" t="s">
        <v>133</v>
      </c>
      <c r="H19" s="5" t="s">
        <v>137</v>
      </c>
      <c r="I19" s="6" t="s">
        <v>72</v>
      </c>
      <c r="J19" s="6"/>
      <c r="K19" s="6"/>
      <c r="L19" s="6">
        <f>COUNTIFS(Afirmaciones!$A$2:$A$401,$A19,Afirmaciones!$B$2:$B$401,$B19)</f>
        <v>6</v>
      </c>
      <c r="M19" s="6">
        <f>COUNTIFS(Hechos!$A$2:$A$201,$A19)</f>
        <v>6</v>
      </c>
      <c r="N19" s="6">
        <f>IF($B19="rag",SUMIFS(Hechos!$F$2:$F$201,Hechos!$A$2:$A$201,$A19),SUMIFS(Hechos!$G$2:$G$201,Hechos!$A$2:$A$201,$A19))</f>
        <v>2</v>
      </c>
      <c r="O19" s="6" t="str">
        <f t="shared" si="0"/>
        <v>2/6</v>
      </c>
      <c r="P19" s="6">
        <f>COUNTIFS(Afirmaciones!$A$2:$A$401,$A19,Afirmaciones!$B$2:$B$401,$B19,Afirmaciones!$E$2:$E$401,"hecho",Afirmaciones!$F$2:$F$401,"INCORRECTA")</f>
        <v>1</v>
      </c>
      <c r="Q19" s="6">
        <f>COUNTIFS(Afirmaciones!$A$2:$A$401,$A19,Afirmaciones!$B$2:$B$401,$B19,Afirmaciones!$E$2:$E$401,"abstencion",Afirmaciones!$F$2:$F$401,"INCORRECTA")</f>
        <v>0</v>
      </c>
      <c r="R19" s="6">
        <f>COUNTIFS(Afirmaciones!$A$2:$A$401,$A19,Afirmaciones!$B$2:$B$401,$B19,Afirmaciones!$E$2:$E$401,"hecho",Afirmaciones!$F$2:$F$401,"FUERA_REF",Afirmaciones!$H$2:$H$401,"no_resp")</f>
        <v>1</v>
      </c>
      <c r="S19" s="6">
        <f>COUNTIFS(Afirmaciones!$A$2:$A$401,$A19,Afirmaciones!$B$2:$B$401,$B19,Afirmaciones!$E$2:$E$401,"hecho",Afirmaciones!$F$2:$F$401,"FUERA_REF")</f>
        <v>2</v>
      </c>
      <c r="T19" s="6">
        <f>COUNTIFS(Afirmaciones!$A$2:$A$401,$A19,Afirmaciones!$B$2:$B$401,$B19,Afirmaciones!$E$2:$E$401,"hecho",Afirmaciones!$I$2:$I$401,"SIN-RESPALDO")</f>
        <v>0</v>
      </c>
      <c r="U19" s="6">
        <f>COUNTIFS(Afirmaciones!$A$2:$A$401,$A19,Afirmaciones!$B$2:$B$401,$B19,Afirmaciones!$E$2:$E$401,"hecho",Afirmaciones!$I$2:$I$401,"CITA-X")</f>
        <v>0</v>
      </c>
      <c r="V19" s="6">
        <f>COUNTIFS(Afirmaciones!$A$2:$A$401,$A19,Afirmaciones!$B$2:$B$401,$B19,Afirmaciones!$E$2:$E$401,"hecho",Afirmaciones!$I$2:$I$401,"SIN-CITA")</f>
        <v>0</v>
      </c>
      <c r="W19" s="6">
        <f>COUNTIFS(Afirmaciones!$A$2:$A$401,$A19,Afirmaciones!$B$2:$B$401,$B19,Afirmaciones!$E$2:$E$401,"hecho")</f>
        <v>6</v>
      </c>
      <c r="X19" s="6">
        <f>COUNTIFS(Afirmaciones!$A$2:$A$401,$A19,Afirmaciones!$B$2:$B$401,$B19,Afirmaciones!$E$2:$E$401,"hecho",Afirmaciones!$I$2:$I$401,"SOSTENIDA")</f>
        <v>0</v>
      </c>
      <c r="Y19" s="6">
        <f t="shared" si="1"/>
        <v>1</v>
      </c>
      <c r="Z19" s="6" t="str">
        <f t="shared" si="2"/>
        <v>N/A</v>
      </c>
      <c r="AA19" s="6" t="str">
        <f t="shared" si="3"/>
        <v>CRITICA</v>
      </c>
      <c r="AB19" s="6" t="str">
        <f t="shared" si="4"/>
        <v>E0 E2</v>
      </c>
      <c r="AC19" s="6" t="str">
        <f t="shared" si="5"/>
        <v>E0</v>
      </c>
      <c r="AD19" s="6" t="str">
        <f t="shared" si="6"/>
        <v>-</v>
      </c>
      <c r="AE19" s="6" t="str">
        <f>IF(OR($L19=0,$B19&lt;&gt;"rag",$M19=0),"-",SUMIFS(Hechos!$H$2:$H$201,Hechos!$A$2:$A$201,$A19)&amp;"/"&amp;$M19)</f>
        <v>-</v>
      </c>
      <c r="AF19" s="6">
        <f>IF($B19="rag",SUMPRODUCT((Hechos!$A$2:$A$201=$A19)*(Hechos!$F$2:$F$201=0)*((Hechos!$E$2:$E$201="NO")+(Hechos!$E$2:$E$201="ALT-P")+(Hechos!$E$2:$E$201=""))),0)</f>
        <v>0</v>
      </c>
      <c r="AG19" s="6">
        <f>IF($B19="rag",SUMPRODUCT((Hechos!$A$2:$A$201=$A19)*(Hechos!$F$2:$F$201=0)*((Hechos!$E$2:$E$201="SI")+(Hechos!$E$2:$E$201="ALT"))),$M19-$N19)</f>
        <v>4</v>
      </c>
      <c r="AH19" s="7"/>
      <c r="AI19" s="8" t="s">
        <v>138</v>
      </c>
    </row>
    <row r="20" spans="1:35" ht="150" customHeight="1" x14ac:dyDescent="0.25">
      <c r="A20" s="5" t="s">
        <v>139</v>
      </c>
      <c r="B20" s="5" t="s">
        <v>66</v>
      </c>
      <c r="C20" s="5" t="s">
        <v>67</v>
      </c>
      <c r="D20" s="5" t="s">
        <v>140</v>
      </c>
      <c r="E20" s="5" t="s">
        <v>141</v>
      </c>
      <c r="F20" s="5" t="s">
        <v>142</v>
      </c>
      <c r="G20" s="5" t="s">
        <v>143</v>
      </c>
      <c r="H20" s="5" t="s">
        <v>144</v>
      </c>
      <c r="I20" s="6" t="s">
        <v>72</v>
      </c>
      <c r="J20" s="6" t="s">
        <v>145</v>
      </c>
      <c r="K20" s="6" t="s">
        <v>146</v>
      </c>
      <c r="L20" s="6">
        <f>COUNTIFS(Afirmaciones!$A$2:$A$401,$A20,Afirmaciones!$B$2:$B$401,$B20)</f>
        <v>0</v>
      </c>
      <c r="M20" s="6">
        <f>COUNTIFS(Hechos!$A$2:$A$201,$A20)</f>
        <v>0</v>
      </c>
      <c r="N20" s="6">
        <f>IF($B20="rag",SUMIFS(Hechos!$F$2:$F$201,Hechos!$A$2:$A$201,$A20),SUMIFS(Hechos!$G$2:$G$201,Hechos!$A$2:$A$201,$A20))</f>
        <v>0</v>
      </c>
      <c r="O20" s="6" t="str">
        <f t="shared" si="0"/>
        <v>-</v>
      </c>
      <c r="P20" s="6">
        <f>COUNTIFS(Afirmaciones!$A$2:$A$401,$A20,Afirmaciones!$B$2:$B$401,$B20,Afirmaciones!$E$2:$E$401,"hecho",Afirmaciones!$F$2:$F$401,"INCORRECTA")</f>
        <v>0</v>
      </c>
      <c r="Q20" s="6">
        <f>COUNTIFS(Afirmaciones!$A$2:$A$401,$A20,Afirmaciones!$B$2:$B$401,$B20,Afirmaciones!$E$2:$E$401,"abstencion",Afirmaciones!$F$2:$F$401,"INCORRECTA")</f>
        <v>0</v>
      </c>
      <c r="R20" s="6">
        <f>COUNTIFS(Afirmaciones!$A$2:$A$401,$A20,Afirmaciones!$B$2:$B$401,$B20,Afirmaciones!$E$2:$E$401,"hecho",Afirmaciones!$F$2:$F$401,"FUERA_REF",Afirmaciones!$H$2:$H$401,"no_resp")</f>
        <v>0</v>
      </c>
      <c r="S20" s="6">
        <f>COUNTIFS(Afirmaciones!$A$2:$A$401,$A20,Afirmaciones!$B$2:$B$401,$B20,Afirmaciones!$E$2:$E$401,"hecho",Afirmaciones!$F$2:$F$401,"FUERA_REF")</f>
        <v>0</v>
      </c>
      <c r="T20" s="6">
        <f>COUNTIFS(Afirmaciones!$A$2:$A$401,$A20,Afirmaciones!$B$2:$B$401,$B20,Afirmaciones!$E$2:$E$401,"hecho",Afirmaciones!$I$2:$I$401,"SIN-RESPALDO")</f>
        <v>0</v>
      </c>
      <c r="U20" s="6">
        <f>COUNTIFS(Afirmaciones!$A$2:$A$401,$A20,Afirmaciones!$B$2:$B$401,$B20,Afirmaciones!$E$2:$E$401,"hecho",Afirmaciones!$I$2:$I$401,"CITA-X")</f>
        <v>0</v>
      </c>
      <c r="V20" s="6">
        <f>COUNTIFS(Afirmaciones!$A$2:$A$401,$A20,Afirmaciones!$B$2:$B$401,$B20,Afirmaciones!$E$2:$E$401,"hecho",Afirmaciones!$I$2:$I$401,"SIN-CITA")</f>
        <v>0</v>
      </c>
      <c r="W20" s="6">
        <f>COUNTIFS(Afirmaciones!$A$2:$A$401,$A20,Afirmaciones!$B$2:$B$401,$B20,Afirmaciones!$E$2:$E$401,"hecho")</f>
        <v>0</v>
      </c>
      <c r="X20" s="6">
        <f>COUNTIFS(Afirmaciones!$A$2:$A$401,$A20,Afirmaciones!$B$2:$B$401,$B20,Afirmaciones!$E$2:$E$401,"hecho",Afirmaciones!$I$2:$I$401,"SOSTENIDA")</f>
        <v>0</v>
      </c>
      <c r="Y20" s="6" t="str">
        <f t="shared" si="1"/>
        <v/>
      </c>
      <c r="Z20" s="6" t="str">
        <f t="shared" si="2"/>
        <v/>
      </c>
      <c r="AA20" s="6" t="str">
        <f t="shared" si="3"/>
        <v/>
      </c>
      <c r="AB20" s="6" t="str">
        <f t="shared" si="4"/>
        <v/>
      </c>
      <c r="AC20" s="6" t="str">
        <f t="shared" si="5"/>
        <v/>
      </c>
      <c r="AD20" s="6" t="str">
        <f t="shared" si="6"/>
        <v>-</v>
      </c>
      <c r="AE20" s="6" t="str">
        <f>IF(OR($L20=0,$B20&lt;&gt;"rag",$M20=0),"-",SUMIFS(Hechos!$H$2:$H$201,Hechos!$A$2:$A$201,$A20)&amp;"/"&amp;$M20)</f>
        <v>-</v>
      </c>
      <c r="AF20" s="6">
        <f>IF($B20="rag",SUMPRODUCT((Hechos!$A$2:$A$201=$A20)*(Hechos!$F$2:$F$201=0)*((Hechos!$E$2:$E$201="NO")+(Hechos!$E$2:$E$201="ALT-P")+(Hechos!$E$2:$E$201=""))),0)</f>
        <v>0</v>
      </c>
      <c r="AG20" s="6">
        <f>IF($B20="rag",SUMPRODUCT((Hechos!$A$2:$A$201=$A20)*(Hechos!$F$2:$F$201=0)*((Hechos!$E$2:$E$201="SI")+(Hechos!$E$2:$E$201="ALT"))),$M20-$N20)</f>
        <v>0</v>
      </c>
      <c r="AH20" s="7"/>
    </row>
    <row r="21" spans="1:35" ht="150" customHeight="1" x14ac:dyDescent="0.25">
      <c r="A21" s="5" t="s">
        <v>139</v>
      </c>
      <c r="B21" s="5" t="s">
        <v>76</v>
      </c>
      <c r="C21" s="5" t="s">
        <v>67</v>
      </c>
      <c r="D21" s="5" t="s">
        <v>140</v>
      </c>
      <c r="E21" s="5" t="s">
        <v>141</v>
      </c>
      <c r="F21" s="5" t="s">
        <v>142</v>
      </c>
      <c r="G21" s="5" t="s">
        <v>143</v>
      </c>
      <c r="H21" s="5" t="s">
        <v>147</v>
      </c>
      <c r="I21" s="6" t="s">
        <v>72</v>
      </c>
      <c r="J21" s="6"/>
      <c r="K21" s="6"/>
      <c r="L21" s="6">
        <f>COUNTIFS(Afirmaciones!$A$2:$A$401,$A21,Afirmaciones!$B$2:$B$401,$B21)</f>
        <v>0</v>
      </c>
      <c r="M21" s="6">
        <f>COUNTIFS(Hechos!$A$2:$A$201,$A21)</f>
        <v>0</v>
      </c>
      <c r="N21" s="6">
        <f>IF($B21="rag",SUMIFS(Hechos!$F$2:$F$201,Hechos!$A$2:$A$201,$A21),SUMIFS(Hechos!$G$2:$G$201,Hechos!$A$2:$A$201,$A21))</f>
        <v>0</v>
      </c>
      <c r="O21" s="6" t="str">
        <f t="shared" si="0"/>
        <v>-</v>
      </c>
      <c r="P21" s="6">
        <f>COUNTIFS(Afirmaciones!$A$2:$A$401,$A21,Afirmaciones!$B$2:$B$401,$B21,Afirmaciones!$E$2:$E$401,"hecho",Afirmaciones!$F$2:$F$401,"INCORRECTA")</f>
        <v>0</v>
      </c>
      <c r="Q21" s="6">
        <f>COUNTIFS(Afirmaciones!$A$2:$A$401,$A21,Afirmaciones!$B$2:$B$401,$B21,Afirmaciones!$E$2:$E$401,"abstencion",Afirmaciones!$F$2:$F$401,"INCORRECTA")</f>
        <v>0</v>
      </c>
      <c r="R21" s="6">
        <f>COUNTIFS(Afirmaciones!$A$2:$A$401,$A21,Afirmaciones!$B$2:$B$401,$B21,Afirmaciones!$E$2:$E$401,"hecho",Afirmaciones!$F$2:$F$401,"FUERA_REF",Afirmaciones!$H$2:$H$401,"no_resp")</f>
        <v>0</v>
      </c>
      <c r="S21" s="6">
        <f>COUNTIFS(Afirmaciones!$A$2:$A$401,$A21,Afirmaciones!$B$2:$B$401,$B21,Afirmaciones!$E$2:$E$401,"hecho",Afirmaciones!$F$2:$F$401,"FUERA_REF")</f>
        <v>0</v>
      </c>
      <c r="T21" s="6">
        <f>COUNTIFS(Afirmaciones!$A$2:$A$401,$A21,Afirmaciones!$B$2:$B$401,$B21,Afirmaciones!$E$2:$E$401,"hecho",Afirmaciones!$I$2:$I$401,"SIN-RESPALDO")</f>
        <v>0</v>
      </c>
      <c r="U21" s="6">
        <f>COUNTIFS(Afirmaciones!$A$2:$A$401,$A21,Afirmaciones!$B$2:$B$401,$B21,Afirmaciones!$E$2:$E$401,"hecho",Afirmaciones!$I$2:$I$401,"CITA-X")</f>
        <v>0</v>
      </c>
      <c r="V21" s="6">
        <f>COUNTIFS(Afirmaciones!$A$2:$A$401,$A21,Afirmaciones!$B$2:$B$401,$B21,Afirmaciones!$E$2:$E$401,"hecho",Afirmaciones!$I$2:$I$401,"SIN-CITA")</f>
        <v>0</v>
      </c>
      <c r="W21" s="6">
        <f>COUNTIFS(Afirmaciones!$A$2:$A$401,$A21,Afirmaciones!$B$2:$B$401,$B21,Afirmaciones!$E$2:$E$401,"hecho")</f>
        <v>0</v>
      </c>
      <c r="X21" s="6">
        <f>COUNTIFS(Afirmaciones!$A$2:$A$401,$A21,Afirmaciones!$B$2:$B$401,$B21,Afirmaciones!$E$2:$E$401,"hecho",Afirmaciones!$I$2:$I$401,"SOSTENIDA")</f>
        <v>0</v>
      </c>
      <c r="Y21" s="6" t="str">
        <f t="shared" si="1"/>
        <v/>
      </c>
      <c r="Z21" s="6" t="str">
        <f t="shared" si="2"/>
        <v/>
      </c>
      <c r="AA21" s="6" t="str">
        <f t="shared" si="3"/>
        <v/>
      </c>
      <c r="AB21" s="6" t="str">
        <f t="shared" si="4"/>
        <v/>
      </c>
      <c r="AC21" s="6" t="str">
        <f t="shared" si="5"/>
        <v/>
      </c>
      <c r="AD21" s="6" t="str">
        <f t="shared" si="6"/>
        <v>-</v>
      </c>
      <c r="AE21" s="6" t="str">
        <f>IF(OR($L21=0,$B21&lt;&gt;"rag",$M21=0),"-",SUMIFS(Hechos!$H$2:$H$201,Hechos!$A$2:$A$201,$A21)&amp;"/"&amp;$M21)</f>
        <v>-</v>
      </c>
      <c r="AF21" s="6">
        <f>IF($B21="rag",SUMPRODUCT((Hechos!$A$2:$A$201=$A21)*(Hechos!$F$2:$F$201=0)*((Hechos!$E$2:$E$201="NO")+(Hechos!$E$2:$E$201="ALT-P")+(Hechos!$E$2:$E$201=""))),0)</f>
        <v>0</v>
      </c>
      <c r="AG21" s="6">
        <f>IF($B21="rag",SUMPRODUCT((Hechos!$A$2:$A$201=$A21)*(Hechos!$F$2:$F$201=0)*((Hechos!$E$2:$E$201="SI")+(Hechos!$E$2:$E$201="ALT"))),$M21-$N21)</f>
        <v>0</v>
      </c>
      <c r="AH21" s="7"/>
    </row>
    <row r="22" spans="1:35" ht="150" customHeight="1" x14ac:dyDescent="0.25">
      <c r="A22" s="5" t="s">
        <v>148</v>
      </c>
      <c r="B22" s="5" t="s">
        <v>66</v>
      </c>
      <c r="C22" s="5" t="s">
        <v>81</v>
      </c>
      <c r="D22" s="5" t="s">
        <v>140</v>
      </c>
      <c r="E22" s="5" t="s">
        <v>149</v>
      </c>
      <c r="F22" s="5" t="s">
        <v>150</v>
      </c>
      <c r="G22" s="5" t="s">
        <v>151</v>
      </c>
      <c r="H22" s="5" t="s">
        <v>152</v>
      </c>
      <c r="I22" s="6" t="s">
        <v>72</v>
      </c>
      <c r="J22" s="6" t="s">
        <v>145</v>
      </c>
      <c r="K22" s="6" t="s">
        <v>146</v>
      </c>
      <c r="L22" s="6">
        <f>COUNTIFS(Afirmaciones!$A$2:$A$401,$A22,Afirmaciones!$B$2:$B$401,$B22)</f>
        <v>0</v>
      </c>
      <c r="M22" s="6">
        <f>COUNTIFS(Hechos!$A$2:$A$201,$A22)</f>
        <v>0</v>
      </c>
      <c r="N22" s="6">
        <f>IF($B22="rag",SUMIFS(Hechos!$F$2:$F$201,Hechos!$A$2:$A$201,$A22),SUMIFS(Hechos!$G$2:$G$201,Hechos!$A$2:$A$201,$A22))</f>
        <v>0</v>
      </c>
      <c r="O22" s="6" t="str">
        <f t="shared" si="0"/>
        <v>-</v>
      </c>
      <c r="P22" s="6">
        <f>COUNTIFS(Afirmaciones!$A$2:$A$401,$A22,Afirmaciones!$B$2:$B$401,$B22,Afirmaciones!$E$2:$E$401,"hecho",Afirmaciones!$F$2:$F$401,"INCORRECTA")</f>
        <v>0</v>
      </c>
      <c r="Q22" s="6">
        <f>COUNTIFS(Afirmaciones!$A$2:$A$401,$A22,Afirmaciones!$B$2:$B$401,$B22,Afirmaciones!$E$2:$E$401,"abstencion",Afirmaciones!$F$2:$F$401,"INCORRECTA")</f>
        <v>0</v>
      </c>
      <c r="R22" s="6">
        <f>COUNTIFS(Afirmaciones!$A$2:$A$401,$A22,Afirmaciones!$B$2:$B$401,$B22,Afirmaciones!$E$2:$E$401,"hecho",Afirmaciones!$F$2:$F$401,"FUERA_REF",Afirmaciones!$H$2:$H$401,"no_resp")</f>
        <v>0</v>
      </c>
      <c r="S22" s="6">
        <f>COUNTIFS(Afirmaciones!$A$2:$A$401,$A22,Afirmaciones!$B$2:$B$401,$B22,Afirmaciones!$E$2:$E$401,"hecho",Afirmaciones!$F$2:$F$401,"FUERA_REF")</f>
        <v>0</v>
      </c>
      <c r="T22" s="6">
        <f>COUNTIFS(Afirmaciones!$A$2:$A$401,$A22,Afirmaciones!$B$2:$B$401,$B22,Afirmaciones!$E$2:$E$401,"hecho",Afirmaciones!$I$2:$I$401,"SIN-RESPALDO")</f>
        <v>0</v>
      </c>
      <c r="U22" s="6">
        <f>COUNTIFS(Afirmaciones!$A$2:$A$401,$A22,Afirmaciones!$B$2:$B$401,$B22,Afirmaciones!$E$2:$E$401,"hecho",Afirmaciones!$I$2:$I$401,"CITA-X")</f>
        <v>0</v>
      </c>
      <c r="V22" s="6">
        <f>COUNTIFS(Afirmaciones!$A$2:$A$401,$A22,Afirmaciones!$B$2:$B$401,$B22,Afirmaciones!$E$2:$E$401,"hecho",Afirmaciones!$I$2:$I$401,"SIN-CITA")</f>
        <v>0</v>
      </c>
      <c r="W22" s="6">
        <f>COUNTIFS(Afirmaciones!$A$2:$A$401,$A22,Afirmaciones!$B$2:$B$401,$B22,Afirmaciones!$E$2:$E$401,"hecho")</f>
        <v>0</v>
      </c>
      <c r="X22" s="6">
        <f>COUNTIFS(Afirmaciones!$A$2:$A$401,$A22,Afirmaciones!$B$2:$B$401,$B22,Afirmaciones!$E$2:$E$401,"hecho",Afirmaciones!$I$2:$I$401,"SOSTENIDA")</f>
        <v>0</v>
      </c>
      <c r="Y22" s="6" t="str">
        <f t="shared" si="1"/>
        <v/>
      </c>
      <c r="Z22" s="6" t="str">
        <f t="shared" si="2"/>
        <v/>
      </c>
      <c r="AA22" s="6" t="str">
        <f t="shared" si="3"/>
        <v/>
      </c>
      <c r="AB22" s="6" t="str">
        <f t="shared" si="4"/>
        <v/>
      </c>
      <c r="AC22" s="6" t="str">
        <f t="shared" si="5"/>
        <v/>
      </c>
      <c r="AD22" s="6" t="str">
        <f t="shared" si="6"/>
        <v>-</v>
      </c>
      <c r="AE22" s="6" t="str">
        <f>IF(OR($L22=0,$B22&lt;&gt;"rag",$M22=0),"-",SUMIFS(Hechos!$H$2:$H$201,Hechos!$A$2:$A$201,$A22)&amp;"/"&amp;$M22)</f>
        <v>-</v>
      </c>
      <c r="AF22" s="6">
        <f>IF($B22="rag",SUMPRODUCT((Hechos!$A$2:$A$201=$A22)*(Hechos!$F$2:$F$201=0)*((Hechos!$E$2:$E$201="NO")+(Hechos!$E$2:$E$201="ALT-P")+(Hechos!$E$2:$E$201=""))),0)</f>
        <v>0</v>
      </c>
      <c r="AG22" s="6">
        <f>IF($B22="rag",SUMPRODUCT((Hechos!$A$2:$A$201=$A22)*(Hechos!$F$2:$F$201=0)*((Hechos!$E$2:$E$201="SI")+(Hechos!$E$2:$E$201="ALT"))),$M22-$N22)</f>
        <v>0</v>
      </c>
      <c r="AH22" s="7"/>
    </row>
    <row r="23" spans="1:35" ht="150" customHeight="1" x14ac:dyDescent="0.25">
      <c r="A23" s="5" t="s">
        <v>148</v>
      </c>
      <c r="B23" s="5" t="s">
        <v>76</v>
      </c>
      <c r="C23" s="5" t="s">
        <v>81</v>
      </c>
      <c r="D23" s="5" t="s">
        <v>140</v>
      </c>
      <c r="E23" s="5" t="s">
        <v>149</v>
      </c>
      <c r="F23" s="5" t="s">
        <v>150</v>
      </c>
      <c r="G23" s="5" t="s">
        <v>151</v>
      </c>
      <c r="H23" s="5" t="s">
        <v>153</v>
      </c>
      <c r="I23" s="6" t="s">
        <v>72</v>
      </c>
      <c r="J23" s="6"/>
      <c r="K23" s="6"/>
      <c r="L23" s="6">
        <f>COUNTIFS(Afirmaciones!$A$2:$A$401,$A23,Afirmaciones!$B$2:$B$401,$B23)</f>
        <v>0</v>
      </c>
      <c r="M23" s="6">
        <f>COUNTIFS(Hechos!$A$2:$A$201,$A23)</f>
        <v>0</v>
      </c>
      <c r="N23" s="6">
        <f>IF($B23="rag",SUMIFS(Hechos!$F$2:$F$201,Hechos!$A$2:$A$201,$A23),SUMIFS(Hechos!$G$2:$G$201,Hechos!$A$2:$A$201,$A23))</f>
        <v>0</v>
      </c>
      <c r="O23" s="6" t="str">
        <f t="shared" si="0"/>
        <v>-</v>
      </c>
      <c r="P23" s="6">
        <f>COUNTIFS(Afirmaciones!$A$2:$A$401,$A23,Afirmaciones!$B$2:$B$401,$B23,Afirmaciones!$E$2:$E$401,"hecho",Afirmaciones!$F$2:$F$401,"INCORRECTA")</f>
        <v>0</v>
      </c>
      <c r="Q23" s="6">
        <f>COUNTIFS(Afirmaciones!$A$2:$A$401,$A23,Afirmaciones!$B$2:$B$401,$B23,Afirmaciones!$E$2:$E$401,"abstencion",Afirmaciones!$F$2:$F$401,"INCORRECTA")</f>
        <v>0</v>
      </c>
      <c r="R23" s="6">
        <f>COUNTIFS(Afirmaciones!$A$2:$A$401,$A23,Afirmaciones!$B$2:$B$401,$B23,Afirmaciones!$E$2:$E$401,"hecho",Afirmaciones!$F$2:$F$401,"FUERA_REF",Afirmaciones!$H$2:$H$401,"no_resp")</f>
        <v>0</v>
      </c>
      <c r="S23" s="6">
        <f>COUNTIFS(Afirmaciones!$A$2:$A$401,$A23,Afirmaciones!$B$2:$B$401,$B23,Afirmaciones!$E$2:$E$401,"hecho",Afirmaciones!$F$2:$F$401,"FUERA_REF")</f>
        <v>0</v>
      </c>
      <c r="T23" s="6">
        <f>COUNTIFS(Afirmaciones!$A$2:$A$401,$A23,Afirmaciones!$B$2:$B$401,$B23,Afirmaciones!$E$2:$E$401,"hecho",Afirmaciones!$I$2:$I$401,"SIN-RESPALDO")</f>
        <v>0</v>
      </c>
      <c r="U23" s="6">
        <f>COUNTIFS(Afirmaciones!$A$2:$A$401,$A23,Afirmaciones!$B$2:$B$401,$B23,Afirmaciones!$E$2:$E$401,"hecho",Afirmaciones!$I$2:$I$401,"CITA-X")</f>
        <v>0</v>
      </c>
      <c r="V23" s="6">
        <f>COUNTIFS(Afirmaciones!$A$2:$A$401,$A23,Afirmaciones!$B$2:$B$401,$B23,Afirmaciones!$E$2:$E$401,"hecho",Afirmaciones!$I$2:$I$401,"SIN-CITA")</f>
        <v>0</v>
      </c>
      <c r="W23" s="6">
        <f>COUNTIFS(Afirmaciones!$A$2:$A$401,$A23,Afirmaciones!$B$2:$B$401,$B23,Afirmaciones!$E$2:$E$401,"hecho")</f>
        <v>0</v>
      </c>
      <c r="X23" s="6">
        <f>COUNTIFS(Afirmaciones!$A$2:$A$401,$A23,Afirmaciones!$B$2:$B$401,$B23,Afirmaciones!$E$2:$E$401,"hecho",Afirmaciones!$I$2:$I$401,"SOSTENIDA")</f>
        <v>0</v>
      </c>
      <c r="Y23" s="6" t="str">
        <f t="shared" si="1"/>
        <v/>
      </c>
      <c r="Z23" s="6" t="str">
        <f t="shared" si="2"/>
        <v/>
      </c>
      <c r="AA23" s="6" t="str">
        <f t="shared" si="3"/>
        <v/>
      </c>
      <c r="AB23" s="6" t="str">
        <f t="shared" si="4"/>
        <v/>
      </c>
      <c r="AC23" s="6" t="str">
        <f t="shared" si="5"/>
        <v/>
      </c>
      <c r="AD23" s="6" t="str">
        <f t="shared" si="6"/>
        <v>-</v>
      </c>
      <c r="AE23" s="6" t="str">
        <f>IF(OR($L23=0,$B23&lt;&gt;"rag",$M23=0),"-",SUMIFS(Hechos!$H$2:$H$201,Hechos!$A$2:$A$201,$A23)&amp;"/"&amp;$M23)</f>
        <v>-</v>
      </c>
      <c r="AF23" s="6">
        <f>IF($B23="rag",SUMPRODUCT((Hechos!$A$2:$A$201=$A23)*(Hechos!$F$2:$F$201=0)*((Hechos!$E$2:$E$201="NO")+(Hechos!$E$2:$E$201="ALT-P")+(Hechos!$E$2:$E$201=""))),0)</f>
        <v>0</v>
      </c>
      <c r="AG23" s="6">
        <f>IF($B23="rag",SUMPRODUCT((Hechos!$A$2:$A$201=$A23)*(Hechos!$F$2:$F$201=0)*((Hechos!$E$2:$E$201="SI")+(Hechos!$E$2:$E$201="ALT"))),$M23-$N23)</f>
        <v>0</v>
      </c>
      <c r="AH23" s="7"/>
    </row>
    <row r="24" spans="1:35" ht="150" customHeight="1" x14ac:dyDescent="0.25">
      <c r="A24" s="5" t="s">
        <v>154</v>
      </c>
      <c r="B24" s="5" t="s">
        <v>66</v>
      </c>
      <c r="C24" s="5" t="s">
        <v>67</v>
      </c>
      <c r="D24" s="5" t="s">
        <v>140</v>
      </c>
      <c r="E24" s="5" t="s">
        <v>155</v>
      </c>
      <c r="F24" s="5" t="s">
        <v>156</v>
      </c>
      <c r="G24" s="5" t="s">
        <v>143</v>
      </c>
      <c r="H24" s="5" t="s">
        <v>157</v>
      </c>
      <c r="I24" s="6" t="s">
        <v>72</v>
      </c>
      <c r="J24" s="6" t="s">
        <v>145</v>
      </c>
      <c r="K24" s="6" t="s">
        <v>146</v>
      </c>
      <c r="L24" s="6">
        <f>COUNTIFS(Afirmaciones!$A$2:$A$401,$A24,Afirmaciones!$B$2:$B$401,$B24)</f>
        <v>0</v>
      </c>
      <c r="M24" s="6">
        <f>COUNTIFS(Hechos!$A$2:$A$201,$A24)</f>
        <v>0</v>
      </c>
      <c r="N24" s="6">
        <f>IF($B24="rag",SUMIFS(Hechos!$F$2:$F$201,Hechos!$A$2:$A$201,$A24),SUMIFS(Hechos!$G$2:$G$201,Hechos!$A$2:$A$201,$A24))</f>
        <v>0</v>
      </c>
      <c r="O24" s="6" t="str">
        <f t="shared" si="0"/>
        <v>-</v>
      </c>
      <c r="P24" s="6">
        <f>COUNTIFS(Afirmaciones!$A$2:$A$401,$A24,Afirmaciones!$B$2:$B$401,$B24,Afirmaciones!$E$2:$E$401,"hecho",Afirmaciones!$F$2:$F$401,"INCORRECTA")</f>
        <v>0</v>
      </c>
      <c r="Q24" s="6">
        <f>COUNTIFS(Afirmaciones!$A$2:$A$401,$A24,Afirmaciones!$B$2:$B$401,$B24,Afirmaciones!$E$2:$E$401,"abstencion",Afirmaciones!$F$2:$F$401,"INCORRECTA")</f>
        <v>0</v>
      </c>
      <c r="R24" s="6">
        <f>COUNTIFS(Afirmaciones!$A$2:$A$401,$A24,Afirmaciones!$B$2:$B$401,$B24,Afirmaciones!$E$2:$E$401,"hecho",Afirmaciones!$F$2:$F$401,"FUERA_REF",Afirmaciones!$H$2:$H$401,"no_resp")</f>
        <v>0</v>
      </c>
      <c r="S24" s="6">
        <f>COUNTIFS(Afirmaciones!$A$2:$A$401,$A24,Afirmaciones!$B$2:$B$401,$B24,Afirmaciones!$E$2:$E$401,"hecho",Afirmaciones!$F$2:$F$401,"FUERA_REF")</f>
        <v>0</v>
      </c>
      <c r="T24" s="6">
        <f>COUNTIFS(Afirmaciones!$A$2:$A$401,$A24,Afirmaciones!$B$2:$B$401,$B24,Afirmaciones!$E$2:$E$401,"hecho",Afirmaciones!$I$2:$I$401,"SIN-RESPALDO")</f>
        <v>0</v>
      </c>
      <c r="U24" s="6">
        <f>COUNTIFS(Afirmaciones!$A$2:$A$401,$A24,Afirmaciones!$B$2:$B$401,$B24,Afirmaciones!$E$2:$E$401,"hecho",Afirmaciones!$I$2:$I$401,"CITA-X")</f>
        <v>0</v>
      </c>
      <c r="V24" s="6">
        <f>COUNTIFS(Afirmaciones!$A$2:$A$401,$A24,Afirmaciones!$B$2:$B$401,$B24,Afirmaciones!$E$2:$E$401,"hecho",Afirmaciones!$I$2:$I$401,"SIN-CITA")</f>
        <v>0</v>
      </c>
      <c r="W24" s="6">
        <f>COUNTIFS(Afirmaciones!$A$2:$A$401,$A24,Afirmaciones!$B$2:$B$401,$B24,Afirmaciones!$E$2:$E$401,"hecho")</f>
        <v>0</v>
      </c>
      <c r="X24" s="6">
        <f>COUNTIFS(Afirmaciones!$A$2:$A$401,$A24,Afirmaciones!$B$2:$B$401,$B24,Afirmaciones!$E$2:$E$401,"hecho",Afirmaciones!$I$2:$I$401,"SOSTENIDA")</f>
        <v>0</v>
      </c>
      <c r="Y24" s="6" t="str">
        <f t="shared" si="1"/>
        <v/>
      </c>
      <c r="Z24" s="6" t="str">
        <f t="shared" si="2"/>
        <v/>
      </c>
      <c r="AA24" s="6" t="str">
        <f t="shared" si="3"/>
        <v/>
      </c>
      <c r="AB24" s="6" t="str">
        <f t="shared" si="4"/>
        <v/>
      </c>
      <c r="AC24" s="6" t="str">
        <f t="shared" si="5"/>
        <v/>
      </c>
      <c r="AD24" s="6" t="str">
        <f t="shared" si="6"/>
        <v>-</v>
      </c>
      <c r="AE24" s="6" t="str">
        <f>IF(OR($L24=0,$B24&lt;&gt;"rag",$M24=0),"-",SUMIFS(Hechos!$H$2:$H$201,Hechos!$A$2:$A$201,$A24)&amp;"/"&amp;$M24)</f>
        <v>-</v>
      </c>
      <c r="AF24" s="6">
        <f>IF($B24="rag",SUMPRODUCT((Hechos!$A$2:$A$201=$A24)*(Hechos!$F$2:$F$201=0)*((Hechos!$E$2:$E$201="NO")+(Hechos!$E$2:$E$201="ALT-P")+(Hechos!$E$2:$E$201=""))),0)</f>
        <v>0</v>
      </c>
      <c r="AG24" s="6">
        <f>IF($B24="rag",SUMPRODUCT((Hechos!$A$2:$A$201=$A24)*(Hechos!$F$2:$F$201=0)*((Hechos!$E$2:$E$201="SI")+(Hechos!$E$2:$E$201="ALT"))),$M24-$N24)</f>
        <v>0</v>
      </c>
      <c r="AH24" s="7"/>
    </row>
    <row r="25" spans="1:35" ht="150" customHeight="1" x14ac:dyDescent="0.25">
      <c r="A25" s="5" t="s">
        <v>154</v>
      </c>
      <c r="B25" s="5" t="s">
        <v>76</v>
      </c>
      <c r="C25" s="5" t="s">
        <v>67</v>
      </c>
      <c r="D25" s="5" t="s">
        <v>140</v>
      </c>
      <c r="E25" s="5" t="s">
        <v>155</v>
      </c>
      <c r="F25" s="5" t="s">
        <v>156</v>
      </c>
      <c r="G25" s="5" t="s">
        <v>143</v>
      </c>
      <c r="H25" s="5" t="s">
        <v>158</v>
      </c>
      <c r="I25" s="6" t="s">
        <v>72</v>
      </c>
      <c r="J25" s="6"/>
      <c r="K25" s="6"/>
      <c r="L25" s="6">
        <f>COUNTIFS(Afirmaciones!$A$2:$A$401,$A25,Afirmaciones!$B$2:$B$401,$B25)</f>
        <v>0</v>
      </c>
      <c r="M25" s="6">
        <f>COUNTIFS(Hechos!$A$2:$A$201,$A25)</f>
        <v>0</v>
      </c>
      <c r="N25" s="6">
        <f>IF($B25="rag",SUMIFS(Hechos!$F$2:$F$201,Hechos!$A$2:$A$201,$A25),SUMIFS(Hechos!$G$2:$G$201,Hechos!$A$2:$A$201,$A25))</f>
        <v>0</v>
      </c>
      <c r="O25" s="6" t="str">
        <f t="shared" si="0"/>
        <v>-</v>
      </c>
      <c r="P25" s="6">
        <f>COUNTIFS(Afirmaciones!$A$2:$A$401,$A25,Afirmaciones!$B$2:$B$401,$B25,Afirmaciones!$E$2:$E$401,"hecho",Afirmaciones!$F$2:$F$401,"INCORRECTA")</f>
        <v>0</v>
      </c>
      <c r="Q25" s="6">
        <f>COUNTIFS(Afirmaciones!$A$2:$A$401,$A25,Afirmaciones!$B$2:$B$401,$B25,Afirmaciones!$E$2:$E$401,"abstencion",Afirmaciones!$F$2:$F$401,"INCORRECTA")</f>
        <v>0</v>
      </c>
      <c r="R25" s="6">
        <f>COUNTIFS(Afirmaciones!$A$2:$A$401,$A25,Afirmaciones!$B$2:$B$401,$B25,Afirmaciones!$E$2:$E$401,"hecho",Afirmaciones!$F$2:$F$401,"FUERA_REF",Afirmaciones!$H$2:$H$401,"no_resp")</f>
        <v>0</v>
      </c>
      <c r="S25" s="6">
        <f>COUNTIFS(Afirmaciones!$A$2:$A$401,$A25,Afirmaciones!$B$2:$B$401,$B25,Afirmaciones!$E$2:$E$401,"hecho",Afirmaciones!$F$2:$F$401,"FUERA_REF")</f>
        <v>0</v>
      </c>
      <c r="T25" s="6">
        <f>COUNTIFS(Afirmaciones!$A$2:$A$401,$A25,Afirmaciones!$B$2:$B$401,$B25,Afirmaciones!$E$2:$E$401,"hecho",Afirmaciones!$I$2:$I$401,"SIN-RESPALDO")</f>
        <v>0</v>
      </c>
      <c r="U25" s="6">
        <f>COUNTIFS(Afirmaciones!$A$2:$A$401,$A25,Afirmaciones!$B$2:$B$401,$B25,Afirmaciones!$E$2:$E$401,"hecho",Afirmaciones!$I$2:$I$401,"CITA-X")</f>
        <v>0</v>
      </c>
      <c r="V25" s="6">
        <f>COUNTIFS(Afirmaciones!$A$2:$A$401,$A25,Afirmaciones!$B$2:$B$401,$B25,Afirmaciones!$E$2:$E$401,"hecho",Afirmaciones!$I$2:$I$401,"SIN-CITA")</f>
        <v>0</v>
      </c>
      <c r="W25" s="6">
        <f>COUNTIFS(Afirmaciones!$A$2:$A$401,$A25,Afirmaciones!$B$2:$B$401,$B25,Afirmaciones!$E$2:$E$401,"hecho")</f>
        <v>0</v>
      </c>
      <c r="X25" s="6">
        <f>COUNTIFS(Afirmaciones!$A$2:$A$401,$A25,Afirmaciones!$B$2:$B$401,$B25,Afirmaciones!$E$2:$E$401,"hecho",Afirmaciones!$I$2:$I$401,"SOSTENIDA")</f>
        <v>0</v>
      </c>
      <c r="Y25" s="6" t="str">
        <f t="shared" si="1"/>
        <v/>
      </c>
      <c r="Z25" s="6" t="str">
        <f t="shared" si="2"/>
        <v/>
      </c>
      <c r="AA25" s="6" t="str">
        <f t="shared" si="3"/>
        <v/>
      </c>
      <c r="AB25" s="6" t="str">
        <f t="shared" si="4"/>
        <v/>
      </c>
      <c r="AC25" s="6" t="str">
        <f t="shared" si="5"/>
        <v/>
      </c>
      <c r="AD25" s="6" t="str">
        <f t="shared" si="6"/>
        <v>-</v>
      </c>
      <c r="AE25" s="6" t="str">
        <f>IF(OR($L25=0,$B25&lt;&gt;"rag",$M25=0),"-",SUMIFS(Hechos!$H$2:$H$201,Hechos!$A$2:$A$201,$A25)&amp;"/"&amp;$M25)</f>
        <v>-</v>
      </c>
      <c r="AF25" s="6">
        <f>IF($B25="rag",SUMPRODUCT((Hechos!$A$2:$A$201=$A25)*(Hechos!$F$2:$F$201=0)*((Hechos!$E$2:$E$201="NO")+(Hechos!$E$2:$E$201="ALT-P")+(Hechos!$E$2:$E$201=""))),0)</f>
        <v>0</v>
      </c>
      <c r="AG25" s="6">
        <f>IF($B25="rag",SUMPRODUCT((Hechos!$A$2:$A$201=$A25)*(Hechos!$F$2:$F$201=0)*((Hechos!$E$2:$E$201="SI")+(Hechos!$E$2:$E$201="ALT"))),$M25-$N25)</f>
        <v>0</v>
      </c>
      <c r="AH25" s="7"/>
    </row>
    <row r="26" spans="1:35" ht="150" customHeight="1" x14ac:dyDescent="0.25">
      <c r="A26" s="5" t="s">
        <v>159</v>
      </c>
      <c r="B26" s="5" t="s">
        <v>66</v>
      </c>
      <c r="C26" s="5" t="s">
        <v>67</v>
      </c>
      <c r="D26" s="5" t="s">
        <v>140</v>
      </c>
      <c r="E26" s="5" t="s">
        <v>160</v>
      </c>
      <c r="F26" s="5" t="s">
        <v>161</v>
      </c>
      <c r="G26" s="5" t="s">
        <v>143</v>
      </c>
      <c r="H26" s="5" t="s">
        <v>162</v>
      </c>
      <c r="I26" s="6" t="s">
        <v>72</v>
      </c>
      <c r="J26" s="6" t="s">
        <v>145</v>
      </c>
      <c r="K26" s="6" t="s">
        <v>146</v>
      </c>
      <c r="L26" s="6">
        <f>COUNTIFS(Afirmaciones!$A$2:$A$401,$A26,Afirmaciones!$B$2:$B$401,$B26)</f>
        <v>0</v>
      </c>
      <c r="M26" s="6">
        <f>COUNTIFS(Hechos!$A$2:$A$201,$A26)</f>
        <v>0</v>
      </c>
      <c r="N26" s="6">
        <f>IF($B26="rag",SUMIFS(Hechos!$F$2:$F$201,Hechos!$A$2:$A$201,$A26),SUMIFS(Hechos!$G$2:$G$201,Hechos!$A$2:$A$201,$A26))</f>
        <v>0</v>
      </c>
      <c r="O26" s="6" t="str">
        <f t="shared" si="0"/>
        <v>-</v>
      </c>
      <c r="P26" s="6">
        <f>COUNTIFS(Afirmaciones!$A$2:$A$401,$A26,Afirmaciones!$B$2:$B$401,$B26,Afirmaciones!$E$2:$E$401,"hecho",Afirmaciones!$F$2:$F$401,"INCORRECTA")</f>
        <v>0</v>
      </c>
      <c r="Q26" s="6">
        <f>COUNTIFS(Afirmaciones!$A$2:$A$401,$A26,Afirmaciones!$B$2:$B$401,$B26,Afirmaciones!$E$2:$E$401,"abstencion",Afirmaciones!$F$2:$F$401,"INCORRECTA")</f>
        <v>0</v>
      </c>
      <c r="R26" s="6">
        <f>COUNTIFS(Afirmaciones!$A$2:$A$401,$A26,Afirmaciones!$B$2:$B$401,$B26,Afirmaciones!$E$2:$E$401,"hecho",Afirmaciones!$F$2:$F$401,"FUERA_REF",Afirmaciones!$H$2:$H$401,"no_resp")</f>
        <v>0</v>
      </c>
      <c r="S26" s="6">
        <f>COUNTIFS(Afirmaciones!$A$2:$A$401,$A26,Afirmaciones!$B$2:$B$401,$B26,Afirmaciones!$E$2:$E$401,"hecho",Afirmaciones!$F$2:$F$401,"FUERA_REF")</f>
        <v>0</v>
      </c>
      <c r="T26" s="6">
        <f>COUNTIFS(Afirmaciones!$A$2:$A$401,$A26,Afirmaciones!$B$2:$B$401,$B26,Afirmaciones!$E$2:$E$401,"hecho",Afirmaciones!$I$2:$I$401,"SIN-RESPALDO")</f>
        <v>0</v>
      </c>
      <c r="U26" s="6">
        <f>COUNTIFS(Afirmaciones!$A$2:$A$401,$A26,Afirmaciones!$B$2:$B$401,$B26,Afirmaciones!$E$2:$E$401,"hecho",Afirmaciones!$I$2:$I$401,"CITA-X")</f>
        <v>0</v>
      </c>
      <c r="V26" s="6">
        <f>COUNTIFS(Afirmaciones!$A$2:$A$401,$A26,Afirmaciones!$B$2:$B$401,$B26,Afirmaciones!$E$2:$E$401,"hecho",Afirmaciones!$I$2:$I$401,"SIN-CITA")</f>
        <v>0</v>
      </c>
      <c r="W26" s="6">
        <f>COUNTIFS(Afirmaciones!$A$2:$A$401,$A26,Afirmaciones!$B$2:$B$401,$B26,Afirmaciones!$E$2:$E$401,"hecho")</f>
        <v>0</v>
      </c>
      <c r="X26" s="6">
        <f>COUNTIFS(Afirmaciones!$A$2:$A$401,$A26,Afirmaciones!$B$2:$B$401,$B26,Afirmaciones!$E$2:$E$401,"hecho",Afirmaciones!$I$2:$I$401,"SOSTENIDA")</f>
        <v>0</v>
      </c>
      <c r="Y26" s="6" t="str">
        <f t="shared" si="1"/>
        <v/>
      </c>
      <c r="Z26" s="6" t="str">
        <f t="shared" si="2"/>
        <v/>
      </c>
      <c r="AA26" s="6" t="str">
        <f t="shared" si="3"/>
        <v/>
      </c>
      <c r="AB26" s="6" t="str">
        <f t="shared" si="4"/>
        <v/>
      </c>
      <c r="AC26" s="6" t="str">
        <f t="shared" si="5"/>
        <v/>
      </c>
      <c r="AD26" s="6" t="str">
        <f t="shared" si="6"/>
        <v>-</v>
      </c>
      <c r="AE26" s="6" t="str">
        <f>IF(OR($L26=0,$B26&lt;&gt;"rag",$M26=0),"-",SUMIFS(Hechos!$H$2:$H$201,Hechos!$A$2:$A$201,$A26)&amp;"/"&amp;$M26)</f>
        <v>-</v>
      </c>
      <c r="AF26" s="6">
        <f>IF($B26="rag",SUMPRODUCT((Hechos!$A$2:$A$201=$A26)*(Hechos!$F$2:$F$201=0)*((Hechos!$E$2:$E$201="NO")+(Hechos!$E$2:$E$201="ALT-P")+(Hechos!$E$2:$E$201=""))),0)</f>
        <v>0</v>
      </c>
      <c r="AG26" s="6">
        <f>IF($B26="rag",SUMPRODUCT((Hechos!$A$2:$A$201=$A26)*(Hechos!$F$2:$F$201=0)*((Hechos!$E$2:$E$201="SI")+(Hechos!$E$2:$E$201="ALT"))),$M26-$N26)</f>
        <v>0</v>
      </c>
      <c r="AH26" s="7"/>
    </row>
    <row r="27" spans="1:35" ht="150" customHeight="1" x14ac:dyDescent="0.25">
      <c r="A27" s="5" t="s">
        <v>159</v>
      </c>
      <c r="B27" s="5" t="s">
        <v>76</v>
      </c>
      <c r="C27" s="5" t="s">
        <v>67</v>
      </c>
      <c r="D27" s="5" t="s">
        <v>140</v>
      </c>
      <c r="E27" s="5" t="s">
        <v>160</v>
      </c>
      <c r="F27" s="5" t="s">
        <v>161</v>
      </c>
      <c r="G27" s="5" t="s">
        <v>143</v>
      </c>
      <c r="H27" s="5" t="s">
        <v>163</v>
      </c>
      <c r="I27" s="6" t="s">
        <v>72</v>
      </c>
      <c r="J27" s="6"/>
      <c r="K27" s="6"/>
      <c r="L27" s="6">
        <f>COUNTIFS(Afirmaciones!$A$2:$A$401,$A27,Afirmaciones!$B$2:$B$401,$B27)</f>
        <v>0</v>
      </c>
      <c r="M27" s="6">
        <f>COUNTIFS(Hechos!$A$2:$A$201,$A27)</f>
        <v>0</v>
      </c>
      <c r="N27" s="6">
        <f>IF($B27="rag",SUMIFS(Hechos!$F$2:$F$201,Hechos!$A$2:$A$201,$A27),SUMIFS(Hechos!$G$2:$G$201,Hechos!$A$2:$A$201,$A27))</f>
        <v>0</v>
      </c>
      <c r="O27" s="6" t="str">
        <f t="shared" si="0"/>
        <v>-</v>
      </c>
      <c r="P27" s="6">
        <f>COUNTIFS(Afirmaciones!$A$2:$A$401,$A27,Afirmaciones!$B$2:$B$401,$B27,Afirmaciones!$E$2:$E$401,"hecho",Afirmaciones!$F$2:$F$401,"INCORRECTA")</f>
        <v>0</v>
      </c>
      <c r="Q27" s="6">
        <f>COUNTIFS(Afirmaciones!$A$2:$A$401,$A27,Afirmaciones!$B$2:$B$401,$B27,Afirmaciones!$E$2:$E$401,"abstencion",Afirmaciones!$F$2:$F$401,"INCORRECTA")</f>
        <v>0</v>
      </c>
      <c r="R27" s="6">
        <f>COUNTIFS(Afirmaciones!$A$2:$A$401,$A27,Afirmaciones!$B$2:$B$401,$B27,Afirmaciones!$E$2:$E$401,"hecho",Afirmaciones!$F$2:$F$401,"FUERA_REF",Afirmaciones!$H$2:$H$401,"no_resp")</f>
        <v>0</v>
      </c>
      <c r="S27" s="6">
        <f>COUNTIFS(Afirmaciones!$A$2:$A$401,$A27,Afirmaciones!$B$2:$B$401,$B27,Afirmaciones!$E$2:$E$401,"hecho",Afirmaciones!$F$2:$F$401,"FUERA_REF")</f>
        <v>0</v>
      </c>
      <c r="T27" s="6">
        <f>COUNTIFS(Afirmaciones!$A$2:$A$401,$A27,Afirmaciones!$B$2:$B$401,$B27,Afirmaciones!$E$2:$E$401,"hecho",Afirmaciones!$I$2:$I$401,"SIN-RESPALDO")</f>
        <v>0</v>
      </c>
      <c r="U27" s="6">
        <f>COUNTIFS(Afirmaciones!$A$2:$A$401,$A27,Afirmaciones!$B$2:$B$401,$B27,Afirmaciones!$E$2:$E$401,"hecho",Afirmaciones!$I$2:$I$401,"CITA-X")</f>
        <v>0</v>
      </c>
      <c r="V27" s="6">
        <f>COUNTIFS(Afirmaciones!$A$2:$A$401,$A27,Afirmaciones!$B$2:$B$401,$B27,Afirmaciones!$E$2:$E$401,"hecho",Afirmaciones!$I$2:$I$401,"SIN-CITA")</f>
        <v>0</v>
      </c>
      <c r="W27" s="6">
        <f>COUNTIFS(Afirmaciones!$A$2:$A$401,$A27,Afirmaciones!$B$2:$B$401,$B27,Afirmaciones!$E$2:$E$401,"hecho")</f>
        <v>0</v>
      </c>
      <c r="X27" s="6">
        <f>COUNTIFS(Afirmaciones!$A$2:$A$401,$A27,Afirmaciones!$B$2:$B$401,$B27,Afirmaciones!$E$2:$E$401,"hecho",Afirmaciones!$I$2:$I$401,"SOSTENIDA")</f>
        <v>0</v>
      </c>
      <c r="Y27" s="6" t="str">
        <f t="shared" si="1"/>
        <v/>
      </c>
      <c r="Z27" s="6" t="str">
        <f t="shared" si="2"/>
        <v/>
      </c>
      <c r="AA27" s="6" t="str">
        <f t="shared" si="3"/>
        <v/>
      </c>
      <c r="AB27" s="6" t="str">
        <f t="shared" si="4"/>
        <v/>
      </c>
      <c r="AC27" s="6" t="str">
        <f t="shared" si="5"/>
        <v/>
      </c>
      <c r="AD27" s="6" t="str">
        <f t="shared" si="6"/>
        <v>-</v>
      </c>
      <c r="AE27" s="6" t="str">
        <f>IF(OR($L27=0,$B27&lt;&gt;"rag",$M27=0),"-",SUMIFS(Hechos!$H$2:$H$201,Hechos!$A$2:$A$201,$A27)&amp;"/"&amp;$M27)</f>
        <v>-</v>
      </c>
      <c r="AF27" s="6">
        <f>IF($B27="rag",SUMPRODUCT((Hechos!$A$2:$A$201=$A27)*(Hechos!$F$2:$F$201=0)*((Hechos!$E$2:$E$201="NO")+(Hechos!$E$2:$E$201="ALT-P")+(Hechos!$E$2:$E$201=""))),0)</f>
        <v>0</v>
      </c>
      <c r="AG27" s="6">
        <f>IF($B27="rag",SUMPRODUCT((Hechos!$A$2:$A$201=$A27)*(Hechos!$F$2:$F$201=0)*((Hechos!$E$2:$E$201="SI")+(Hechos!$E$2:$E$201="ALT"))),$M27-$N27)</f>
        <v>0</v>
      </c>
      <c r="AH27" s="7"/>
    </row>
  </sheetData>
  <sheetProtection sheet="1" formatColumns="0" formatRows="0" sort="0" autoFilter="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401"/>
  <sheetViews>
    <sheetView tabSelected="1" workbookViewId="0">
      <pane ySplit="1" topLeftCell="A2" activePane="bottomLeft" state="frozen"/>
      <selection pane="bottomLeft" activeCell="O20" sqref="O20"/>
    </sheetView>
  </sheetViews>
  <sheetFormatPr baseColWidth="10" defaultColWidth="9.140625" defaultRowHeight="15" x14ac:dyDescent="0.25"/>
  <cols>
    <col min="1" max="2" width="7" customWidth="1"/>
    <col min="3" max="3" width="5" customWidth="1"/>
    <col min="4" max="4" width="60" customWidth="1"/>
    <col min="5" max="5" width="13" customWidth="1"/>
    <col min="6" max="7" width="14" customWidth="1"/>
    <col min="8" max="8" width="10" customWidth="1"/>
    <col min="9" max="9" width="17" customWidth="1"/>
    <col min="10" max="10" width="9" customWidth="1"/>
    <col min="11" max="11" width="13" customWidth="1"/>
    <col min="12" max="12" width="40" customWidth="1"/>
    <col min="13" max="13" width="18" customWidth="1"/>
    <col min="14" max="14" width="28" customWidth="1"/>
  </cols>
  <sheetData>
    <row r="1" spans="1:14" ht="33.950000000000003" customHeight="1" x14ac:dyDescent="0.25">
      <c r="A1" s="3" t="s">
        <v>32</v>
      </c>
      <c r="B1" s="3" t="s">
        <v>33</v>
      </c>
      <c r="C1" s="3" t="s">
        <v>164</v>
      </c>
      <c r="D1" s="3" t="s">
        <v>165</v>
      </c>
      <c r="E1" s="3" t="s">
        <v>6</v>
      </c>
      <c r="F1" s="3" t="s">
        <v>8</v>
      </c>
      <c r="G1" s="3" t="s">
        <v>10</v>
      </c>
      <c r="H1" s="3" t="s">
        <v>12</v>
      </c>
      <c r="I1" s="3" t="s">
        <v>166</v>
      </c>
      <c r="J1" s="3" t="s">
        <v>167</v>
      </c>
      <c r="K1" s="3" t="s">
        <v>168</v>
      </c>
      <c r="L1" s="3" t="s">
        <v>169</v>
      </c>
      <c r="M1" s="3" t="s">
        <v>170</v>
      </c>
      <c r="N1" s="3" t="s">
        <v>171</v>
      </c>
    </row>
    <row r="2" spans="1:14" ht="25.5" x14ac:dyDescent="0.25">
      <c r="A2" s="7" t="s">
        <v>102</v>
      </c>
      <c r="B2" s="7" t="s">
        <v>66</v>
      </c>
      <c r="C2" s="6">
        <f>IF(A2="","",COUNTIFS($A$2:A2,A2,$B$2:B2,B2))</f>
        <v>1</v>
      </c>
      <c r="D2" s="7" t="s">
        <v>172</v>
      </c>
      <c r="E2" s="7" t="s">
        <v>173</v>
      </c>
      <c r="F2" s="7" t="s">
        <v>174</v>
      </c>
      <c r="G2" s="7" t="s">
        <v>175</v>
      </c>
      <c r="H2" s="7" t="s">
        <v>176</v>
      </c>
      <c r="I2" s="7" t="s">
        <v>177</v>
      </c>
      <c r="J2" s="7" t="s">
        <v>178</v>
      </c>
      <c r="K2" s="7"/>
      <c r="L2" s="7" t="s">
        <v>179</v>
      </c>
      <c r="M2" s="6" t="str">
        <f t="shared" ref="M2:M65" si="0">IF(D2="","",IF(OR(E2="",F2=""),"",IF(TRIM(IF(AND(E2="hecho",F2="INCORRECTA"),"INC ","")&amp;IF(AND(E2="abstencion",F2="INCORRECTA"),"ABS-E ","")&amp;IF(AND(E2="hecho",F2="FUERA_REF",H2="no_resp"),"NO-ABS ","")&amp;IF(AND(E2="hecho",I2="SIN-RESPALDO"),"SIN-R ","")&amp;IF(AND(E2="hecho",I2="CITA-X"),"CITA-X ","")&amp;IF(AND(E2="hecho",I2="SIN-CITA"),"SIN-C ",""))="","-",TRIM(IF(AND(E2="hecho",F2="INCORRECTA"),"INC ","")&amp;IF(AND(E2="abstencion",F2="INCORRECTA"),"ABS-E ","")&amp;IF(AND(E2="hecho",F2="FUERA_REF",H2="no_resp"),"NO-ABS ","")&amp;IF(AND(E2="hecho",I2="SIN-RESPALDO"),"SIN-R ","")&amp;IF(AND(E2="hecho",I2="CITA-X"),"CITA-X ","")&amp;IF(AND(E2="hecho",I2="SIN-CITA"),"SIN-C ","")))))</f>
        <v>SIN-R</v>
      </c>
      <c r="N2" s="6" t="str">
        <f t="shared" ref="N2:N65" si="1">IF(D2="","",IF(OR(A2="",B2="",E2="",F2=""),"falta qid, modo, tipo o vs_ref",IF(AND(B2="llm",I2&lt;&gt;""),"respaldo no aplica en modo LLM",IF(AND(E2="abstencion",I2&lt;&gt;""),"una abstención no se califica en citas",IF(AND(B2="rag",E2="hecho",I2=""),"falta respaldo","ok")))))</f>
        <v>ok</v>
      </c>
    </row>
    <row r="3" spans="1:14" x14ac:dyDescent="0.25">
      <c r="A3" s="7" t="s">
        <v>102</v>
      </c>
      <c r="B3" s="7" t="s">
        <v>66</v>
      </c>
      <c r="C3" s="6">
        <f>IF(A3="","",COUNTIFS($A$2:A3,A3,$B$2:B3,B3))</f>
        <v>2</v>
      </c>
      <c r="D3" s="7" t="s">
        <v>180</v>
      </c>
      <c r="E3" s="7" t="s">
        <v>173</v>
      </c>
      <c r="F3" s="7" t="s">
        <v>50</v>
      </c>
      <c r="G3" s="7"/>
      <c r="H3" s="7" t="s">
        <v>176</v>
      </c>
      <c r="I3" s="7" t="s">
        <v>181</v>
      </c>
      <c r="J3" s="7" t="s">
        <v>178</v>
      </c>
      <c r="K3" s="7" t="s">
        <v>178</v>
      </c>
      <c r="L3" s="7"/>
      <c r="M3" s="6" t="str">
        <f t="shared" si="0"/>
        <v>-</v>
      </c>
      <c r="N3" s="6" t="str">
        <f t="shared" si="1"/>
        <v>ok</v>
      </c>
    </row>
    <row r="4" spans="1:14" x14ac:dyDescent="0.25">
      <c r="A4" s="7" t="s">
        <v>102</v>
      </c>
      <c r="B4" s="7" t="s">
        <v>66</v>
      </c>
      <c r="C4" s="6">
        <f>IF(A4="","",COUNTIFS($A$2:A4,A4,$B$2:B4,B4))</f>
        <v>3</v>
      </c>
      <c r="D4" s="7" t="s">
        <v>182</v>
      </c>
      <c r="E4" s="7" t="s">
        <v>173</v>
      </c>
      <c r="F4" s="7" t="s">
        <v>174</v>
      </c>
      <c r="G4" s="7" t="s">
        <v>183</v>
      </c>
      <c r="H4" s="7" t="s">
        <v>176</v>
      </c>
      <c r="I4" s="7" t="s">
        <v>181</v>
      </c>
      <c r="J4" s="7" t="s">
        <v>178</v>
      </c>
      <c r="K4" s="7" t="s">
        <v>178</v>
      </c>
      <c r="L4" s="7"/>
      <c r="M4" s="6" t="str">
        <f t="shared" si="0"/>
        <v>-</v>
      </c>
      <c r="N4" s="6" t="str">
        <f t="shared" si="1"/>
        <v>ok</v>
      </c>
    </row>
    <row r="5" spans="1:14" x14ac:dyDescent="0.25">
      <c r="A5" s="7" t="s">
        <v>102</v>
      </c>
      <c r="B5" s="7" t="s">
        <v>76</v>
      </c>
      <c r="C5" s="6">
        <f>IF(A5="","",COUNTIFS($A$2:A5,A5,$B$2:B5,B5))</f>
        <v>1</v>
      </c>
      <c r="D5" s="7" t="s">
        <v>184</v>
      </c>
      <c r="E5" s="7" t="s">
        <v>173</v>
      </c>
      <c r="F5" s="7" t="s">
        <v>185</v>
      </c>
      <c r="G5" s="7" t="s">
        <v>175</v>
      </c>
      <c r="H5" s="7" t="s">
        <v>176</v>
      </c>
      <c r="I5" s="7"/>
      <c r="J5" s="7"/>
      <c r="K5" s="7"/>
      <c r="L5" s="7" t="s">
        <v>186</v>
      </c>
      <c r="M5" s="6" t="str">
        <f t="shared" si="0"/>
        <v>INC</v>
      </c>
      <c r="N5" s="6" t="str">
        <f t="shared" si="1"/>
        <v>ok</v>
      </c>
    </row>
    <row r="6" spans="1:14" ht="25.5" x14ac:dyDescent="0.25">
      <c r="A6" s="7" t="s">
        <v>102</v>
      </c>
      <c r="B6" s="7" t="s">
        <v>76</v>
      </c>
      <c r="C6" s="6">
        <f>IF(A6="","",COUNTIFS($A$2:A6,A6,$B$2:B6,B6))</f>
        <v>2</v>
      </c>
      <c r="D6" s="7" t="s">
        <v>187</v>
      </c>
      <c r="E6" s="7" t="s">
        <v>173</v>
      </c>
      <c r="F6" s="7" t="s">
        <v>185</v>
      </c>
      <c r="G6" s="7"/>
      <c r="H6" s="7" t="s">
        <v>176</v>
      </c>
      <c r="I6" s="7"/>
      <c r="J6" s="7"/>
      <c r="K6" s="7"/>
      <c r="L6" s="7" t="s">
        <v>188</v>
      </c>
      <c r="M6" s="6" t="str">
        <f t="shared" si="0"/>
        <v>INC</v>
      </c>
      <c r="N6" s="6" t="str">
        <f t="shared" si="1"/>
        <v>ok</v>
      </c>
    </row>
    <row r="7" spans="1:14" x14ac:dyDescent="0.25">
      <c r="A7" s="7" t="s">
        <v>102</v>
      </c>
      <c r="B7" s="7" t="s">
        <v>76</v>
      </c>
      <c r="C7" s="6">
        <f>IF(A7="","",COUNTIFS($A$2:A7,A7,$B$2:B7,B7))</f>
        <v>3</v>
      </c>
      <c r="D7" s="7" t="s">
        <v>189</v>
      </c>
      <c r="E7" s="7" t="s">
        <v>173</v>
      </c>
      <c r="F7" s="7" t="s">
        <v>50</v>
      </c>
      <c r="G7" s="7"/>
      <c r="H7" s="7" t="s">
        <v>176</v>
      </c>
      <c r="I7" s="7"/>
      <c r="J7" s="7"/>
      <c r="K7" s="7"/>
      <c r="L7" s="7"/>
      <c r="M7" s="6" t="str">
        <f t="shared" si="0"/>
        <v>-</v>
      </c>
      <c r="N7" s="6" t="str">
        <f t="shared" si="1"/>
        <v>ok</v>
      </c>
    </row>
    <row r="8" spans="1:14" ht="25.5" x14ac:dyDescent="0.25">
      <c r="A8" s="7" t="s">
        <v>130</v>
      </c>
      <c r="B8" s="7" t="s">
        <v>66</v>
      </c>
      <c r="C8" s="6">
        <f>IF(A8="","",COUNTIFS($A$2:A8,A8,$B$2:B8,B8))</f>
        <v>1</v>
      </c>
      <c r="D8" s="7" t="s">
        <v>190</v>
      </c>
      <c r="E8" s="7" t="s">
        <v>191</v>
      </c>
      <c r="F8" s="7" t="s">
        <v>185</v>
      </c>
      <c r="G8" s="7" t="s">
        <v>192</v>
      </c>
      <c r="H8" s="7" t="s">
        <v>176</v>
      </c>
      <c r="I8" s="7"/>
      <c r="J8" s="7"/>
      <c r="K8" s="7"/>
      <c r="L8" s="7" t="s">
        <v>193</v>
      </c>
      <c r="M8" s="6" t="str">
        <f t="shared" si="0"/>
        <v>ABS-E</v>
      </c>
      <c r="N8" s="6" t="str">
        <f t="shared" si="1"/>
        <v>ok</v>
      </c>
    </row>
    <row r="9" spans="1:14" ht="25.5" x14ac:dyDescent="0.25">
      <c r="A9" s="7" t="s">
        <v>130</v>
      </c>
      <c r="B9" s="7" t="s">
        <v>66</v>
      </c>
      <c r="C9" s="6">
        <f>IF(A9="","",COUNTIFS($A$2:A9,A9,$B$2:B9,B9))</f>
        <v>2</v>
      </c>
      <c r="D9" s="7" t="s">
        <v>194</v>
      </c>
      <c r="E9" s="7" t="s">
        <v>173</v>
      </c>
      <c r="F9" s="7" t="s">
        <v>174</v>
      </c>
      <c r="G9" s="7"/>
      <c r="H9" s="7" t="s">
        <v>176</v>
      </c>
      <c r="I9" s="7" t="s">
        <v>181</v>
      </c>
      <c r="J9" s="7">
        <v>5</v>
      </c>
      <c r="K9" s="7">
        <v>5</v>
      </c>
      <c r="L9" s="7" t="s">
        <v>196</v>
      </c>
      <c r="M9" s="6" t="str">
        <f t="shared" si="0"/>
        <v>-</v>
      </c>
      <c r="N9" s="6" t="str">
        <f t="shared" si="1"/>
        <v>ok</v>
      </c>
    </row>
    <row r="10" spans="1:14" x14ac:dyDescent="0.25">
      <c r="A10" s="7" t="s">
        <v>130</v>
      </c>
      <c r="B10" s="7" t="s">
        <v>66</v>
      </c>
      <c r="C10" s="6">
        <f>IF(A10="","",COUNTIFS($A$2:A10,A10,$B$2:B10,B10))</f>
        <v>3</v>
      </c>
      <c r="D10" s="7" t="s">
        <v>197</v>
      </c>
      <c r="E10" s="7" t="s">
        <v>191</v>
      </c>
      <c r="F10" s="7" t="s">
        <v>174</v>
      </c>
      <c r="G10" s="7"/>
      <c r="H10" s="7" t="s">
        <v>198</v>
      </c>
      <c r="I10" s="7"/>
      <c r="J10" s="7"/>
      <c r="K10" s="7"/>
      <c r="L10" s="7"/>
      <c r="M10" s="6" t="str">
        <f t="shared" si="0"/>
        <v>-</v>
      </c>
      <c r="N10" s="6" t="str">
        <f t="shared" si="1"/>
        <v>ok</v>
      </c>
    </row>
    <row r="11" spans="1:14" x14ac:dyDescent="0.25">
      <c r="A11" s="7" t="s">
        <v>130</v>
      </c>
      <c r="B11" s="7" t="s">
        <v>76</v>
      </c>
      <c r="C11" s="6">
        <f>IF(A11="","",COUNTIFS($A$2:A11,A11,$B$2:B11,B11))</f>
        <v>1</v>
      </c>
      <c r="D11" s="7" t="s">
        <v>199</v>
      </c>
      <c r="E11" s="7" t="s">
        <v>173</v>
      </c>
      <c r="F11" s="7" t="s">
        <v>185</v>
      </c>
      <c r="G11" s="7"/>
      <c r="H11" s="7" t="s">
        <v>176</v>
      </c>
      <c r="I11" s="7"/>
      <c r="J11" s="7"/>
      <c r="K11" s="7"/>
      <c r="L11" s="7"/>
      <c r="M11" s="6" t="str">
        <f t="shared" si="0"/>
        <v>INC</v>
      </c>
      <c r="N11" s="6" t="str">
        <f t="shared" si="1"/>
        <v>ok</v>
      </c>
    </row>
    <row r="12" spans="1:14" x14ac:dyDescent="0.25">
      <c r="A12" s="7" t="s">
        <v>130</v>
      </c>
      <c r="B12" s="7" t="s">
        <v>76</v>
      </c>
      <c r="C12" s="6">
        <f>IF(A12="","",COUNTIFS($A$2:A12,A12,$B$2:B12,B12))</f>
        <v>2</v>
      </c>
      <c r="D12" s="7" t="s">
        <v>200</v>
      </c>
      <c r="E12" s="7" t="s">
        <v>173</v>
      </c>
      <c r="F12" s="7" t="s">
        <v>174</v>
      </c>
      <c r="G12" s="7" t="s">
        <v>201</v>
      </c>
      <c r="H12" s="7" t="s">
        <v>176</v>
      </c>
      <c r="I12" s="7"/>
      <c r="J12" s="7"/>
      <c r="K12" s="7"/>
      <c r="L12" s="7"/>
      <c r="M12" s="6" t="str">
        <f t="shared" si="0"/>
        <v>-</v>
      </c>
      <c r="N12" s="6" t="str">
        <f t="shared" si="1"/>
        <v>ok</v>
      </c>
    </row>
    <row r="13" spans="1:14" x14ac:dyDescent="0.25">
      <c r="A13" s="7" t="s">
        <v>130</v>
      </c>
      <c r="B13" s="7" t="s">
        <v>76</v>
      </c>
      <c r="C13" s="6">
        <f>IF(A13="","",COUNTIFS($A$2:A13,A13,$B$2:B13,B13))</f>
        <v>3</v>
      </c>
      <c r="D13" s="7" t="s">
        <v>202</v>
      </c>
      <c r="E13" s="7" t="s">
        <v>173</v>
      </c>
      <c r="F13" s="7" t="s">
        <v>174</v>
      </c>
      <c r="G13" s="7" t="s">
        <v>203</v>
      </c>
      <c r="H13" s="7" t="s">
        <v>176</v>
      </c>
      <c r="I13" s="7"/>
      <c r="J13" s="7"/>
      <c r="K13" s="7"/>
      <c r="L13" s="7"/>
      <c r="M13" s="6" t="str">
        <f t="shared" si="0"/>
        <v>-</v>
      </c>
      <c r="N13" s="6" t="str">
        <f t="shared" si="1"/>
        <v>ok</v>
      </c>
    </row>
    <row r="14" spans="1:14" ht="25.5" x14ac:dyDescent="0.25">
      <c r="A14" s="7" t="s">
        <v>130</v>
      </c>
      <c r="B14" s="7" t="s">
        <v>76</v>
      </c>
      <c r="C14" s="6">
        <f>IF(A14="","",COUNTIFS($A$2:A14,A14,$B$2:B14,B14))</f>
        <v>4</v>
      </c>
      <c r="D14" s="7" t="s">
        <v>204</v>
      </c>
      <c r="E14" s="7" t="s">
        <v>173</v>
      </c>
      <c r="F14" s="7" t="s">
        <v>50</v>
      </c>
      <c r="G14" s="7"/>
      <c r="H14" s="7" t="s">
        <v>176</v>
      </c>
      <c r="I14" s="7"/>
      <c r="J14" s="7"/>
      <c r="K14" s="7"/>
      <c r="L14" s="7"/>
      <c r="M14" s="6" t="str">
        <f t="shared" si="0"/>
        <v>-</v>
      </c>
      <c r="N14" s="6" t="str">
        <f t="shared" si="1"/>
        <v>ok</v>
      </c>
    </row>
    <row r="15" spans="1:14" x14ac:dyDescent="0.25">
      <c r="A15" s="7" t="s">
        <v>130</v>
      </c>
      <c r="B15" s="7" t="s">
        <v>76</v>
      </c>
      <c r="C15" s="6">
        <f>IF(A15="","",COUNTIFS($A$2:A15,A15,$B$2:B15,B15))</f>
        <v>5</v>
      </c>
      <c r="D15" s="7" t="s">
        <v>205</v>
      </c>
      <c r="E15" s="7" t="s">
        <v>173</v>
      </c>
      <c r="F15" s="7" t="s">
        <v>174</v>
      </c>
      <c r="G15" s="7"/>
      <c r="H15" s="7" t="s">
        <v>198</v>
      </c>
      <c r="I15" s="7"/>
      <c r="J15" s="7"/>
      <c r="K15" s="7"/>
      <c r="L15" s="7"/>
      <c r="M15" s="6" t="str">
        <f t="shared" si="0"/>
        <v>-</v>
      </c>
      <c r="N15" s="6" t="str">
        <f t="shared" si="1"/>
        <v>ok</v>
      </c>
    </row>
    <row r="16" spans="1:14" x14ac:dyDescent="0.25">
      <c r="A16" s="7" t="s">
        <v>130</v>
      </c>
      <c r="B16" s="7" t="s">
        <v>76</v>
      </c>
      <c r="C16" s="6">
        <f>IF(A16="","",COUNTIFS($A$2:A16,A16,$B$2:B16,B16))</f>
        <v>6</v>
      </c>
      <c r="D16" s="7" t="s">
        <v>206</v>
      </c>
      <c r="E16" s="7" t="s">
        <v>173</v>
      </c>
      <c r="F16" s="7" t="s">
        <v>50</v>
      </c>
      <c r="G16" s="7"/>
      <c r="H16" s="7" t="s">
        <v>198</v>
      </c>
      <c r="I16" s="7"/>
      <c r="J16" s="7"/>
      <c r="K16" s="7"/>
      <c r="L16" s="7" t="s">
        <v>207</v>
      </c>
      <c r="M16" s="6" t="str">
        <f t="shared" si="0"/>
        <v>NO-ABS</v>
      </c>
      <c r="N16" s="6" t="str">
        <f t="shared" si="1"/>
        <v>ok</v>
      </c>
    </row>
    <row r="17" spans="1:14" ht="25.5" x14ac:dyDescent="0.25">
      <c r="A17" s="7" t="s">
        <v>65</v>
      </c>
      <c r="B17" s="7" t="s">
        <v>66</v>
      </c>
      <c r="C17" s="6">
        <f>IF(A17="","",COUNTIFS($A$2:A17,A17,$B$2:B17,B17))</f>
        <v>1</v>
      </c>
      <c r="D17" s="7" t="s">
        <v>208</v>
      </c>
      <c r="E17" s="7" t="s">
        <v>191</v>
      </c>
      <c r="F17" s="7" t="s">
        <v>185</v>
      </c>
      <c r="G17" s="7" t="s">
        <v>209</v>
      </c>
      <c r="H17" s="7" t="s">
        <v>176</v>
      </c>
      <c r="I17" s="7"/>
      <c r="J17" s="7"/>
      <c r="K17" s="7"/>
      <c r="L17" s="7" t="s">
        <v>210</v>
      </c>
      <c r="M17" s="6" t="str">
        <f t="shared" si="0"/>
        <v>ABS-E</v>
      </c>
      <c r="N17" s="6" t="str">
        <f t="shared" si="1"/>
        <v>ok</v>
      </c>
    </row>
    <row r="18" spans="1:14" ht="25.5" x14ac:dyDescent="0.25">
      <c r="A18" s="7" t="s">
        <v>65</v>
      </c>
      <c r="B18" s="7" t="s">
        <v>76</v>
      </c>
      <c r="C18" s="6">
        <f>IF(A18="","",COUNTIFS($A$2:A18,A18,$B$2:B18,B18))</f>
        <v>1</v>
      </c>
      <c r="D18" s="7" t="s">
        <v>211</v>
      </c>
      <c r="E18" s="7" t="s">
        <v>173</v>
      </c>
      <c r="F18" s="7" t="s">
        <v>185</v>
      </c>
      <c r="G18" s="7"/>
      <c r="H18" s="7" t="s">
        <v>176</v>
      </c>
      <c r="I18" s="7"/>
      <c r="J18" s="7"/>
      <c r="K18" s="7"/>
      <c r="L18" s="7" t="s">
        <v>212</v>
      </c>
      <c r="M18" s="6" t="str">
        <f t="shared" si="0"/>
        <v>INC</v>
      </c>
      <c r="N18" s="6" t="str">
        <f t="shared" si="1"/>
        <v>ok</v>
      </c>
    </row>
    <row r="19" spans="1:14" x14ac:dyDescent="0.25">
      <c r="A19" s="7" t="s">
        <v>65</v>
      </c>
      <c r="B19" s="7" t="s">
        <v>76</v>
      </c>
      <c r="C19" s="6">
        <f>IF(A19="","",COUNTIFS($A$2:A19,A19,$B$2:B19,B19))</f>
        <v>2</v>
      </c>
      <c r="D19" s="7" t="s">
        <v>213</v>
      </c>
      <c r="E19" s="7" t="s">
        <v>173</v>
      </c>
      <c r="F19" s="7" t="s">
        <v>50</v>
      </c>
      <c r="G19" s="7"/>
      <c r="H19" s="7" t="s">
        <v>176</v>
      </c>
      <c r="I19" s="7"/>
      <c r="J19" s="7"/>
      <c r="K19" s="7"/>
      <c r="L19" s="7"/>
      <c r="M19" s="6" t="str">
        <f t="shared" si="0"/>
        <v>-</v>
      </c>
      <c r="N19" s="6" t="str">
        <f t="shared" si="1"/>
        <v>ok</v>
      </c>
    </row>
    <row r="20" spans="1:14" x14ac:dyDescent="0.25">
      <c r="A20" s="7" t="s">
        <v>65</v>
      </c>
      <c r="B20" s="7" t="s">
        <v>76</v>
      </c>
      <c r="C20" s="6">
        <f>IF(A20="","",COUNTIFS($A$2:A20,A20,$B$2:B20,B20))</f>
        <v>3</v>
      </c>
      <c r="D20" s="7" t="s">
        <v>214</v>
      </c>
      <c r="E20" s="7" t="s">
        <v>173</v>
      </c>
      <c r="F20" s="7" t="s">
        <v>174</v>
      </c>
      <c r="G20" s="7" t="s">
        <v>183</v>
      </c>
      <c r="H20" s="7" t="s">
        <v>176</v>
      </c>
      <c r="I20" s="7"/>
      <c r="J20" s="7"/>
      <c r="K20" s="7"/>
      <c r="L20" s="7"/>
      <c r="M20" s="6" t="str">
        <f t="shared" si="0"/>
        <v>-</v>
      </c>
      <c r="N20" s="6" t="str">
        <f t="shared" si="1"/>
        <v>ok</v>
      </c>
    </row>
    <row r="21" spans="1:14" x14ac:dyDescent="0.25">
      <c r="A21" s="7" t="s">
        <v>65</v>
      </c>
      <c r="B21" s="7" t="s">
        <v>76</v>
      </c>
      <c r="C21" s="6">
        <f>IF(A21="","",COUNTIFS($A$2:A21,A21,$B$2:B21,B21))</f>
        <v>4</v>
      </c>
      <c r="D21" s="7" t="s">
        <v>215</v>
      </c>
      <c r="E21" s="7" t="s">
        <v>173</v>
      </c>
      <c r="F21" s="7" t="s">
        <v>50</v>
      </c>
      <c r="G21" s="7"/>
      <c r="H21" s="7" t="s">
        <v>176</v>
      </c>
      <c r="I21" s="7"/>
      <c r="J21" s="7"/>
      <c r="K21" s="7"/>
      <c r="L21" s="7"/>
      <c r="M21" s="6" t="str">
        <f t="shared" si="0"/>
        <v>-</v>
      </c>
      <c r="N21" s="6" t="str">
        <f t="shared" si="1"/>
        <v>ok</v>
      </c>
    </row>
    <row r="22" spans="1:14" x14ac:dyDescent="0.25">
      <c r="A22" s="7" t="s">
        <v>65</v>
      </c>
      <c r="B22" s="7" t="s">
        <v>76</v>
      </c>
      <c r="C22" s="6">
        <f>IF(A22="","",COUNTIFS($A$2:A22,A22,$B$2:B22,B22))</f>
        <v>5</v>
      </c>
      <c r="D22" s="7" t="s">
        <v>216</v>
      </c>
      <c r="E22" s="7" t="s">
        <v>173</v>
      </c>
      <c r="F22" s="7" t="s">
        <v>174</v>
      </c>
      <c r="G22" s="7" t="s">
        <v>203</v>
      </c>
      <c r="H22" s="7" t="s">
        <v>176</v>
      </c>
      <c r="I22" s="7"/>
      <c r="J22" s="7"/>
      <c r="K22" s="7"/>
      <c r="L22" s="7" t="s">
        <v>217</v>
      </c>
      <c r="M22" s="6" t="str">
        <f t="shared" si="0"/>
        <v>-</v>
      </c>
      <c r="N22" s="6" t="str">
        <f t="shared" si="1"/>
        <v>ok</v>
      </c>
    </row>
    <row r="23" spans="1:14" x14ac:dyDescent="0.25">
      <c r="A23" s="7" t="s">
        <v>65</v>
      </c>
      <c r="B23" s="7" t="s">
        <v>76</v>
      </c>
      <c r="C23" s="6">
        <f>IF(A23="","",COUNTIFS($A$2:A23,A23,$B$2:B23,B23))</f>
        <v>6</v>
      </c>
      <c r="D23" s="7" t="s">
        <v>218</v>
      </c>
      <c r="E23" s="7" t="s">
        <v>173</v>
      </c>
      <c r="F23" s="7" t="s">
        <v>50</v>
      </c>
      <c r="G23" s="7"/>
      <c r="H23" s="7" t="s">
        <v>176</v>
      </c>
      <c r="I23" s="7"/>
      <c r="J23" s="7"/>
      <c r="K23" s="7"/>
      <c r="L23" s="7"/>
      <c r="M23" s="6" t="str">
        <f t="shared" si="0"/>
        <v>-</v>
      </c>
      <c r="N23" s="6" t="str">
        <f t="shared" si="1"/>
        <v>ok</v>
      </c>
    </row>
    <row r="24" spans="1:14" x14ac:dyDescent="0.25">
      <c r="A24" s="7" t="s">
        <v>110</v>
      </c>
      <c r="B24" s="7" t="s">
        <v>66</v>
      </c>
      <c r="C24" s="6">
        <f>IF(A24="","",COUNTIFS($A$2:A24,A24,$B$2:B24,B24))</f>
        <v>1</v>
      </c>
      <c r="D24" s="7" t="s">
        <v>219</v>
      </c>
      <c r="E24" s="7" t="s">
        <v>191</v>
      </c>
      <c r="F24" s="7" t="s">
        <v>185</v>
      </c>
      <c r="G24" s="7" t="s">
        <v>220</v>
      </c>
      <c r="H24" s="7" t="s">
        <v>176</v>
      </c>
      <c r="I24" s="7"/>
      <c r="J24" s="7"/>
      <c r="K24" s="7"/>
      <c r="L24" s="7" t="s">
        <v>221</v>
      </c>
      <c r="M24" s="6" t="str">
        <f t="shared" si="0"/>
        <v>ABS-E</v>
      </c>
      <c r="N24" s="6" t="str">
        <f t="shared" si="1"/>
        <v>ok</v>
      </c>
    </row>
    <row r="25" spans="1:14" x14ac:dyDescent="0.25">
      <c r="A25" s="7" t="s">
        <v>110</v>
      </c>
      <c r="B25" s="7" t="s">
        <v>66</v>
      </c>
      <c r="C25" s="6">
        <f>IF(A25="","",COUNTIFS($A$2:A25,A25,$B$2:B25,B25))</f>
        <v>2</v>
      </c>
      <c r="D25" s="7" t="s">
        <v>222</v>
      </c>
      <c r="E25" s="7" t="s">
        <v>173</v>
      </c>
      <c r="F25" s="7" t="s">
        <v>174</v>
      </c>
      <c r="G25" s="7" t="s">
        <v>223</v>
      </c>
      <c r="H25" s="7" t="s">
        <v>176</v>
      </c>
      <c r="I25" s="7" t="s">
        <v>181</v>
      </c>
      <c r="J25" s="7" t="s">
        <v>224</v>
      </c>
      <c r="K25" s="7" t="s">
        <v>224</v>
      </c>
      <c r="L25" s="7"/>
      <c r="M25" s="6" t="str">
        <f t="shared" si="0"/>
        <v>-</v>
      </c>
      <c r="N25" s="6" t="str">
        <f t="shared" si="1"/>
        <v>ok</v>
      </c>
    </row>
    <row r="26" spans="1:14" x14ac:dyDescent="0.25">
      <c r="A26" s="7" t="s">
        <v>110</v>
      </c>
      <c r="B26" s="7" t="s">
        <v>66</v>
      </c>
      <c r="C26" s="6">
        <f>IF(A26="","",COUNTIFS($A$2:A26,A26,$B$2:B26,B26))</f>
        <v>3</v>
      </c>
      <c r="D26" s="7" t="s">
        <v>225</v>
      </c>
      <c r="E26" s="7" t="s">
        <v>191</v>
      </c>
      <c r="F26" s="7" t="s">
        <v>174</v>
      </c>
      <c r="G26" s="7"/>
      <c r="H26" s="7" t="s">
        <v>198</v>
      </c>
      <c r="I26" s="7"/>
      <c r="J26" s="7"/>
      <c r="K26" s="7"/>
      <c r="L26" s="7"/>
      <c r="M26" s="6" t="str">
        <f t="shared" si="0"/>
        <v>-</v>
      </c>
      <c r="N26" s="6" t="str">
        <f t="shared" si="1"/>
        <v>ok</v>
      </c>
    </row>
    <row r="27" spans="1:14" x14ac:dyDescent="0.25">
      <c r="A27" s="7" t="s">
        <v>110</v>
      </c>
      <c r="B27" s="7" t="s">
        <v>76</v>
      </c>
      <c r="C27" s="6">
        <f>IF(A27="","",COUNTIFS($A$2:A27,A27,$B$2:B27,B27))</f>
        <v>1</v>
      </c>
      <c r="D27" s="7" t="s">
        <v>226</v>
      </c>
      <c r="E27" s="7" t="s">
        <v>173</v>
      </c>
      <c r="F27" s="7" t="s">
        <v>185</v>
      </c>
      <c r="G27" s="7"/>
      <c r="H27" s="7" t="s">
        <v>176</v>
      </c>
      <c r="I27" s="7"/>
      <c r="J27" s="7"/>
      <c r="K27" s="7"/>
      <c r="L27" s="7"/>
      <c r="M27" s="6" t="str">
        <f t="shared" si="0"/>
        <v>INC</v>
      </c>
      <c r="N27" s="6" t="str">
        <f t="shared" si="1"/>
        <v>ok</v>
      </c>
    </row>
    <row r="28" spans="1:14" x14ac:dyDescent="0.25">
      <c r="A28" s="7" t="s">
        <v>110</v>
      </c>
      <c r="B28" s="7" t="s">
        <v>76</v>
      </c>
      <c r="C28" s="6">
        <f>IF(A28="","",COUNTIFS($A$2:A28,A28,$B$2:B28,B28))</f>
        <v>2</v>
      </c>
      <c r="D28" s="7" t="s">
        <v>227</v>
      </c>
      <c r="E28" s="7" t="s">
        <v>173</v>
      </c>
      <c r="F28" s="7" t="s">
        <v>174</v>
      </c>
      <c r="G28" s="7"/>
      <c r="H28" s="7" t="s">
        <v>198</v>
      </c>
      <c r="I28" s="7"/>
      <c r="J28" s="7"/>
      <c r="K28" s="7"/>
      <c r="L28" s="7"/>
      <c r="M28" s="6" t="str">
        <f t="shared" si="0"/>
        <v>-</v>
      </c>
      <c r="N28" s="6" t="str">
        <f t="shared" si="1"/>
        <v>ok</v>
      </c>
    </row>
    <row r="29" spans="1:14" x14ac:dyDescent="0.25">
      <c r="A29" s="7"/>
      <c r="B29" s="7"/>
      <c r="C29" s="6" t="str">
        <f>IF(A29="","",COUNTIFS($A$2:A29,A29,$B$2:B29,B29))</f>
        <v/>
      </c>
      <c r="D29" s="7"/>
      <c r="E29" s="7"/>
      <c r="F29" s="7"/>
      <c r="G29" s="7"/>
      <c r="H29" s="7"/>
      <c r="I29" s="7"/>
      <c r="J29" s="7"/>
      <c r="K29" s="7"/>
      <c r="L29" s="7"/>
      <c r="M29" s="6" t="str">
        <f t="shared" si="0"/>
        <v/>
      </c>
      <c r="N29" s="6" t="str">
        <f t="shared" si="1"/>
        <v/>
      </c>
    </row>
    <row r="30" spans="1:14" x14ac:dyDescent="0.25">
      <c r="A30" s="7"/>
      <c r="B30" s="7"/>
      <c r="C30" s="6" t="str">
        <f>IF(A30="","",COUNTIFS($A$2:A30,A30,$B$2:B30,B30))</f>
        <v/>
      </c>
      <c r="D30" s="7"/>
      <c r="E30" s="7"/>
      <c r="F30" s="7"/>
      <c r="G30" s="7"/>
      <c r="H30" s="7"/>
      <c r="I30" s="7"/>
      <c r="J30" s="7"/>
      <c r="K30" s="7"/>
      <c r="L30" s="7"/>
      <c r="M30" s="6" t="str">
        <f t="shared" si="0"/>
        <v/>
      </c>
      <c r="N30" s="6" t="str">
        <f t="shared" si="1"/>
        <v/>
      </c>
    </row>
    <row r="31" spans="1:14" x14ac:dyDescent="0.25">
      <c r="A31" s="7"/>
      <c r="B31" s="7"/>
      <c r="C31" s="6" t="str">
        <f>IF(A31="","",COUNTIFS($A$2:A31,A31,$B$2:B31,B31))</f>
        <v/>
      </c>
      <c r="D31" s="7"/>
      <c r="E31" s="7"/>
      <c r="F31" s="7"/>
      <c r="G31" s="7"/>
      <c r="H31" s="7"/>
      <c r="I31" s="7"/>
      <c r="J31" s="7"/>
      <c r="K31" s="7"/>
      <c r="L31" s="7"/>
      <c r="M31" s="6" t="str">
        <f t="shared" si="0"/>
        <v/>
      </c>
      <c r="N31" s="6" t="str">
        <f t="shared" si="1"/>
        <v/>
      </c>
    </row>
    <row r="32" spans="1:14" x14ac:dyDescent="0.25">
      <c r="A32" s="7"/>
      <c r="B32" s="7"/>
      <c r="C32" s="6" t="str">
        <f>IF(A32="","",COUNTIFS($A$2:A32,A32,$B$2:B32,B32))</f>
        <v/>
      </c>
      <c r="D32" s="7"/>
      <c r="E32" s="7"/>
      <c r="F32" s="7"/>
      <c r="G32" s="7"/>
      <c r="H32" s="7"/>
      <c r="I32" s="7"/>
      <c r="J32" s="7"/>
      <c r="K32" s="7"/>
      <c r="L32" s="7"/>
      <c r="M32" s="6" t="str">
        <f t="shared" si="0"/>
        <v/>
      </c>
      <c r="N32" s="6" t="str">
        <f t="shared" si="1"/>
        <v/>
      </c>
    </row>
    <row r="33" spans="1:14" x14ac:dyDescent="0.25">
      <c r="A33" s="7"/>
      <c r="B33" s="7"/>
      <c r="C33" s="6" t="str">
        <f>IF(A33="","",COUNTIFS($A$2:A33,A33,$B$2:B33,B33))</f>
        <v/>
      </c>
      <c r="D33" s="7"/>
      <c r="E33" s="7"/>
      <c r="F33" s="7"/>
      <c r="G33" s="7"/>
      <c r="H33" s="7"/>
      <c r="I33" s="7"/>
      <c r="J33" s="7"/>
      <c r="K33" s="7"/>
      <c r="L33" s="7"/>
      <c r="M33" s="6" t="str">
        <f t="shared" si="0"/>
        <v/>
      </c>
      <c r="N33" s="6" t="str">
        <f t="shared" si="1"/>
        <v/>
      </c>
    </row>
    <row r="34" spans="1:14" x14ac:dyDescent="0.25">
      <c r="A34" s="7"/>
      <c r="B34" s="7"/>
      <c r="C34" s="6" t="str">
        <f>IF(A34="","",COUNTIFS($A$2:A34,A34,$B$2:B34,B34))</f>
        <v/>
      </c>
      <c r="D34" s="7"/>
      <c r="E34" s="7"/>
      <c r="F34" s="7"/>
      <c r="G34" s="7"/>
      <c r="H34" s="7"/>
      <c r="I34" s="7"/>
      <c r="J34" s="7"/>
      <c r="K34" s="7"/>
      <c r="L34" s="7"/>
      <c r="M34" s="6" t="str">
        <f t="shared" si="0"/>
        <v/>
      </c>
      <c r="N34" s="6" t="str">
        <f t="shared" si="1"/>
        <v/>
      </c>
    </row>
    <row r="35" spans="1:14" x14ac:dyDescent="0.25">
      <c r="A35" s="7"/>
      <c r="B35" s="7"/>
      <c r="C35" s="6" t="str">
        <f>IF(A35="","",COUNTIFS($A$2:A35,A35,$B$2:B35,B35))</f>
        <v/>
      </c>
      <c r="D35" s="7"/>
      <c r="E35" s="7"/>
      <c r="F35" s="7"/>
      <c r="G35" s="7"/>
      <c r="H35" s="7"/>
      <c r="I35" s="7"/>
      <c r="J35" s="7"/>
      <c r="K35" s="7"/>
      <c r="L35" s="7"/>
      <c r="M35" s="6" t="str">
        <f t="shared" si="0"/>
        <v/>
      </c>
      <c r="N35" s="6" t="str">
        <f t="shared" si="1"/>
        <v/>
      </c>
    </row>
    <row r="36" spans="1:14" x14ac:dyDescent="0.25">
      <c r="A36" s="7"/>
      <c r="B36" s="7"/>
      <c r="C36" s="6" t="str">
        <f>IF(A36="","",COUNTIFS($A$2:A36,A36,$B$2:B36,B36))</f>
        <v/>
      </c>
      <c r="D36" s="7"/>
      <c r="E36" s="7"/>
      <c r="F36" s="7"/>
      <c r="G36" s="7"/>
      <c r="H36" s="7"/>
      <c r="I36" s="7"/>
      <c r="J36" s="7"/>
      <c r="K36" s="7"/>
      <c r="L36" s="7"/>
      <c r="M36" s="6" t="str">
        <f t="shared" si="0"/>
        <v/>
      </c>
      <c r="N36" s="6" t="str">
        <f t="shared" si="1"/>
        <v/>
      </c>
    </row>
    <row r="37" spans="1:14" x14ac:dyDescent="0.25">
      <c r="A37" s="7"/>
      <c r="B37" s="7"/>
      <c r="C37" s="6" t="str">
        <f>IF(A37="","",COUNTIFS($A$2:A37,A37,$B$2:B37,B37))</f>
        <v/>
      </c>
      <c r="D37" s="7"/>
      <c r="E37" s="7"/>
      <c r="F37" s="7"/>
      <c r="G37" s="7"/>
      <c r="H37" s="7"/>
      <c r="I37" s="7"/>
      <c r="J37" s="7"/>
      <c r="K37" s="7"/>
      <c r="L37" s="7"/>
      <c r="M37" s="6" t="str">
        <f t="shared" si="0"/>
        <v/>
      </c>
      <c r="N37" s="6" t="str">
        <f t="shared" si="1"/>
        <v/>
      </c>
    </row>
    <row r="38" spans="1:14" x14ac:dyDescent="0.25">
      <c r="A38" s="7"/>
      <c r="B38" s="7"/>
      <c r="C38" s="6" t="str">
        <f>IF(A38="","",COUNTIFS($A$2:A38,A38,$B$2:B38,B38))</f>
        <v/>
      </c>
      <c r="D38" s="7"/>
      <c r="E38" s="7"/>
      <c r="F38" s="7"/>
      <c r="G38" s="7"/>
      <c r="H38" s="7"/>
      <c r="I38" s="7"/>
      <c r="J38" s="7"/>
      <c r="K38" s="7"/>
      <c r="L38" s="7"/>
      <c r="M38" s="6" t="str">
        <f t="shared" si="0"/>
        <v/>
      </c>
      <c r="N38" s="6" t="str">
        <f t="shared" si="1"/>
        <v/>
      </c>
    </row>
    <row r="39" spans="1:14" x14ac:dyDescent="0.25">
      <c r="A39" s="7"/>
      <c r="B39" s="7"/>
      <c r="C39" s="6" t="str">
        <f>IF(A39="","",COUNTIFS($A$2:A39,A39,$B$2:B39,B39))</f>
        <v/>
      </c>
      <c r="D39" s="7"/>
      <c r="E39" s="7"/>
      <c r="F39" s="7"/>
      <c r="G39" s="7"/>
      <c r="H39" s="7"/>
      <c r="I39" s="7"/>
      <c r="J39" s="7"/>
      <c r="K39" s="7"/>
      <c r="L39" s="7"/>
      <c r="M39" s="6" t="str">
        <f t="shared" si="0"/>
        <v/>
      </c>
      <c r="N39" s="6" t="str">
        <f t="shared" si="1"/>
        <v/>
      </c>
    </row>
    <row r="40" spans="1:14" x14ac:dyDescent="0.25">
      <c r="A40" s="7"/>
      <c r="B40" s="7"/>
      <c r="C40" s="6" t="str">
        <f>IF(A40="","",COUNTIFS($A$2:A40,A40,$B$2:B40,B40))</f>
        <v/>
      </c>
      <c r="D40" s="7"/>
      <c r="E40" s="7"/>
      <c r="F40" s="7"/>
      <c r="G40" s="7"/>
      <c r="H40" s="7"/>
      <c r="I40" s="7"/>
      <c r="J40" s="7"/>
      <c r="K40" s="7"/>
      <c r="L40" s="7"/>
      <c r="M40" s="6" t="str">
        <f t="shared" si="0"/>
        <v/>
      </c>
      <c r="N40" s="6" t="str">
        <f t="shared" si="1"/>
        <v/>
      </c>
    </row>
    <row r="41" spans="1:14" x14ac:dyDescent="0.25">
      <c r="A41" s="7"/>
      <c r="B41" s="7"/>
      <c r="C41" s="6" t="str">
        <f>IF(A41="","",COUNTIFS($A$2:A41,A41,$B$2:B41,B41))</f>
        <v/>
      </c>
      <c r="D41" s="7"/>
      <c r="E41" s="7"/>
      <c r="F41" s="7"/>
      <c r="G41" s="7"/>
      <c r="H41" s="7"/>
      <c r="I41" s="7"/>
      <c r="J41" s="7"/>
      <c r="K41" s="7"/>
      <c r="L41" s="7"/>
      <c r="M41" s="6" t="str">
        <f t="shared" si="0"/>
        <v/>
      </c>
      <c r="N41" s="6" t="str">
        <f t="shared" si="1"/>
        <v/>
      </c>
    </row>
    <row r="42" spans="1:14" x14ac:dyDescent="0.25">
      <c r="A42" s="7"/>
      <c r="B42" s="7"/>
      <c r="C42" s="6" t="str">
        <f>IF(A42="","",COUNTIFS($A$2:A42,A42,$B$2:B42,B42))</f>
        <v/>
      </c>
      <c r="D42" s="7"/>
      <c r="E42" s="7"/>
      <c r="F42" s="7"/>
      <c r="G42" s="7"/>
      <c r="H42" s="7"/>
      <c r="I42" s="7"/>
      <c r="J42" s="7"/>
      <c r="K42" s="7"/>
      <c r="L42" s="7"/>
      <c r="M42" s="6" t="str">
        <f t="shared" si="0"/>
        <v/>
      </c>
      <c r="N42" s="6" t="str">
        <f t="shared" si="1"/>
        <v/>
      </c>
    </row>
    <row r="43" spans="1:14" x14ac:dyDescent="0.25">
      <c r="A43" s="7"/>
      <c r="B43" s="7"/>
      <c r="C43" s="6" t="str">
        <f>IF(A43="","",COUNTIFS($A$2:A43,A43,$B$2:B43,B43))</f>
        <v/>
      </c>
      <c r="D43" s="7"/>
      <c r="E43" s="7"/>
      <c r="F43" s="7"/>
      <c r="G43" s="7"/>
      <c r="H43" s="7"/>
      <c r="I43" s="7"/>
      <c r="J43" s="7"/>
      <c r="K43" s="7"/>
      <c r="L43" s="7"/>
      <c r="M43" s="6" t="str">
        <f t="shared" si="0"/>
        <v/>
      </c>
      <c r="N43" s="6" t="str">
        <f t="shared" si="1"/>
        <v/>
      </c>
    </row>
    <row r="44" spans="1:14" x14ac:dyDescent="0.25">
      <c r="A44" s="7"/>
      <c r="B44" s="7"/>
      <c r="C44" s="6" t="str">
        <f>IF(A44="","",COUNTIFS($A$2:A44,A44,$B$2:B44,B44))</f>
        <v/>
      </c>
      <c r="D44" s="7"/>
      <c r="E44" s="7"/>
      <c r="F44" s="7"/>
      <c r="G44" s="7"/>
      <c r="H44" s="7"/>
      <c r="I44" s="7"/>
      <c r="J44" s="7"/>
      <c r="K44" s="7"/>
      <c r="L44" s="7"/>
      <c r="M44" s="6" t="str">
        <f t="shared" si="0"/>
        <v/>
      </c>
      <c r="N44" s="6" t="str">
        <f t="shared" si="1"/>
        <v/>
      </c>
    </row>
    <row r="45" spans="1:14" x14ac:dyDescent="0.25">
      <c r="A45" s="7"/>
      <c r="B45" s="7"/>
      <c r="C45" s="6" t="str">
        <f>IF(A45="","",COUNTIFS($A$2:A45,A45,$B$2:B45,B45))</f>
        <v/>
      </c>
      <c r="D45" s="7"/>
      <c r="E45" s="7"/>
      <c r="F45" s="7"/>
      <c r="G45" s="7"/>
      <c r="H45" s="7"/>
      <c r="I45" s="7"/>
      <c r="J45" s="7"/>
      <c r="K45" s="7"/>
      <c r="L45" s="7"/>
      <c r="M45" s="6" t="str">
        <f t="shared" si="0"/>
        <v/>
      </c>
      <c r="N45" s="6" t="str">
        <f t="shared" si="1"/>
        <v/>
      </c>
    </row>
    <row r="46" spans="1:14" x14ac:dyDescent="0.25">
      <c r="A46" s="7"/>
      <c r="B46" s="7"/>
      <c r="C46" s="6" t="str">
        <f>IF(A46="","",COUNTIFS($A$2:A46,A46,$B$2:B46,B46))</f>
        <v/>
      </c>
      <c r="D46" s="7"/>
      <c r="E46" s="7"/>
      <c r="F46" s="7"/>
      <c r="G46" s="7"/>
      <c r="H46" s="7"/>
      <c r="I46" s="7"/>
      <c r="J46" s="7"/>
      <c r="K46" s="7"/>
      <c r="L46" s="7"/>
      <c r="M46" s="6" t="str">
        <f t="shared" si="0"/>
        <v/>
      </c>
      <c r="N46" s="6" t="str">
        <f t="shared" si="1"/>
        <v/>
      </c>
    </row>
    <row r="47" spans="1:14" x14ac:dyDescent="0.25">
      <c r="A47" s="7"/>
      <c r="B47" s="7"/>
      <c r="C47" s="6" t="str">
        <f>IF(A47="","",COUNTIFS($A$2:A47,A47,$B$2:B47,B47))</f>
        <v/>
      </c>
      <c r="D47" s="7"/>
      <c r="E47" s="7"/>
      <c r="F47" s="7"/>
      <c r="G47" s="7"/>
      <c r="H47" s="7"/>
      <c r="I47" s="7"/>
      <c r="J47" s="7"/>
      <c r="K47" s="7"/>
      <c r="L47" s="7"/>
      <c r="M47" s="6" t="str">
        <f t="shared" si="0"/>
        <v/>
      </c>
      <c r="N47" s="6" t="str">
        <f t="shared" si="1"/>
        <v/>
      </c>
    </row>
    <row r="48" spans="1:14" x14ac:dyDescent="0.25">
      <c r="A48" s="7"/>
      <c r="B48" s="7"/>
      <c r="C48" s="6" t="str">
        <f>IF(A48="","",COUNTIFS($A$2:A48,A48,$B$2:B48,B48))</f>
        <v/>
      </c>
      <c r="D48" s="7"/>
      <c r="E48" s="7"/>
      <c r="F48" s="7"/>
      <c r="G48" s="7"/>
      <c r="H48" s="7"/>
      <c r="I48" s="7"/>
      <c r="J48" s="7"/>
      <c r="K48" s="7"/>
      <c r="L48" s="7"/>
      <c r="M48" s="6" t="str">
        <f t="shared" si="0"/>
        <v/>
      </c>
      <c r="N48" s="6" t="str">
        <f t="shared" si="1"/>
        <v/>
      </c>
    </row>
    <row r="49" spans="1:14" x14ac:dyDescent="0.25">
      <c r="A49" s="7"/>
      <c r="B49" s="7"/>
      <c r="C49" s="6" t="str">
        <f>IF(A49="","",COUNTIFS($A$2:A49,A49,$B$2:B49,B49))</f>
        <v/>
      </c>
      <c r="D49" s="7"/>
      <c r="E49" s="7"/>
      <c r="F49" s="7"/>
      <c r="G49" s="7"/>
      <c r="H49" s="7"/>
      <c r="I49" s="7"/>
      <c r="J49" s="7"/>
      <c r="K49" s="7"/>
      <c r="L49" s="7"/>
      <c r="M49" s="6" t="str">
        <f t="shared" si="0"/>
        <v/>
      </c>
      <c r="N49" s="6" t="str">
        <f t="shared" si="1"/>
        <v/>
      </c>
    </row>
    <row r="50" spans="1:14" x14ac:dyDescent="0.25">
      <c r="A50" s="7"/>
      <c r="B50" s="7"/>
      <c r="C50" s="6" t="str">
        <f>IF(A50="","",COUNTIFS($A$2:A50,A50,$B$2:B50,B50))</f>
        <v/>
      </c>
      <c r="D50" s="7"/>
      <c r="E50" s="7"/>
      <c r="F50" s="7"/>
      <c r="G50" s="7"/>
      <c r="H50" s="7"/>
      <c r="I50" s="7"/>
      <c r="J50" s="7"/>
      <c r="K50" s="7"/>
      <c r="L50" s="7"/>
      <c r="M50" s="6" t="str">
        <f t="shared" si="0"/>
        <v/>
      </c>
      <c r="N50" s="6" t="str">
        <f t="shared" si="1"/>
        <v/>
      </c>
    </row>
    <row r="51" spans="1:14" x14ac:dyDescent="0.25">
      <c r="A51" s="7"/>
      <c r="B51" s="7"/>
      <c r="C51" s="6" t="str">
        <f>IF(A51="","",COUNTIFS($A$2:A51,A51,$B$2:B51,B51))</f>
        <v/>
      </c>
      <c r="D51" s="7"/>
      <c r="E51" s="7"/>
      <c r="F51" s="7"/>
      <c r="G51" s="7"/>
      <c r="H51" s="7"/>
      <c r="I51" s="7"/>
      <c r="J51" s="7"/>
      <c r="K51" s="7"/>
      <c r="L51" s="7"/>
      <c r="M51" s="6" t="str">
        <f t="shared" si="0"/>
        <v/>
      </c>
      <c r="N51" s="6" t="str">
        <f t="shared" si="1"/>
        <v/>
      </c>
    </row>
    <row r="52" spans="1:14" x14ac:dyDescent="0.25">
      <c r="A52" s="7"/>
      <c r="B52" s="7"/>
      <c r="C52" s="6" t="str">
        <f>IF(A52="","",COUNTIFS($A$2:A52,A52,$B$2:B52,B52))</f>
        <v/>
      </c>
      <c r="D52" s="7"/>
      <c r="E52" s="7"/>
      <c r="F52" s="7"/>
      <c r="G52" s="7"/>
      <c r="H52" s="7"/>
      <c r="I52" s="7"/>
      <c r="J52" s="7"/>
      <c r="K52" s="7"/>
      <c r="L52" s="7"/>
      <c r="M52" s="6" t="str">
        <f t="shared" si="0"/>
        <v/>
      </c>
      <c r="N52" s="6" t="str">
        <f t="shared" si="1"/>
        <v/>
      </c>
    </row>
    <row r="53" spans="1:14" x14ac:dyDescent="0.25">
      <c r="A53" s="7"/>
      <c r="B53" s="7"/>
      <c r="C53" s="6" t="str">
        <f>IF(A53="","",COUNTIFS($A$2:A53,A53,$B$2:B53,B53))</f>
        <v/>
      </c>
      <c r="D53" s="7"/>
      <c r="E53" s="7"/>
      <c r="F53" s="7"/>
      <c r="G53" s="7"/>
      <c r="H53" s="7"/>
      <c r="I53" s="7"/>
      <c r="J53" s="7"/>
      <c r="K53" s="7"/>
      <c r="L53" s="7"/>
      <c r="M53" s="6" t="str">
        <f t="shared" si="0"/>
        <v/>
      </c>
      <c r="N53" s="6" t="str">
        <f t="shared" si="1"/>
        <v/>
      </c>
    </row>
    <row r="54" spans="1:14" x14ac:dyDescent="0.25">
      <c r="A54" s="7"/>
      <c r="B54" s="7"/>
      <c r="C54" s="6" t="str">
        <f>IF(A54="","",COUNTIFS($A$2:A54,A54,$B$2:B54,B54))</f>
        <v/>
      </c>
      <c r="D54" s="7"/>
      <c r="E54" s="7"/>
      <c r="F54" s="7"/>
      <c r="G54" s="7"/>
      <c r="H54" s="7"/>
      <c r="I54" s="7"/>
      <c r="J54" s="7"/>
      <c r="K54" s="7"/>
      <c r="L54" s="7"/>
      <c r="M54" s="6" t="str">
        <f t="shared" si="0"/>
        <v/>
      </c>
      <c r="N54" s="6" t="str">
        <f t="shared" si="1"/>
        <v/>
      </c>
    </row>
    <row r="55" spans="1:14" x14ac:dyDescent="0.25">
      <c r="A55" s="7"/>
      <c r="B55" s="7"/>
      <c r="C55" s="6" t="str">
        <f>IF(A55="","",COUNTIFS($A$2:A55,A55,$B$2:B55,B55))</f>
        <v/>
      </c>
      <c r="D55" s="7"/>
      <c r="E55" s="7"/>
      <c r="F55" s="7"/>
      <c r="G55" s="7"/>
      <c r="H55" s="7"/>
      <c r="I55" s="7"/>
      <c r="J55" s="7"/>
      <c r="K55" s="7"/>
      <c r="L55" s="7"/>
      <c r="M55" s="6" t="str">
        <f t="shared" si="0"/>
        <v/>
      </c>
      <c r="N55" s="6" t="str">
        <f t="shared" si="1"/>
        <v/>
      </c>
    </row>
    <row r="56" spans="1:14" x14ac:dyDescent="0.25">
      <c r="A56" s="7"/>
      <c r="B56" s="7"/>
      <c r="C56" s="6" t="str">
        <f>IF(A56="","",COUNTIFS($A$2:A56,A56,$B$2:B56,B56))</f>
        <v/>
      </c>
      <c r="D56" s="7"/>
      <c r="E56" s="7"/>
      <c r="F56" s="7"/>
      <c r="G56" s="7"/>
      <c r="H56" s="7"/>
      <c r="I56" s="7"/>
      <c r="J56" s="7"/>
      <c r="K56" s="7"/>
      <c r="L56" s="7"/>
      <c r="M56" s="6" t="str">
        <f t="shared" si="0"/>
        <v/>
      </c>
      <c r="N56" s="6" t="str">
        <f t="shared" si="1"/>
        <v/>
      </c>
    </row>
    <row r="57" spans="1:14" x14ac:dyDescent="0.25">
      <c r="A57" s="7"/>
      <c r="B57" s="7"/>
      <c r="C57" s="6" t="str">
        <f>IF(A57="","",COUNTIFS($A$2:A57,A57,$B$2:B57,B57))</f>
        <v/>
      </c>
      <c r="D57" s="7"/>
      <c r="E57" s="7"/>
      <c r="F57" s="7"/>
      <c r="G57" s="7"/>
      <c r="H57" s="7"/>
      <c r="I57" s="7"/>
      <c r="J57" s="7"/>
      <c r="K57" s="7"/>
      <c r="L57" s="7"/>
      <c r="M57" s="6" t="str">
        <f t="shared" si="0"/>
        <v/>
      </c>
      <c r="N57" s="6" t="str">
        <f t="shared" si="1"/>
        <v/>
      </c>
    </row>
    <row r="58" spans="1:14" x14ac:dyDescent="0.25">
      <c r="A58" s="7"/>
      <c r="B58" s="7"/>
      <c r="C58" s="6" t="str">
        <f>IF(A58="","",COUNTIFS($A$2:A58,A58,$B$2:B58,B58))</f>
        <v/>
      </c>
      <c r="D58" s="7"/>
      <c r="E58" s="7"/>
      <c r="F58" s="7"/>
      <c r="G58" s="7"/>
      <c r="H58" s="7"/>
      <c r="I58" s="7"/>
      <c r="J58" s="7"/>
      <c r="K58" s="7"/>
      <c r="L58" s="7"/>
      <c r="M58" s="6" t="str">
        <f t="shared" si="0"/>
        <v/>
      </c>
      <c r="N58" s="6" t="str">
        <f t="shared" si="1"/>
        <v/>
      </c>
    </row>
    <row r="59" spans="1:14" x14ac:dyDescent="0.25">
      <c r="A59" s="7"/>
      <c r="B59" s="7"/>
      <c r="C59" s="6" t="str">
        <f>IF(A59="","",COUNTIFS($A$2:A59,A59,$B$2:B59,B59))</f>
        <v/>
      </c>
      <c r="D59" s="7"/>
      <c r="E59" s="7"/>
      <c r="F59" s="7"/>
      <c r="G59" s="7"/>
      <c r="H59" s="7"/>
      <c r="I59" s="7"/>
      <c r="J59" s="7"/>
      <c r="K59" s="7"/>
      <c r="L59" s="7"/>
      <c r="M59" s="6" t="str">
        <f t="shared" si="0"/>
        <v/>
      </c>
      <c r="N59" s="6" t="str">
        <f t="shared" si="1"/>
        <v/>
      </c>
    </row>
    <row r="60" spans="1:14" x14ac:dyDescent="0.25">
      <c r="A60" s="7"/>
      <c r="B60" s="7"/>
      <c r="C60" s="6" t="str">
        <f>IF(A60="","",COUNTIFS($A$2:A60,A60,$B$2:B60,B60))</f>
        <v/>
      </c>
      <c r="D60" s="7"/>
      <c r="E60" s="7"/>
      <c r="F60" s="7"/>
      <c r="G60" s="7"/>
      <c r="H60" s="7"/>
      <c r="I60" s="7"/>
      <c r="J60" s="7"/>
      <c r="K60" s="7"/>
      <c r="L60" s="7"/>
      <c r="M60" s="6" t="str">
        <f t="shared" si="0"/>
        <v/>
      </c>
      <c r="N60" s="6" t="str">
        <f t="shared" si="1"/>
        <v/>
      </c>
    </row>
    <row r="61" spans="1:14" x14ac:dyDescent="0.25">
      <c r="A61" s="7"/>
      <c r="B61" s="7"/>
      <c r="C61" s="6" t="str">
        <f>IF(A61="","",COUNTIFS($A$2:A61,A61,$B$2:B61,B61))</f>
        <v/>
      </c>
      <c r="D61" s="7"/>
      <c r="E61" s="7"/>
      <c r="F61" s="7"/>
      <c r="G61" s="7"/>
      <c r="H61" s="7"/>
      <c r="I61" s="7"/>
      <c r="J61" s="7"/>
      <c r="K61" s="7"/>
      <c r="L61" s="7"/>
      <c r="M61" s="6" t="str">
        <f t="shared" si="0"/>
        <v/>
      </c>
      <c r="N61" s="6" t="str">
        <f t="shared" si="1"/>
        <v/>
      </c>
    </row>
    <row r="62" spans="1:14" x14ac:dyDescent="0.25">
      <c r="A62" s="7"/>
      <c r="B62" s="7"/>
      <c r="C62" s="6" t="str">
        <f>IF(A62="","",COUNTIFS($A$2:A62,A62,$B$2:B62,B62))</f>
        <v/>
      </c>
      <c r="D62" s="7"/>
      <c r="E62" s="7"/>
      <c r="F62" s="7"/>
      <c r="G62" s="7"/>
      <c r="H62" s="7"/>
      <c r="I62" s="7"/>
      <c r="J62" s="7"/>
      <c r="K62" s="7"/>
      <c r="L62" s="7"/>
      <c r="M62" s="6" t="str">
        <f t="shared" si="0"/>
        <v/>
      </c>
      <c r="N62" s="6" t="str">
        <f t="shared" si="1"/>
        <v/>
      </c>
    </row>
    <row r="63" spans="1:14" x14ac:dyDescent="0.25">
      <c r="A63" s="7"/>
      <c r="B63" s="7"/>
      <c r="C63" s="6" t="str">
        <f>IF(A63="","",COUNTIFS($A$2:A63,A63,$B$2:B63,B63))</f>
        <v/>
      </c>
      <c r="D63" s="7"/>
      <c r="E63" s="7"/>
      <c r="F63" s="7"/>
      <c r="G63" s="7"/>
      <c r="H63" s="7"/>
      <c r="I63" s="7"/>
      <c r="J63" s="7"/>
      <c r="K63" s="7"/>
      <c r="L63" s="7"/>
      <c r="M63" s="6" t="str">
        <f t="shared" si="0"/>
        <v/>
      </c>
      <c r="N63" s="6" t="str">
        <f t="shared" si="1"/>
        <v/>
      </c>
    </row>
    <row r="64" spans="1:14" x14ac:dyDescent="0.25">
      <c r="A64" s="7"/>
      <c r="B64" s="7"/>
      <c r="C64" s="6" t="str">
        <f>IF(A64="","",COUNTIFS($A$2:A64,A64,$B$2:B64,B64))</f>
        <v/>
      </c>
      <c r="D64" s="7"/>
      <c r="E64" s="7"/>
      <c r="F64" s="7"/>
      <c r="G64" s="7"/>
      <c r="H64" s="7"/>
      <c r="I64" s="7"/>
      <c r="J64" s="7"/>
      <c r="K64" s="7"/>
      <c r="L64" s="7"/>
      <c r="M64" s="6" t="str">
        <f t="shared" si="0"/>
        <v/>
      </c>
      <c r="N64" s="6" t="str">
        <f t="shared" si="1"/>
        <v/>
      </c>
    </row>
    <row r="65" spans="1:14" x14ac:dyDescent="0.25">
      <c r="A65" s="7"/>
      <c r="B65" s="7"/>
      <c r="C65" s="6" t="str">
        <f>IF(A65="","",COUNTIFS($A$2:A65,A65,$B$2:B65,B65))</f>
        <v/>
      </c>
      <c r="D65" s="7"/>
      <c r="E65" s="7"/>
      <c r="F65" s="7"/>
      <c r="G65" s="7"/>
      <c r="H65" s="7"/>
      <c r="I65" s="7"/>
      <c r="J65" s="7"/>
      <c r="K65" s="7"/>
      <c r="L65" s="7"/>
      <c r="M65" s="6" t="str">
        <f t="shared" si="0"/>
        <v/>
      </c>
      <c r="N65" s="6" t="str">
        <f t="shared" si="1"/>
        <v/>
      </c>
    </row>
    <row r="66" spans="1:14" x14ac:dyDescent="0.25">
      <c r="A66" s="7"/>
      <c r="B66" s="7"/>
      <c r="C66" s="6" t="str">
        <f>IF(A66="","",COUNTIFS($A$2:A66,A66,$B$2:B66,B66))</f>
        <v/>
      </c>
      <c r="D66" s="7"/>
      <c r="E66" s="7"/>
      <c r="F66" s="7"/>
      <c r="G66" s="7"/>
      <c r="H66" s="7"/>
      <c r="I66" s="7"/>
      <c r="J66" s="7"/>
      <c r="K66" s="7"/>
      <c r="L66" s="7"/>
      <c r="M66" s="6" t="str">
        <f t="shared" ref="M66:M129" si="2">IF(D66="","",IF(OR(E66="",F66=""),"",IF(TRIM(IF(AND(E66="hecho",F66="INCORRECTA"),"INC ","")&amp;IF(AND(E66="abstencion",F66="INCORRECTA"),"ABS-E ","")&amp;IF(AND(E66="hecho",F66="FUERA_REF",H66="no_resp"),"NO-ABS ","")&amp;IF(AND(E66="hecho",I66="SIN-RESPALDO"),"SIN-R ","")&amp;IF(AND(E66="hecho",I66="CITA-X"),"CITA-X ","")&amp;IF(AND(E66="hecho",I66="SIN-CITA"),"SIN-C ",""))="","-",TRIM(IF(AND(E66="hecho",F66="INCORRECTA"),"INC ","")&amp;IF(AND(E66="abstencion",F66="INCORRECTA"),"ABS-E ","")&amp;IF(AND(E66="hecho",F66="FUERA_REF",H66="no_resp"),"NO-ABS ","")&amp;IF(AND(E66="hecho",I66="SIN-RESPALDO"),"SIN-R ","")&amp;IF(AND(E66="hecho",I66="CITA-X"),"CITA-X ","")&amp;IF(AND(E66="hecho",I66="SIN-CITA"),"SIN-C ","")))))</f>
        <v/>
      </c>
      <c r="N66" s="6" t="str">
        <f t="shared" ref="N66:N129" si="3">IF(D66="","",IF(OR(A66="",B66="",E66="",F66=""),"falta qid, modo, tipo o vs_ref",IF(AND(B66="llm",I66&lt;&gt;""),"respaldo no aplica en modo LLM",IF(AND(E66="abstencion",I66&lt;&gt;""),"una abstención no se califica en citas",IF(AND(B66="rag",E66="hecho",I66=""),"falta respaldo","ok")))))</f>
        <v/>
      </c>
    </row>
    <row r="67" spans="1:14" x14ac:dyDescent="0.25">
      <c r="A67" s="7"/>
      <c r="B67" s="7"/>
      <c r="C67" s="6" t="str">
        <f>IF(A67="","",COUNTIFS($A$2:A67,A67,$B$2:B67,B67))</f>
        <v/>
      </c>
      <c r="D67" s="7"/>
      <c r="E67" s="7"/>
      <c r="F67" s="7"/>
      <c r="G67" s="7"/>
      <c r="H67" s="7"/>
      <c r="I67" s="7"/>
      <c r="J67" s="7"/>
      <c r="K67" s="7"/>
      <c r="L67" s="7"/>
      <c r="M67" s="6" t="str">
        <f t="shared" si="2"/>
        <v/>
      </c>
      <c r="N67" s="6" t="str">
        <f t="shared" si="3"/>
        <v/>
      </c>
    </row>
    <row r="68" spans="1:14" x14ac:dyDescent="0.25">
      <c r="A68" s="7"/>
      <c r="B68" s="7"/>
      <c r="C68" s="6" t="str">
        <f>IF(A68="","",COUNTIFS($A$2:A68,A68,$B$2:B68,B68))</f>
        <v/>
      </c>
      <c r="D68" s="7"/>
      <c r="E68" s="7"/>
      <c r="F68" s="7"/>
      <c r="G68" s="7"/>
      <c r="H68" s="7"/>
      <c r="I68" s="7"/>
      <c r="J68" s="7"/>
      <c r="K68" s="7"/>
      <c r="L68" s="7"/>
      <c r="M68" s="6" t="str">
        <f t="shared" si="2"/>
        <v/>
      </c>
      <c r="N68" s="6" t="str">
        <f t="shared" si="3"/>
        <v/>
      </c>
    </row>
    <row r="69" spans="1:14" x14ac:dyDescent="0.25">
      <c r="A69" s="7"/>
      <c r="B69" s="7"/>
      <c r="C69" s="6" t="str">
        <f>IF(A69="","",COUNTIFS($A$2:A69,A69,$B$2:B69,B69))</f>
        <v/>
      </c>
      <c r="D69" s="7"/>
      <c r="E69" s="7"/>
      <c r="F69" s="7"/>
      <c r="G69" s="7"/>
      <c r="H69" s="7"/>
      <c r="I69" s="7"/>
      <c r="J69" s="7"/>
      <c r="K69" s="7"/>
      <c r="L69" s="7"/>
      <c r="M69" s="6" t="str">
        <f t="shared" si="2"/>
        <v/>
      </c>
      <c r="N69" s="6" t="str">
        <f t="shared" si="3"/>
        <v/>
      </c>
    </row>
    <row r="70" spans="1:14" x14ac:dyDescent="0.25">
      <c r="A70" s="7"/>
      <c r="B70" s="7"/>
      <c r="C70" s="6" t="str">
        <f>IF(A70="","",COUNTIFS($A$2:A70,A70,$B$2:B70,B70))</f>
        <v/>
      </c>
      <c r="D70" s="7"/>
      <c r="E70" s="7"/>
      <c r="F70" s="7"/>
      <c r="G70" s="7"/>
      <c r="H70" s="7"/>
      <c r="I70" s="7"/>
      <c r="J70" s="7"/>
      <c r="K70" s="7"/>
      <c r="L70" s="7"/>
      <c r="M70" s="6" t="str">
        <f t="shared" si="2"/>
        <v/>
      </c>
      <c r="N70" s="6" t="str">
        <f t="shared" si="3"/>
        <v/>
      </c>
    </row>
    <row r="71" spans="1:14" x14ac:dyDescent="0.25">
      <c r="A71" s="7"/>
      <c r="B71" s="7"/>
      <c r="C71" s="6" t="str">
        <f>IF(A71="","",COUNTIFS($A$2:A71,A71,$B$2:B71,B71))</f>
        <v/>
      </c>
      <c r="D71" s="7"/>
      <c r="E71" s="7"/>
      <c r="F71" s="7"/>
      <c r="G71" s="7"/>
      <c r="H71" s="7"/>
      <c r="I71" s="7"/>
      <c r="J71" s="7"/>
      <c r="K71" s="7"/>
      <c r="L71" s="7"/>
      <c r="M71" s="6" t="str">
        <f t="shared" si="2"/>
        <v/>
      </c>
      <c r="N71" s="6" t="str">
        <f t="shared" si="3"/>
        <v/>
      </c>
    </row>
    <row r="72" spans="1:14" x14ac:dyDescent="0.25">
      <c r="A72" s="7"/>
      <c r="B72" s="7"/>
      <c r="C72" s="6" t="str">
        <f>IF(A72="","",COUNTIFS($A$2:A72,A72,$B$2:B72,B72))</f>
        <v/>
      </c>
      <c r="D72" s="7"/>
      <c r="E72" s="7"/>
      <c r="F72" s="7"/>
      <c r="G72" s="7"/>
      <c r="H72" s="7"/>
      <c r="I72" s="7"/>
      <c r="J72" s="7"/>
      <c r="K72" s="7"/>
      <c r="L72" s="7"/>
      <c r="M72" s="6" t="str">
        <f t="shared" si="2"/>
        <v/>
      </c>
      <c r="N72" s="6" t="str">
        <f t="shared" si="3"/>
        <v/>
      </c>
    </row>
    <row r="73" spans="1:14" x14ac:dyDescent="0.25">
      <c r="A73" s="7"/>
      <c r="B73" s="7"/>
      <c r="C73" s="6" t="str">
        <f>IF(A73="","",COUNTIFS($A$2:A73,A73,$B$2:B73,B73))</f>
        <v/>
      </c>
      <c r="D73" s="7"/>
      <c r="E73" s="7"/>
      <c r="F73" s="7"/>
      <c r="G73" s="7"/>
      <c r="H73" s="7"/>
      <c r="I73" s="7"/>
      <c r="J73" s="7"/>
      <c r="K73" s="7"/>
      <c r="L73" s="7"/>
      <c r="M73" s="6" t="str">
        <f t="shared" si="2"/>
        <v/>
      </c>
      <c r="N73" s="6" t="str">
        <f t="shared" si="3"/>
        <v/>
      </c>
    </row>
    <row r="74" spans="1:14" x14ac:dyDescent="0.25">
      <c r="A74" s="7"/>
      <c r="B74" s="7"/>
      <c r="C74" s="6" t="str">
        <f>IF(A74="","",COUNTIFS($A$2:A74,A74,$B$2:B74,B74))</f>
        <v/>
      </c>
      <c r="D74" s="7"/>
      <c r="E74" s="7"/>
      <c r="F74" s="7"/>
      <c r="G74" s="7"/>
      <c r="H74" s="7"/>
      <c r="I74" s="7"/>
      <c r="J74" s="7"/>
      <c r="K74" s="7"/>
      <c r="L74" s="7"/>
      <c r="M74" s="6" t="str">
        <f t="shared" si="2"/>
        <v/>
      </c>
      <c r="N74" s="6" t="str">
        <f t="shared" si="3"/>
        <v/>
      </c>
    </row>
    <row r="75" spans="1:14" x14ac:dyDescent="0.25">
      <c r="A75" s="7"/>
      <c r="B75" s="7"/>
      <c r="C75" s="6" t="str">
        <f>IF(A75="","",COUNTIFS($A$2:A75,A75,$B$2:B75,B75))</f>
        <v/>
      </c>
      <c r="D75" s="7"/>
      <c r="E75" s="7"/>
      <c r="F75" s="7"/>
      <c r="G75" s="7"/>
      <c r="H75" s="7"/>
      <c r="I75" s="7"/>
      <c r="J75" s="7"/>
      <c r="K75" s="7"/>
      <c r="L75" s="7"/>
      <c r="M75" s="6" t="str">
        <f t="shared" si="2"/>
        <v/>
      </c>
      <c r="N75" s="6" t="str">
        <f t="shared" si="3"/>
        <v/>
      </c>
    </row>
    <row r="76" spans="1:14" x14ac:dyDescent="0.25">
      <c r="A76" s="7"/>
      <c r="B76" s="7"/>
      <c r="C76" s="6" t="str">
        <f>IF(A76="","",COUNTIFS($A$2:A76,A76,$B$2:B76,B76))</f>
        <v/>
      </c>
      <c r="D76" s="7"/>
      <c r="E76" s="7"/>
      <c r="F76" s="7"/>
      <c r="G76" s="7"/>
      <c r="H76" s="7"/>
      <c r="I76" s="7"/>
      <c r="J76" s="7"/>
      <c r="K76" s="7"/>
      <c r="L76" s="7"/>
      <c r="M76" s="6" t="str">
        <f t="shared" si="2"/>
        <v/>
      </c>
      <c r="N76" s="6" t="str">
        <f t="shared" si="3"/>
        <v/>
      </c>
    </row>
    <row r="77" spans="1:14" x14ac:dyDescent="0.25">
      <c r="A77" s="7"/>
      <c r="B77" s="7"/>
      <c r="C77" s="6" t="str">
        <f>IF(A77="","",COUNTIFS($A$2:A77,A77,$B$2:B77,B77))</f>
        <v/>
      </c>
      <c r="D77" s="7"/>
      <c r="E77" s="7"/>
      <c r="F77" s="7"/>
      <c r="G77" s="7"/>
      <c r="H77" s="7"/>
      <c r="I77" s="7"/>
      <c r="J77" s="7"/>
      <c r="K77" s="7"/>
      <c r="L77" s="7"/>
      <c r="M77" s="6" t="str">
        <f t="shared" si="2"/>
        <v/>
      </c>
      <c r="N77" s="6" t="str">
        <f t="shared" si="3"/>
        <v/>
      </c>
    </row>
    <row r="78" spans="1:14" x14ac:dyDescent="0.25">
      <c r="A78" s="7"/>
      <c r="B78" s="7"/>
      <c r="C78" s="6" t="str">
        <f>IF(A78="","",COUNTIFS($A$2:A78,A78,$B$2:B78,B78))</f>
        <v/>
      </c>
      <c r="D78" s="7"/>
      <c r="E78" s="7"/>
      <c r="F78" s="7"/>
      <c r="G78" s="7"/>
      <c r="H78" s="7"/>
      <c r="I78" s="7"/>
      <c r="J78" s="7"/>
      <c r="K78" s="7"/>
      <c r="L78" s="7"/>
      <c r="M78" s="6" t="str">
        <f t="shared" si="2"/>
        <v/>
      </c>
      <c r="N78" s="6" t="str">
        <f t="shared" si="3"/>
        <v/>
      </c>
    </row>
    <row r="79" spans="1:14" x14ac:dyDescent="0.25">
      <c r="A79" s="7"/>
      <c r="B79" s="7"/>
      <c r="C79" s="6" t="str">
        <f>IF(A79="","",COUNTIFS($A$2:A79,A79,$B$2:B79,B79))</f>
        <v/>
      </c>
      <c r="D79" s="7"/>
      <c r="E79" s="7"/>
      <c r="F79" s="7"/>
      <c r="G79" s="7"/>
      <c r="H79" s="7"/>
      <c r="I79" s="7"/>
      <c r="J79" s="7"/>
      <c r="K79" s="7"/>
      <c r="L79" s="7"/>
      <c r="M79" s="6" t="str">
        <f t="shared" si="2"/>
        <v/>
      </c>
      <c r="N79" s="6" t="str">
        <f t="shared" si="3"/>
        <v/>
      </c>
    </row>
    <row r="80" spans="1:14" x14ac:dyDescent="0.25">
      <c r="A80" s="7"/>
      <c r="B80" s="7"/>
      <c r="C80" s="6" t="str">
        <f>IF(A80="","",COUNTIFS($A$2:A80,A80,$B$2:B80,B80))</f>
        <v/>
      </c>
      <c r="D80" s="7"/>
      <c r="E80" s="7"/>
      <c r="F80" s="7"/>
      <c r="G80" s="7"/>
      <c r="H80" s="7"/>
      <c r="I80" s="7"/>
      <c r="J80" s="7"/>
      <c r="K80" s="7"/>
      <c r="L80" s="7"/>
      <c r="M80" s="6" t="str">
        <f t="shared" si="2"/>
        <v/>
      </c>
      <c r="N80" s="6" t="str">
        <f t="shared" si="3"/>
        <v/>
      </c>
    </row>
    <row r="81" spans="1:14" x14ac:dyDescent="0.25">
      <c r="A81" s="7"/>
      <c r="B81" s="7"/>
      <c r="C81" s="6" t="str">
        <f>IF(A81="","",COUNTIFS($A$2:A81,A81,$B$2:B81,B81))</f>
        <v/>
      </c>
      <c r="D81" s="7"/>
      <c r="E81" s="7"/>
      <c r="F81" s="7"/>
      <c r="G81" s="7"/>
      <c r="H81" s="7"/>
      <c r="I81" s="7"/>
      <c r="J81" s="7"/>
      <c r="K81" s="7"/>
      <c r="L81" s="7"/>
      <c r="M81" s="6" t="str">
        <f t="shared" si="2"/>
        <v/>
      </c>
      <c r="N81" s="6" t="str">
        <f t="shared" si="3"/>
        <v/>
      </c>
    </row>
    <row r="82" spans="1:14" x14ac:dyDescent="0.25">
      <c r="A82" s="7"/>
      <c r="B82" s="7"/>
      <c r="C82" s="6" t="str">
        <f>IF(A82="","",COUNTIFS($A$2:A82,A82,$B$2:B82,B82))</f>
        <v/>
      </c>
      <c r="D82" s="7"/>
      <c r="E82" s="7"/>
      <c r="F82" s="7"/>
      <c r="G82" s="7"/>
      <c r="H82" s="7"/>
      <c r="I82" s="7"/>
      <c r="J82" s="7"/>
      <c r="K82" s="7"/>
      <c r="L82" s="7"/>
      <c r="M82" s="6" t="str">
        <f t="shared" si="2"/>
        <v/>
      </c>
      <c r="N82" s="6" t="str">
        <f t="shared" si="3"/>
        <v/>
      </c>
    </row>
    <row r="83" spans="1:14" x14ac:dyDescent="0.25">
      <c r="A83" s="7"/>
      <c r="B83" s="7"/>
      <c r="C83" s="6" t="str">
        <f>IF(A83="","",COUNTIFS($A$2:A83,A83,$B$2:B83,B83))</f>
        <v/>
      </c>
      <c r="D83" s="7"/>
      <c r="E83" s="7"/>
      <c r="F83" s="7"/>
      <c r="G83" s="7"/>
      <c r="H83" s="7"/>
      <c r="I83" s="7"/>
      <c r="J83" s="7"/>
      <c r="K83" s="7"/>
      <c r="L83" s="7"/>
      <c r="M83" s="6" t="str">
        <f t="shared" si="2"/>
        <v/>
      </c>
      <c r="N83" s="6" t="str">
        <f t="shared" si="3"/>
        <v/>
      </c>
    </row>
    <row r="84" spans="1:14" x14ac:dyDescent="0.25">
      <c r="A84" s="7"/>
      <c r="B84" s="7"/>
      <c r="C84" s="6" t="str">
        <f>IF(A84="","",COUNTIFS($A$2:A84,A84,$B$2:B84,B84))</f>
        <v/>
      </c>
      <c r="D84" s="7"/>
      <c r="E84" s="7"/>
      <c r="F84" s="7"/>
      <c r="G84" s="7"/>
      <c r="H84" s="7"/>
      <c r="I84" s="7"/>
      <c r="J84" s="7"/>
      <c r="K84" s="7"/>
      <c r="L84" s="7"/>
      <c r="M84" s="6" t="str">
        <f t="shared" si="2"/>
        <v/>
      </c>
      <c r="N84" s="6" t="str">
        <f t="shared" si="3"/>
        <v/>
      </c>
    </row>
    <row r="85" spans="1:14" x14ac:dyDescent="0.25">
      <c r="A85" s="7"/>
      <c r="B85" s="7"/>
      <c r="C85" s="6" t="str">
        <f>IF(A85="","",COUNTIFS($A$2:A85,A85,$B$2:B85,B85))</f>
        <v/>
      </c>
      <c r="D85" s="7"/>
      <c r="E85" s="7"/>
      <c r="F85" s="7"/>
      <c r="G85" s="7"/>
      <c r="H85" s="7"/>
      <c r="I85" s="7"/>
      <c r="J85" s="7"/>
      <c r="K85" s="7"/>
      <c r="L85" s="7"/>
      <c r="M85" s="6" t="str">
        <f t="shared" si="2"/>
        <v/>
      </c>
      <c r="N85" s="6" t="str">
        <f t="shared" si="3"/>
        <v/>
      </c>
    </row>
    <row r="86" spans="1:14" x14ac:dyDescent="0.25">
      <c r="A86" s="7"/>
      <c r="B86" s="7"/>
      <c r="C86" s="6" t="str">
        <f>IF(A86="","",COUNTIFS($A$2:A86,A86,$B$2:B86,B86))</f>
        <v/>
      </c>
      <c r="D86" s="7"/>
      <c r="E86" s="7"/>
      <c r="F86" s="7"/>
      <c r="G86" s="7"/>
      <c r="H86" s="7"/>
      <c r="I86" s="7"/>
      <c r="J86" s="7"/>
      <c r="K86" s="7"/>
      <c r="L86" s="7"/>
      <c r="M86" s="6" t="str">
        <f t="shared" si="2"/>
        <v/>
      </c>
      <c r="N86" s="6" t="str">
        <f t="shared" si="3"/>
        <v/>
      </c>
    </row>
    <row r="87" spans="1:14" x14ac:dyDescent="0.25">
      <c r="A87" s="7"/>
      <c r="B87" s="7"/>
      <c r="C87" s="6" t="str">
        <f>IF(A87="","",COUNTIFS($A$2:A87,A87,$B$2:B87,B87))</f>
        <v/>
      </c>
      <c r="D87" s="7"/>
      <c r="E87" s="7"/>
      <c r="F87" s="7"/>
      <c r="G87" s="7"/>
      <c r="H87" s="7"/>
      <c r="I87" s="7"/>
      <c r="J87" s="7"/>
      <c r="K87" s="7"/>
      <c r="L87" s="7"/>
      <c r="M87" s="6" t="str">
        <f t="shared" si="2"/>
        <v/>
      </c>
      <c r="N87" s="6" t="str">
        <f t="shared" si="3"/>
        <v/>
      </c>
    </row>
    <row r="88" spans="1:14" x14ac:dyDescent="0.25">
      <c r="A88" s="7"/>
      <c r="B88" s="7"/>
      <c r="C88" s="6" t="str">
        <f>IF(A88="","",COUNTIFS($A$2:A88,A88,$B$2:B88,B88))</f>
        <v/>
      </c>
      <c r="D88" s="7"/>
      <c r="E88" s="7"/>
      <c r="F88" s="7"/>
      <c r="G88" s="7"/>
      <c r="H88" s="7"/>
      <c r="I88" s="7"/>
      <c r="J88" s="7"/>
      <c r="K88" s="7"/>
      <c r="L88" s="7"/>
      <c r="M88" s="6" t="str">
        <f t="shared" si="2"/>
        <v/>
      </c>
      <c r="N88" s="6" t="str">
        <f t="shared" si="3"/>
        <v/>
      </c>
    </row>
    <row r="89" spans="1:14" x14ac:dyDescent="0.25">
      <c r="A89" s="7"/>
      <c r="B89" s="7"/>
      <c r="C89" s="6" t="str">
        <f>IF(A89="","",COUNTIFS($A$2:A89,A89,$B$2:B89,B89))</f>
        <v/>
      </c>
      <c r="D89" s="7"/>
      <c r="E89" s="7"/>
      <c r="F89" s="7"/>
      <c r="G89" s="7"/>
      <c r="H89" s="7"/>
      <c r="I89" s="7"/>
      <c r="J89" s="7"/>
      <c r="K89" s="7"/>
      <c r="L89" s="7"/>
      <c r="M89" s="6" t="str">
        <f t="shared" si="2"/>
        <v/>
      </c>
      <c r="N89" s="6" t="str">
        <f t="shared" si="3"/>
        <v/>
      </c>
    </row>
    <row r="90" spans="1:14" x14ac:dyDescent="0.25">
      <c r="A90" s="7"/>
      <c r="B90" s="7"/>
      <c r="C90" s="6" t="str">
        <f>IF(A90="","",COUNTIFS($A$2:A90,A90,$B$2:B90,B90))</f>
        <v/>
      </c>
      <c r="D90" s="7"/>
      <c r="E90" s="7"/>
      <c r="F90" s="7"/>
      <c r="G90" s="7"/>
      <c r="H90" s="7"/>
      <c r="I90" s="7"/>
      <c r="J90" s="7"/>
      <c r="K90" s="7"/>
      <c r="L90" s="7"/>
      <c r="M90" s="6" t="str">
        <f t="shared" si="2"/>
        <v/>
      </c>
      <c r="N90" s="6" t="str">
        <f t="shared" si="3"/>
        <v/>
      </c>
    </row>
    <row r="91" spans="1:14" x14ac:dyDescent="0.25">
      <c r="A91" s="7"/>
      <c r="B91" s="7"/>
      <c r="C91" s="6" t="str">
        <f>IF(A91="","",COUNTIFS($A$2:A91,A91,$B$2:B91,B91))</f>
        <v/>
      </c>
      <c r="D91" s="7"/>
      <c r="E91" s="7"/>
      <c r="F91" s="7"/>
      <c r="G91" s="7"/>
      <c r="H91" s="7"/>
      <c r="I91" s="7"/>
      <c r="J91" s="7"/>
      <c r="K91" s="7"/>
      <c r="L91" s="7"/>
      <c r="M91" s="6" t="str">
        <f t="shared" si="2"/>
        <v/>
      </c>
      <c r="N91" s="6" t="str">
        <f t="shared" si="3"/>
        <v/>
      </c>
    </row>
    <row r="92" spans="1:14" x14ac:dyDescent="0.25">
      <c r="A92" s="7"/>
      <c r="B92" s="7"/>
      <c r="C92" s="6" t="str">
        <f>IF(A92="","",COUNTIFS($A$2:A92,A92,$B$2:B92,B92))</f>
        <v/>
      </c>
      <c r="D92" s="7"/>
      <c r="E92" s="7"/>
      <c r="F92" s="7"/>
      <c r="G92" s="7"/>
      <c r="H92" s="7"/>
      <c r="I92" s="7"/>
      <c r="J92" s="7"/>
      <c r="K92" s="7"/>
      <c r="L92" s="7"/>
      <c r="M92" s="6" t="str">
        <f t="shared" si="2"/>
        <v/>
      </c>
      <c r="N92" s="6" t="str">
        <f t="shared" si="3"/>
        <v/>
      </c>
    </row>
    <row r="93" spans="1:14" x14ac:dyDescent="0.25">
      <c r="A93" s="7"/>
      <c r="B93" s="7"/>
      <c r="C93" s="6" t="str">
        <f>IF(A93="","",COUNTIFS($A$2:A93,A93,$B$2:B93,B93))</f>
        <v/>
      </c>
      <c r="D93" s="7"/>
      <c r="E93" s="7"/>
      <c r="F93" s="7"/>
      <c r="G93" s="7"/>
      <c r="H93" s="7"/>
      <c r="I93" s="7"/>
      <c r="J93" s="7"/>
      <c r="K93" s="7"/>
      <c r="L93" s="7"/>
      <c r="M93" s="6" t="str">
        <f t="shared" si="2"/>
        <v/>
      </c>
      <c r="N93" s="6" t="str">
        <f t="shared" si="3"/>
        <v/>
      </c>
    </row>
    <row r="94" spans="1:14" x14ac:dyDescent="0.25">
      <c r="A94" s="7"/>
      <c r="B94" s="7"/>
      <c r="C94" s="6" t="str">
        <f>IF(A94="","",COUNTIFS($A$2:A94,A94,$B$2:B94,B94))</f>
        <v/>
      </c>
      <c r="D94" s="7"/>
      <c r="E94" s="7"/>
      <c r="F94" s="7"/>
      <c r="G94" s="7"/>
      <c r="H94" s="7"/>
      <c r="I94" s="7"/>
      <c r="J94" s="7"/>
      <c r="K94" s="7"/>
      <c r="L94" s="7"/>
      <c r="M94" s="6" t="str">
        <f t="shared" si="2"/>
        <v/>
      </c>
      <c r="N94" s="6" t="str">
        <f t="shared" si="3"/>
        <v/>
      </c>
    </row>
    <row r="95" spans="1:14" x14ac:dyDescent="0.25">
      <c r="A95" s="7"/>
      <c r="B95" s="7"/>
      <c r="C95" s="6" t="str">
        <f>IF(A95="","",COUNTIFS($A$2:A95,A95,$B$2:B95,B95))</f>
        <v/>
      </c>
      <c r="D95" s="7"/>
      <c r="E95" s="7"/>
      <c r="F95" s="7"/>
      <c r="G95" s="7"/>
      <c r="H95" s="7"/>
      <c r="I95" s="7"/>
      <c r="J95" s="7"/>
      <c r="K95" s="7"/>
      <c r="L95" s="7"/>
      <c r="M95" s="6" t="str">
        <f t="shared" si="2"/>
        <v/>
      </c>
      <c r="N95" s="6" t="str">
        <f t="shared" si="3"/>
        <v/>
      </c>
    </row>
    <row r="96" spans="1:14" x14ac:dyDescent="0.25">
      <c r="A96" s="7"/>
      <c r="B96" s="7"/>
      <c r="C96" s="6" t="str">
        <f>IF(A96="","",COUNTIFS($A$2:A96,A96,$B$2:B96,B96))</f>
        <v/>
      </c>
      <c r="D96" s="7"/>
      <c r="E96" s="7"/>
      <c r="F96" s="7"/>
      <c r="G96" s="7"/>
      <c r="H96" s="7"/>
      <c r="I96" s="7"/>
      <c r="J96" s="7"/>
      <c r="K96" s="7"/>
      <c r="L96" s="7"/>
      <c r="M96" s="6" t="str">
        <f t="shared" si="2"/>
        <v/>
      </c>
      <c r="N96" s="6" t="str">
        <f t="shared" si="3"/>
        <v/>
      </c>
    </row>
    <row r="97" spans="1:14" x14ac:dyDescent="0.25">
      <c r="A97" s="7"/>
      <c r="B97" s="7"/>
      <c r="C97" s="6" t="str">
        <f>IF(A97="","",COUNTIFS($A$2:A97,A97,$B$2:B97,B97))</f>
        <v/>
      </c>
      <c r="D97" s="7"/>
      <c r="E97" s="7"/>
      <c r="F97" s="7"/>
      <c r="G97" s="7"/>
      <c r="H97" s="7"/>
      <c r="I97" s="7"/>
      <c r="J97" s="7"/>
      <c r="K97" s="7"/>
      <c r="L97" s="7"/>
      <c r="M97" s="6" t="str">
        <f t="shared" si="2"/>
        <v/>
      </c>
      <c r="N97" s="6" t="str">
        <f t="shared" si="3"/>
        <v/>
      </c>
    </row>
    <row r="98" spans="1:14" x14ac:dyDescent="0.25">
      <c r="A98" s="7"/>
      <c r="B98" s="7"/>
      <c r="C98" s="6" t="str">
        <f>IF(A98="","",COUNTIFS($A$2:A98,A98,$B$2:B98,B98))</f>
        <v/>
      </c>
      <c r="D98" s="7"/>
      <c r="E98" s="7"/>
      <c r="F98" s="7"/>
      <c r="G98" s="7"/>
      <c r="H98" s="7"/>
      <c r="I98" s="7"/>
      <c r="J98" s="7"/>
      <c r="K98" s="7"/>
      <c r="L98" s="7"/>
      <c r="M98" s="6" t="str">
        <f t="shared" si="2"/>
        <v/>
      </c>
      <c r="N98" s="6" t="str">
        <f t="shared" si="3"/>
        <v/>
      </c>
    </row>
    <row r="99" spans="1:14" x14ac:dyDescent="0.25">
      <c r="A99" s="7"/>
      <c r="B99" s="7"/>
      <c r="C99" s="6" t="str">
        <f>IF(A99="","",COUNTIFS($A$2:A99,A99,$B$2:B99,B99))</f>
        <v/>
      </c>
      <c r="D99" s="7"/>
      <c r="E99" s="7"/>
      <c r="F99" s="7"/>
      <c r="G99" s="7"/>
      <c r="H99" s="7"/>
      <c r="I99" s="7"/>
      <c r="J99" s="7"/>
      <c r="K99" s="7"/>
      <c r="L99" s="7"/>
      <c r="M99" s="6" t="str">
        <f t="shared" si="2"/>
        <v/>
      </c>
      <c r="N99" s="6" t="str">
        <f t="shared" si="3"/>
        <v/>
      </c>
    </row>
    <row r="100" spans="1:14" x14ac:dyDescent="0.25">
      <c r="A100" s="7"/>
      <c r="B100" s="7"/>
      <c r="C100" s="6" t="str">
        <f>IF(A100="","",COUNTIFS($A$2:A100,A100,$B$2:B100,B100))</f>
        <v/>
      </c>
      <c r="D100" s="7"/>
      <c r="E100" s="7"/>
      <c r="F100" s="7"/>
      <c r="G100" s="7"/>
      <c r="H100" s="7"/>
      <c r="I100" s="7"/>
      <c r="J100" s="7"/>
      <c r="K100" s="7"/>
      <c r="L100" s="7"/>
      <c r="M100" s="6" t="str">
        <f t="shared" si="2"/>
        <v/>
      </c>
      <c r="N100" s="6" t="str">
        <f t="shared" si="3"/>
        <v/>
      </c>
    </row>
    <row r="101" spans="1:14" x14ac:dyDescent="0.25">
      <c r="A101" s="7"/>
      <c r="B101" s="7"/>
      <c r="C101" s="6" t="str">
        <f>IF(A101="","",COUNTIFS($A$2:A101,A101,$B$2:B101,B101))</f>
        <v/>
      </c>
      <c r="D101" s="7"/>
      <c r="E101" s="7"/>
      <c r="F101" s="7"/>
      <c r="G101" s="7"/>
      <c r="H101" s="7"/>
      <c r="I101" s="7"/>
      <c r="J101" s="7"/>
      <c r="K101" s="7"/>
      <c r="L101" s="7"/>
      <c r="M101" s="6" t="str">
        <f t="shared" si="2"/>
        <v/>
      </c>
      <c r="N101" s="6" t="str">
        <f t="shared" si="3"/>
        <v/>
      </c>
    </row>
    <row r="102" spans="1:14" x14ac:dyDescent="0.25">
      <c r="A102" s="7"/>
      <c r="B102" s="7"/>
      <c r="C102" s="6" t="str">
        <f>IF(A102="","",COUNTIFS($A$2:A102,A102,$B$2:B102,B102))</f>
        <v/>
      </c>
      <c r="D102" s="7"/>
      <c r="E102" s="7"/>
      <c r="F102" s="7"/>
      <c r="G102" s="7"/>
      <c r="H102" s="7"/>
      <c r="I102" s="7"/>
      <c r="J102" s="7"/>
      <c r="K102" s="7"/>
      <c r="L102" s="7"/>
      <c r="M102" s="6" t="str">
        <f t="shared" si="2"/>
        <v/>
      </c>
      <c r="N102" s="6" t="str">
        <f t="shared" si="3"/>
        <v/>
      </c>
    </row>
    <row r="103" spans="1:14" x14ac:dyDescent="0.25">
      <c r="A103" s="7"/>
      <c r="B103" s="7"/>
      <c r="C103" s="6" t="str">
        <f>IF(A103="","",COUNTIFS($A$2:A103,A103,$B$2:B103,B103))</f>
        <v/>
      </c>
      <c r="D103" s="7"/>
      <c r="E103" s="7"/>
      <c r="F103" s="7"/>
      <c r="G103" s="7"/>
      <c r="H103" s="7"/>
      <c r="I103" s="7"/>
      <c r="J103" s="7"/>
      <c r="K103" s="7"/>
      <c r="L103" s="7"/>
      <c r="M103" s="6" t="str">
        <f t="shared" si="2"/>
        <v/>
      </c>
      <c r="N103" s="6" t="str">
        <f t="shared" si="3"/>
        <v/>
      </c>
    </row>
    <row r="104" spans="1:14" x14ac:dyDescent="0.25">
      <c r="A104" s="7"/>
      <c r="B104" s="7"/>
      <c r="C104" s="6" t="str">
        <f>IF(A104="","",COUNTIFS($A$2:A104,A104,$B$2:B104,B104))</f>
        <v/>
      </c>
      <c r="D104" s="7"/>
      <c r="E104" s="7"/>
      <c r="F104" s="7"/>
      <c r="G104" s="7"/>
      <c r="H104" s="7"/>
      <c r="I104" s="7"/>
      <c r="J104" s="7"/>
      <c r="K104" s="7"/>
      <c r="L104" s="7"/>
      <c r="M104" s="6" t="str">
        <f t="shared" si="2"/>
        <v/>
      </c>
      <c r="N104" s="6" t="str">
        <f t="shared" si="3"/>
        <v/>
      </c>
    </row>
    <row r="105" spans="1:14" x14ac:dyDescent="0.25">
      <c r="A105" s="7"/>
      <c r="B105" s="7"/>
      <c r="C105" s="6" t="str">
        <f>IF(A105="","",COUNTIFS($A$2:A105,A105,$B$2:B105,B105))</f>
        <v/>
      </c>
      <c r="D105" s="7"/>
      <c r="E105" s="7"/>
      <c r="F105" s="7"/>
      <c r="G105" s="7"/>
      <c r="H105" s="7"/>
      <c r="I105" s="7"/>
      <c r="J105" s="7"/>
      <c r="K105" s="7"/>
      <c r="L105" s="7"/>
      <c r="M105" s="6" t="str">
        <f t="shared" si="2"/>
        <v/>
      </c>
      <c r="N105" s="6" t="str">
        <f t="shared" si="3"/>
        <v/>
      </c>
    </row>
    <row r="106" spans="1:14" x14ac:dyDescent="0.25">
      <c r="A106" s="7"/>
      <c r="B106" s="7"/>
      <c r="C106" s="6" t="str">
        <f>IF(A106="","",COUNTIFS($A$2:A106,A106,$B$2:B106,B106))</f>
        <v/>
      </c>
      <c r="D106" s="7"/>
      <c r="E106" s="7"/>
      <c r="F106" s="7"/>
      <c r="G106" s="7"/>
      <c r="H106" s="7"/>
      <c r="I106" s="7"/>
      <c r="J106" s="7"/>
      <c r="K106" s="7"/>
      <c r="L106" s="7"/>
      <c r="M106" s="6" t="str">
        <f t="shared" si="2"/>
        <v/>
      </c>
      <c r="N106" s="6" t="str">
        <f t="shared" si="3"/>
        <v/>
      </c>
    </row>
    <row r="107" spans="1:14" x14ac:dyDescent="0.25">
      <c r="A107" s="7"/>
      <c r="B107" s="7"/>
      <c r="C107" s="6" t="str">
        <f>IF(A107="","",COUNTIFS($A$2:A107,A107,$B$2:B107,B107))</f>
        <v/>
      </c>
      <c r="D107" s="7"/>
      <c r="E107" s="7"/>
      <c r="F107" s="7"/>
      <c r="G107" s="7"/>
      <c r="H107" s="7"/>
      <c r="I107" s="7"/>
      <c r="J107" s="7"/>
      <c r="K107" s="7"/>
      <c r="L107" s="7"/>
      <c r="M107" s="6" t="str">
        <f t="shared" si="2"/>
        <v/>
      </c>
      <c r="N107" s="6" t="str">
        <f t="shared" si="3"/>
        <v/>
      </c>
    </row>
    <row r="108" spans="1:14" x14ac:dyDescent="0.25">
      <c r="A108" s="7"/>
      <c r="B108" s="7"/>
      <c r="C108" s="6" t="str">
        <f>IF(A108="","",COUNTIFS($A$2:A108,A108,$B$2:B108,B108))</f>
        <v/>
      </c>
      <c r="D108" s="7"/>
      <c r="E108" s="7"/>
      <c r="F108" s="7"/>
      <c r="G108" s="7"/>
      <c r="H108" s="7"/>
      <c r="I108" s="7"/>
      <c r="J108" s="7"/>
      <c r="K108" s="7"/>
      <c r="L108" s="7"/>
      <c r="M108" s="6" t="str">
        <f t="shared" si="2"/>
        <v/>
      </c>
      <c r="N108" s="6" t="str">
        <f t="shared" si="3"/>
        <v/>
      </c>
    </row>
    <row r="109" spans="1:14" x14ac:dyDescent="0.25">
      <c r="A109" s="7"/>
      <c r="B109" s="7"/>
      <c r="C109" s="6" t="str">
        <f>IF(A109="","",COUNTIFS($A$2:A109,A109,$B$2:B109,B109))</f>
        <v/>
      </c>
      <c r="D109" s="7"/>
      <c r="E109" s="7"/>
      <c r="F109" s="7"/>
      <c r="G109" s="7"/>
      <c r="H109" s="7"/>
      <c r="I109" s="7"/>
      <c r="J109" s="7"/>
      <c r="K109" s="7"/>
      <c r="L109" s="7"/>
      <c r="M109" s="6" t="str">
        <f t="shared" si="2"/>
        <v/>
      </c>
      <c r="N109" s="6" t="str">
        <f t="shared" si="3"/>
        <v/>
      </c>
    </row>
    <row r="110" spans="1:14" x14ac:dyDescent="0.25">
      <c r="A110" s="7"/>
      <c r="B110" s="7"/>
      <c r="C110" s="6" t="str">
        <f>IF(A110="","",COUNTIFS($A$2:A110,A110,$B$2:B110,B110))</f>
        <v/>
      </c>
      <c r="D110" s="7"/>
      <c r="E110" s="7"/>
      <c r="F110" s="7"/>
      <c r="G110" s="7"/>
      <c r="H110" s="7"/>
      <c r="I110" s="7"/>
      <c r="J110" s="7"/>
      <c r="K110" s="7"/>
      <c r="L110" s="7"/>
      <c r="M110" s="6" t="str">
        <f t="shared" si="2"/>
        <v/>
      </c>
      <c r="N110" s="6" t="str">
        <f t="shared" si="3"/>
        <v/>
      </c>
    </row>
    <row r="111" spans="1:14" x14ac:dyDescent="0.25">
      <c r="A111" s="7"/>
      <c r="B111" s="7"/>
      <c r="C111" s="6" t="str">
        <f>IF(A111="","",COUNTIFS($A$2:A111,A111,$B$2:B111,B111))</f>
        <v/>
      </c>
      <c r="D111" s="7"/>
      <c r="E111" s="7"/>
      <c r="F111" s="7"/>
      <c r="G111" s="7"/>
      <c r="H111" s="7"/>
      <c r="I111" s="7"/>
      <c r="J111" s="7"/>
      <c r="K111" s="7"/>
      <c r="L111" s="7"/>
      <c r="M111" s="6" t="str">
        <f t="shared" si="2"/>
        <v/>
      </c>
      <c r="N111" s="6" t="str">
        <f t="shared" si="3"/>
        <v/>
      </c>
    </row>
    <row r="112" spans="1:14" x14ac:dyDescent="0.25">
      <c r="A112" s="7"/>
      <c r="B112" s="7"/>
      <c r="C112" s="6" t="str">
        <f>IF(A112="","",COUNTIFS($A$2:A112,A112,$B$2:B112,B112))</f>
        <v/>
      </c>
      <c r="D112" s="7"/>
      <c r="E112" s="7"/>
      <c r="F112" s="7"/>
      <c r="G112" s="7"/>
      <c r="H112" s="7"/>
      <c r="I112" s="7"/>
      <c r="J112" s="7"/>
      <c r="K112" s="7"/>
      <c r="L112" s="7"/>
      <c r="M112" s="6" t="str">
        <f t="shared" si="2"/>
        <v/>
      </c>
      <c r="N112" s="6" t="str">
        <f t="shared" si="3"/>
        <v/>
      </c>
    </row>
    <row r="113" spans="1:14" x14ac:dyDescent="0.25">
      <c r="A113" s="7"/>
      <c r="B113" s="7"/>
      <c r="C113" s="6" t="str">
        <f>IF(A113="","",COUNTIFS($A$2:A113,A113,$B$2:B113,B113))</f>
        <v/>
      </c>
      <c r="D113" s="7"/>
      <c r="E113" s="7"/>
      <c r="F113" s="7"/>
      <c r="G113" s="7"/>
      <c r="H113" s="7"/>
      <c r="I113" s="7"/>
      <c r="J113" s="7"/>
      <c r="K113" s="7"/>
      <c r="L113" s="7"/>
      <c r="M113" s="6" t="str">
        <f t="shared" si="2"/>
        <v/>
      </c>
      <c r="N113" s="6" t="str">
        <f t="shared" si="3"/>
        <v/>
      </c>
    </row>
    <row r="114" spans="1:14" x14ac:dyDescent="0.25">
      <c r="A114" s="7"/>
      <c r="B114" s="7"/>
      <c r="C114" s="6" t="str">
        <f>IF(A114="","",COUNTIFS($A$2:A114,A114,$B$2:B114,B114))</f>
        <v/>
      </c>
      <c r="D114" s="7"/>
      <c r="E114" s="7"/>
      <c r="F114" s="7"/>
      <c r="G114" s="7"/>
      <c r="H114" s="7"/>
      <c r="I114" s="7"/>
      <c r="J114" s="7"/>
      <c r="K114" s="7"/>
      <c r="L114" s="7"/>
      <c r="M114" s="6" t="str">
        <f t="shared" si="2"/>
        <v/>
      </c>
      <c r="N114" s="6" t="str">
        <f t="shared" si="3"/>
        <v/>
      </c>
    </row>
    <row r="115" spans="1:14" x14ac:dyDescent="0.25">
      <c r="A115" s="7"/>
      <c r="B115" s="7"/>
      <c r="C115" s="6" t="str">
        <f>IF(A115="","",COUNTIFS($A$2:A115,A115,$B$2:B115,B115))</f>
        <v/>
      </c>
      <c r="D115" s="7"/>
      <c r="E115" s="7"/>
      <c r="F115" s="7"/>
      <c r="G115" s="7"/>
      <c r="H115" s="7"/>
      <c r="I115" s="7"/>
      <c r="J115" s="7"/>
      <c r="K115" s="7"/>
      <c r="L115" s="7"/>
      <c r="M115" s="6" t="str">
        <f t="shared" si="2"/>
        <v/>
      </c>
      <c r="N115" s="6" t="str">
        <f t="shared" si="3"/>
        <v/>
      </c>
    </row>
    <row r="116" spans="1:14" x14ac:dyDescent="0.25">
      <c r="A116" s="7"/>
      <c r="B116" s="7"/>
      <c r="C116" s="6" t="str">
        <f>IF(A116="","",COUNTIFS($A$2:A116,A116,$B$2:B116,B116))</f>
        <v/>
      </c>
      <c r="D116" s="7"/>
      <c r="E116" s="7"/>
      <c r="F116" s="7"/>
      <c r="G116" s="7"/>
      <c r="H116" s="7"/>
      <c r="I116" s="7"/>
      <c r="J116" s="7"/>
      <c r="K116" s="7"/>
      <c r="L116" s="7"/>
      <c r="M116" s="6" t="str">
        <f t="shared" si="2"/>
        <v/>
      </c>
      <c r="N116" s="6" t="str">
        <f t="shared" si="3"/>
        <v/>
      </c>
    </row>
    <row r="117" spans="1:14" x14ac:dyDescent="0.25">
      <c r="A117" s="7"/>
      <c r="B117" s="7"/>
      <c r="C117" s="6" t="str">
        <f>IF(A117="","",COUNTIFS($A$2:A117,A117,$B$2:B117,B117))</f>
        <v/>
      </c>
      <c r="D117" s="7"/>
      <c r="E117" s="7"/>
      <c r="F117" s="7"/>
      <c r="G117" s="7"/>
      <c r="H117" s="7"/>
      <c r="I117" s="7"/>
      <c r="J117" s="7"/>
      <c r="K117" s="7"/>
      <c r="L117" s="7"/>
      <c r="M117" s="6" t="str">
        <f t="shared" si="2"/>
        <v/>
      </c>
      <c r="N117" s="6" t="str">
        <f t="shared" si="3"/>
        <v/>
      </c>
    </row>
    <row r="118" spans="1:14" x14ac:dyDescent="0.25">
      <c r="A118" s="7"/>
      <c r="B118" s="7"/>
      <c r="C118" s="6" t="str">
        <f>IF(A118="","",COUNTIFS($A$2:A118,A118,$B$2:B118,B118))</f>
        <v/>
      </c>
      <c r="D118" s="7"/>
      <c r="E118" s="7"/>
      <c r="F118" s="7"/>
      <c r="G118" s="7"/>
      <c r="H118" s="7"/>
      <c r="I118" s="7"/>
      <c r="J118" s="7"/>
      <c r="K118" s="7"/>
      <c r="L118" s="7"/>
      <c r="M118" s="6" t="str">
        <f t="shared" si="2"/>
        <v/>
      </c>
      <c r="N118" s="6" t="str">
        <f t="shared" si="3"/>
        <v/>
      </c>
    </row>
    <row r="119" spans="1:14" x14ac:dyDescent="0.25">
      <c r="A119" s="7"/>
      <c r="B119" s="7"/>
      <c r="C119" s="6" t="str">
        <f>IF(A119="","",COUNTIFS($A$2:A119,A119,$B$2:B119,B119))</f>
        <v/>
      </c>
      <c r="D119" s="7"/>
      <c r="E119" s="7"/>
      <c r="F119" s="7"/>
      <c r="G119" s="7"/>
      <c r="H119" s="7"/>
      <c r="I119" s="7"/>
      <c r="J119" s="7"/>
      <c r="K119" s="7"/>
      <c r="L119" s="7"/>
      <c r="M119" s="6" t="str">
        <f t="shared" si="2"/>
        <v/>
      </c>
      <c r="N119" s="6" t="str">
        <f t="shared" si="3"/>
        <v/>
      </c>
    </row>
    <row r="120" spans="1:14" x14ac:dyDescent="0.25">
      <c r="A120" s="7"/>
      <c r="B120" s="7"/>
      <c r="C120" s="6" t="str">
        <f>IF(A120="","",COUNTIFS($A$2:A120,A120,$B$2:B120,B120))</f>
        <v/>
      </c>
      <c r="D120" s="7"/>
      <c r="E120" s="7"/>
      <c r="F120" s="7"/>
      <c r="G120" s="7"/>
      <c r="H120" s="7"/>
      <c r="I120" s="7"/>
      <c r="J120" s="7"/>
      <c r="K120" s="7"/>
      <c r="L120" s="7"/>
      <c r="M120" s="6" t="str">
        <f t="shared" si="2"/>
        <v/>
      </c>
      <c r="N120" s="6" t="str">
        <f t="shared" si="3"/>
        <v/>
      </c>
    </row>
    <row r="121" spans="1:14" x14ac:dyDescent="0.25">
      <c r="A121" s="7"/>
      <c r="B121" s="7"/>
      <c r="C121" s="6" t="str">
        <f>IF(A121="","",COUNTIFS($A$2:A121,A121,$B$2:B121,B121))</f>
        <v/>
      </c>
      <c r="D121" s="7"/>
      <c r="E121" s="7"/>
      <c r="F121" s="7"/>
      <c r="G121" s="7"/>
      <c r="H121" s="7"/>
      <c r="I121" s="7"/>
      <c r="J121" s="7"/>
      <c r="K121" s="7"/>
      <c r="L121" s="7"/>
      <c r="M121" s="6" t="str">
        <f t="shared" si="2"/>
        <v/>
      </c>
      <c r="N121" s="6" t="str">
        <f t="shared" si="3"/>
        <v/>
      </c>
    </row>
    <row r="122" spans="1:14" x14ac:dyDescent="0.25">
      <c r="A122" s="7"/>
      <c r="B122" s="7"/>
      <c r="C122" s="6" t="str">
        <f>IF(A122="","",COUNTIFS($A$2:A122,A122,$B$2:B122,B122))</f>
        <v/>
      </c>
      <c r="D122" s="7"/>
      <c r="E122" s="7"/>
      <c r="F122" s="7"/>
      <c r="G122" s="7"/>
      <c r="H122" s="7"/>
      <c r="I122" s="7"/>
      <c r="J122" s="7"/>
      <c r="K122" s="7"/>
      <c r="L122" s="7"/>
      <c r="M122" s="6" t="str">
        <f t="shared" si="2"/>
        <v/>
      </c>
      <c r="N122" s="6" t="str">
        <f t="shared" si="3"/>
        <v/>
      </c>
    </row>
    <row r="123" spans="1:14" x14ac:dyDescent="0.25">
      <c r="A123" s="7"/>
      <c r="B123" s="7"/>
      <c r="C123" s="6" t="str">
        <f>IF(A123="","",COUNTIFS($A$2:A123,A123,$B$2:B123,B123))</f>
        <v/>
      </c>
      <c r="D123" s="7"/>
      <c r="E123" s="7"/>
      <c r="F123" s="7"/>
      <c r="G123" s="7"/>
      <c r="H123" s="7"/>
      <c r="I123" s="7"/>
      <c r="J123" s="7"/>
      <c r="K123" s="7"/>
      <c r="L123" s="7"/>
      <c r="M123" s="6" t="str">
        <f t="shared" si="2"/>
        <v/>
      </c>
      <c r="N123" s="6" t="str">
        <f t="shared" si="3"/>
        <v/>
      </c>
    </row>
    <row r="124" spans="1:14" x14ac:dyDescent="0.25">
      <c r="A124" s="7"/>
      <c r="B124" s="7"/>
      <c r="C124" s="6" t="str">
        <f>IF(A124="","",COUNTIFS($A$2:A124,A124,$B$2:B124,B124))</f>
        <v/>
      </c>
      <c r="D124" s="7"/>
      <c r="E124" s="7"/>
      <c r="F124" s="7"/>
      <c r="G124" s="7"/>
      <c r="H124" s="7"/>
      <c r="I124" s="7"/>
      <c r="J124" s="7"/>
      <c r="K124" s="7"/>
      <c r="L124" s="7"/>
      <c r="M124" s="6" t="str">
        <f t="shared" si="2"/>
        <v/>
      </c>
      <c r="N124" s="6" t="str">
        <f t="shared" si="3"/>
        <v/>
      </c>
    </row>
    <row r="125" spans="1:14" x14ac:dyDescent="0.25">
      <c r="A125" s="7"/>
      <c r="B125" s="7"/>
      <c r="C125" s="6" t="str">
        <f>IF(A125="","",COUNTIFS($A$2:A125,A125,$B$2:B125,B125))</f>
        <v/>
      </c>
      <c r="D125" s="7"/>
      <c r="E125" s="7"/>
      <c r="F125" s="7"/>
      <c r="G125" s="7"/>
      <c r="H125" s="7"/>
      <c r="I125" s="7"/>
      <c r="J125" s="7"/>
      <c r="K125" s="7"/>
      <c r="L125" s="7"/>
      <c r="M125" s="6" t="str">
        <f t="shared" si="2"/>
        <v/>
      </c>
      <c r="N125" s="6" t="str">
        <f t="shared" si="3"/>
        <v/>
      </c>
    </row>
    <row r="126" spans="1:14" x14ac:dyDescent="0.25">
      <c r="A126" s="7"/>
      <c r="B126" s="7"/>
      <c r="C126" s="6" t="str">
        <f>IF(A126="","",COUNTIFS($A$2:A126,A126,$B$2:B126,B126))</f>
        <v/>
      </c>
      <c r="D126" s="7"/>
      <c r="E126" s="7"/>
      <c r="F126" s="7"/>
      <c r="G126" s="7"/>
      <c r="H126" s="7"/>
      <c r="I126" s="7"/>
      <c r="J126" s="7"/>
      <c r="K126" s="7"/>
      <c r="L126" s="7"/>
      <c r="M126" s="6" t="str">
        <f t="shared" si="2"/>
        <v/>
      </c>
      <c r="N126" s="6" t="str">
        <f t="shared" si="3"/>
        <v/>
      </c>
    </row>
    <row r="127" spans="1:14" x14ac:dyDescent="0.25">
      <c r="A127" s="7"/>
      <c r="B127" s="7"/>
      <c r="C127" s="6" t="str">
        <f>IF(A127="","",COUNTIFS($A$2:A127,A127,$B$2:B127,B127))</f>
        <v/>
      </c>
      <c r="D127" s="7"/>
      <c r="E127" s="7"/>
      <c r="F127" s="7"/>
      <c r="G127" s="7"/>
      <c r="H127" s="7"/>
      <c r="I127" s="7"/>
      <c r="J127" s="7"/>
      <c r="K127" s="7"/>
      <c r="L127" s="7"/>
      <c r="M127" s="6" t="str">
        <f t="shared" si="2"/>
        <v/>
      </c>
      <c r="N127" s="6" t="str">
        <f t="shared" si="3"/>
        <v/>
      </c>
    </row>
    <row r="128" spans="1:14" x14ac:dyDescent="0.25">
      <c r="A128" s="7"/>
      <c r="B128" s="7"/>
      <c r="C128" s="6" t="str">
        <f>IF(A128="","",COUNTIFS($A$2:A128,A128,$B$2:B128,B128))</f>
        <v/>
      </c>
      <c r="D128" s="7"/>
      <c r="E128" s="7"/>
      <c r="F128" s="7"/>
      <c r="G128" s="7"/>
      <c r="H128" s="7"/>
      <c r="I128" s="7"/>
      <c r="J128" s="7"/>
      <c r="K128" s="7"/>
      <c r="L128" s="7"/>
      <c r="M128" s="6" t="str">
        <f t="shared" si="2"/>
        <v/>
      </c>
      <c r="N128" s="6" t="str">
        <f t="shared" si="3"/>
        <v/>
      </c>
    </row>
    <row r="129" spans="1:14" x14ac:dyDescent="0.25">
      <c r="A129" s="7"/>
      <c r="B129" s="7"/>
      <c r="C129" s="6" t="str">
        <f>IF(A129="","",COUNTIFS($A$2:A129,A129,$B$2:B129,B129))</f>
        <v/>
      </c>
      <c r="D129" s="7"/>
      <c r="E129" s="7"/>
      <c r="F129" s="7"/>
      <c r="G129" s="7"/>
      <c r="H129" s="7"/>
      <c r="I129" s="7"/>
      <c r="J129" s="7"/>
      <c r="K129" s="7"/>
      <c r="L129" s="7"/>
      <c r="M129" s="6" t="str">
        <f t="shared" si="2"/>
        <v/>
      </c>
      <c r="N129" s="6" t="str">
        <f t="shared" si="3"/>
        <v/>
      </c>
    </row>
    <row r="130" spans="1:14" x14ac:dyDescent="0.25">
      <c r="A130" s="7"/>
      <c r="B130" s="7"/>
      <c r="C130" s="6" t="str">
        <f>IF(A130="","",COUNTIFS($A$2:A130,A130,$B$2:B130,B130))</f>
        <v/>
      </c>
      <c r="D130" s="7"/>
      <c r="E130" s="7"/>
      <c r="F130" s="7"/>
      <c r="G130" s="7"/>
      <c r="H130" s="7"/>
      <c r="I130" s="7"/>
      <c r="J130" s="7"/>
      <c r="K130" s="7"/>
      <c r="L130" s="7"/>
      <c r="M130" s="6" t="str">
        <f t="shared" ref="M130:M193" si="4">IF(D130="","",IF(OR(E130="",F130=""),"",IF(TRIM(IF(AND(E130="hecho",F130="INCORRECTA"),"INC ","")&amp;IF(AND(E130="abstencion",F130="INCORRECTA"),"ABS-E ","")&amp;IF(AND(E130="hecho",F130="FUERA_REF",H130="no_resp"),"NO-ABS ","")&amp;IF(AND(E130="hecho",I130="SIN-RESPALDO"),"SIN-R ","")&amp;IF(AND(E130="hecho",I130="CITA-X"),"CITA-X ","")&amp;IF(AND(E130="hecho",I130="SIN-CITA"),"SIN-C ",""))="","-",TRIM(IF(AND(E130="hecho",F130="INCORRECTA"),"INC ","")&amp;IF(AND(E130="abstencion",F130="INCORRECTA"),"ABS-E ","")&amp;IF(AND(E130="hecho",F130="FUERA_REF",H130="no_resp"),"NO-ABS ","")&amp;IF(AND(E130="hecho",I130="SIN-RESPALDO"),"SIN-R ","")&amp;IF(AND(E130="hecho",I130="CITA-X"),"CITA-X ","")&amp;IF(AND(E130="hecho",I130="SIN-CITA"),"SIN-C ","")))))</f>
        <v/>
      </c>
      <c r="N130" s="6" t="str">
        <f t="shared" ref="N130:N193" si="5">IF(D130="","",IF(OR(A130="",B130="",E130="",F130=""),"falta qid, modo, tipo o vs_ref",IF(AND(B130="llm",I130&lt;&gt;""),"respaldo no aplica en modo LLM",IF(AND(E130="abstencion",I130&lt;&gt;""),"una abstención no se califica en citas",IF(AND(B130="rag",E130="hecho",I130=""),"falta respaldo","ok")))))</f>
        <v/>
      </c>
    </row>
    <row r="131" spans="1:14" x14ac:dyDescent="0.25">
      <c r="A131" s="7"/>
      <c r="B131" s="7"/>
      <c r="C131" s="6" t="str">
        <f>IF(A131="","",COUNTIFS($A$2:A131,A131,$B$2:B131,B131))</f>
        <v/>
      </c>
      <c r="D131" s="7"/>
      <c r="E131" s="7"/>
      <c r="F131" s="7"/>
      <c r="G131" s="7"/>
      <c r="H131" s="7"/>
      <c r="I131" s="7"/>
      <c r="J131" s="7"/>
      <c r="K131" s="7"/>
      <c r="L131" s="7"/>
      <c r="M131" s="6" t="str">
        <f t="shared" si="4"/>
        <v/>
      </c>
      <c r="N131" s="6" t="str">
        <f t="shared" si="5"/>
        <v/>
      </c>
    </row>
    <row r="132" spans="1:14" x14ac:dyDescent="0.25">
      <c r="A132" s="7"/>
      <c r="B132" s="7"/>
      <c r="C132" s="6" t="str">
        <f>IF(A132="","",COUNTIFS($A$2:A132,A132,$B$2:B132,B132))</f>
        <v/>
      </c>
      <c r="D132" s="7"/>
      <c r="E132" s="7"/>
      <c r="F132" s="7"/>
      <c r="G132" s="7"/>
      <c r="H132" s="7"/>
      <c r="I132" s="7"/>
      <c r="J132" s="7"/>
      <c r="K132" s="7"/>
      <c r="L132" s="7"/>
      <c r="M132" s="6" t="str">
        <f t="shared" si="4"/>
        <v/>
      </c>
      <c r="N132" s="6" t="str">
        <f t="shared" si="5"/>
        <v/>
      </c>
    </row>
    <row r="133" spans="1:14" x14ac:dyDescent="0.25">
      <c r="A133" s="7"/>
      <c r="B133" s="7"/>
      <c r="C133" s="6" t="str">
        <f>IF(A133="","",COUNTIFS($A$2:A133,A133,$B$2:B133,B133))</f>
        <v/>
      </c>
      <c r="D133" s="7"/>
      <c r="E133" s="7"/>
      <c r="F133" s="7"/>
      <c r="G133" s="7"/>
      <c r="H133" s="7"/>
      <c r="I133" s="7"/>
      <c r="J133" s="7"/>
      <c r="K133" s="7"/>
      <c r="L133" s="7"/>
      <c r="M133" s="6" t="str">
        <f t="shared" si="4"/>
        <v/>
      </c>
      <c r="N133" s="6" t="str">
        <f t="shared" si="5"/>
        <v/>
      </c>
    </row>
    <row r="134" spans="1:14" x14ac:dyDescent="0.25">
      <c r="A134" s="7"/>
      <c r="B134" s="7"/>
      <c r="C134" s="6" t="str">
        <f>IF(A134="","",COUNTIFS($A$2:A134,A134,$B$2:B134,B134))</f>
        <v/>
      </c>
      <c r="D134" s="7"/>
      <c r="E134" s="7"/>
      <c r="F134" s="7"/>
      <c r="G134" s="7"/>
      <c r="H134" s="7"/>
      <c r="I134" s="7"/>
      <c r="J134" s="7"/>
      <c r="K134" s="7"/>
      <c r="L134" s="7"/>
      <c r="M134" s="6" t="str">
        <f t="shared" si="4"/>
        <v/>
      </c>
      <c r="N134" s="6" t="str">
        <f t="shared" si="5"/>
        <v/>
      </c>
    </row>
    <row r="135" spans="1:14" x14ac:dyDescent="0.25">
      <c r="A135" s="7"/>
      <c r="B135" s="7"/>
      <c r="C135" s="6" t="str">
        <f>IF(A135="","",COUNTIFS($A$2:A135,A135,$B$2:B135,B135))</f>
        <v/>
      </c>
      <c r="D135" s="7"/>
      <c r="E135" s="7"/>
      <c r="F135" s="7"/>
      <c r="G135" s="7"/>
      <c r="H135" s="7"/>
      <c r="I135" s="7"/>
      <c r="J135" s="7"/>
      <c r="K135" s="7"/>
      <c r="L135" s="7"/>
      <c r="M135" s="6" t="str">
        <f t="shared" si="4"/>
        <v/>
      </c>
      <c r="N135" s="6" t="str">
        <f t="shared" si="5"/>
        <v/>
      </c>
    </row>
    <row r="136" spans="1:14" x14ac:dyDescent="0.25">
      <c r="A136" s="7"/>
      <c r="B136" s="7"/>
      <c r="C136" s="6" t="str">
        <f>IF(A136="","",COUNTIFS($A$2:A136,A136,$B$2:B136,B136))</f>
        <v/>
      </c>
      <c r="D136" s="7"/>
      <c r="E136" s="7"/>
      <c r="F136" s="7"/>
      <c r="G136" s="7"/>
      <c r="H136" s="7"/>
      <c r="I136" s="7"/>
      <c r="J136" s="7"/>
      <c r="K136" s="7"/>
      <c r="L136" s="7"/>
      <c r="M136" s="6" t="str">
        <f t="shared" si="4"/>
        <v/>
      </c>
      <c r="N136" s="6" t="str">
        <f t="shared" si="5"/>
        <v/>
      </c>
    </row>
    <row r="137" spans="1:14" x14ac:dyDescent="0.25">
      <c r="A137" s="7"/>
      <c r="B137" s="7"/>
      <c r="C137" s="6" t="str">
        <f>IF(A137="","",COUNTIFS($A$2:A137,A137,$B$2:B137,B137))</f>
        <v/>
      </c>
      <c r="D137" s="7"/>
      <c r="E137" s="7"/>
      <c r="F137" s="7"/>
      <c r="G137" s="7"/>
      <c r="H137" s="7"/>
      <c r="I137" s="7"/>
      <c r="J137" s="7"/>
      <c r="K137" s="7"/>
      <c r="L137" s="7"/>
      <c r="M137" s="6" t="str">
        <f t="shared" si="4"/>
        <v/>
      </c>
      <c r="N137" s="6" t="str">
        <f t="shared" si="5"/>
        <v/>
      </c>
    </row>
    <row r="138" spans="1:14" x14ac:dyDescent="0.25">
      <c r="A138" s="7"/>
      <c r="B138" s="7"/>
      <c r="C138" s="6" t="str">
        <f>IF(A138="","",COUNTIFS($A$2:A138,A138,$B$2:B138,B138))</f>
        <v/>
      </c>
      <c r="D138" s="7"/>
      <c r="E138" s="7"/>
      <c r="F138" s="7"/>
      <c r="G138" s="7"/>
      <c r="H138" s="7"/>
      <c r="I138" s="7"/>
      <c r="J138" s="7"/>
      <c r="K138" s="7"/>
      <c r="L138" s="7"/>
      <c r="M138" s="6" t="str">
        <f t="shared" si="4"/>
        <v/>
      </c>
      <c r="N138" s="6" t="str">
        <f t="shared" si="5"/>
        <v/>
      </c>
    </row>
    <row r="139" spans="1:14" x14ac:dyDescent="0.25">
      <c r="A139" s="7"/>
      <c r="B139" s="7"/>
      <c r="C139" s="6" t="str">
        <f>IF(A139="","",COUNTIFS($A$2:A139,A139,$B$2:B139,B139))</f>
        <v/>
      </c>
      <c r="D139" s="7"/>
      <c r="E139" s="7"/>
      <c r="F139" s="7"/>
      <c r="G139" s="7"/>
      <c r="H139" s="7"/>
      <c r="I139" s="7"/>
      <c r="J139" s="7"/>
      <c r="K139" s="7"/>
      <c r="L139" s="7"/>
      <c r="M139" s="6" t="str">
        <f t="shared" si="4"/>
        <v/>
      </c>
      <c r="N139" s="6" t="str">
        <f t="shared" si="5"/>
        <v/>
      </c>
    </row>
    <row r="140" spans="1:14" x14ac:dyDescent="0.25">
      <c r="A140" s="7"/>
      <c r="B140" s="7"/>
      <c r="C140" s="6" t="str">
        <f>IF(A140="","",COUNTIFS($A$2:A140,A140,$B$2:B140,B140))</f>
        <v/>
      </c>
      <c r="D140" s="7"/>
      <c r="E140" s="7"/>
      <c r="F140" s="7"/>
      <c r="G140" s="7"/>
      <c r="H140" s="7"/>
      <c r="I140" s="7"/>
      <c r="J140" s="7"/>
      <c r="K140" s="7"/>
      <c r="L140" s="7"/>
      <c r="M140" s="6" t="str">
        <f t="shared" si="4"/>
        <v/>
      </c>
      <c r="N140" s="6" t="str">
        <f t="shared" si="5"/>
        <v/>
      </c>
    </row>
    <row r="141" spans="1:14" x14ac:dyDescent="0.25">
      <c r="A141" s="7"/>
      <c r="B141" s="7"/>
      <c r="C141" s="6" t="str">
        <f>IF(A141="","",COUNTIFS($A$2:A141,A141,$B$2:B141,B141))</f>
        <v/>
      </c>
      <c r="D141" s="7"/>
      <c r="E141" s="7"/>
      <c r="F141" s="7"/>
      <c r="G141" s="7"/>
      <c r="H141" s="7"/>
      <c r="I141" s="7"/>
      <c r="J141" s="7"/>
      <c r="K141" s="7"/>
      <c r="L141" s="7"/>
      <c r="M141" s="6" t="str">
        <f t="shared" si="4"/>
        <v/>
      </c>
      <c r="N141" s="6" t="str">
        <f t="shared" si="5"/>
        <v/>
      </c>
    </row>
    <row r="142" spans="1:14" x14ac:dyDescent="0.25">
      <c r="A142" s="7"/>
      <c r="B142" s="7"/>
      <c r="C142" s="6" t="str">
        <f>IF(A142="","",COUNTIFS($A$2:A142,A142,$B$2:B142,B142))</f>
        <v/>
      </c>
      <c r="D142" s="7"/>
      <c r="E142" s="7"/>
      <c r="F142" s="7"/>
      <c r="G142" s="7"/>
      <c r="H142" s="7"/>
      <c r="I142" s="7"/>
      <c r="J142" s="7"/>
      <c r="K142" s="7"/>
      <c r="L142" s="7"/>
      <c r="M142" s="6" t="str">
        <f t="shared" si="4"/>
        <v/>
      </c>
      <c r="N142" s="6" t="str">
        <f t="shared" si="5"/>
        <v/>
      </c>
    </row>
    <row r="143" spans="1:14" x14ac:dyDescent="0.25">
      <c r="A143" s="7"/>
      <c r="B143" s="7"/>
      <c r="C143" s="6" t="str">
        <f>IF(A143="","",COUNTIFS($A$2:A143,A143,$B$2:B143,B143))</f>
        <v/>
      </c>
      <c r="D143" s="7"/>
      <c r="E143" s="7"/>
      <c r="F143" s="7"/>
      <c r="G143" s="7"/>
      <c r="H143" s="7"/>
      <c r="I143" s="7"/>
      <c r="J143" s="7"/>
      <c r="K143" s="7"/>
      <c r="L143" s="7"/>
      <c r="M143" s="6" t="str">
        <f t="shared" si="4"/>
        <v/>
      </c>
      <c r="N143" s="6" t="str">
        <f t="shared" si="5"/>
        <v/>
      </c>
    </row>
    <row r="144" spans="1:14" x14ac:dyDescent="0.25">
      <c r="A144" s="7"/>
      <c r="B144" s="7"/>
      <c r="C144" s="6" t="str">
        <f>IF(A144="","",COUNTIFS($A$2:A144,A144,$B$2:B144,B144))</f>
        <v/>
      </c>
      <c r="D144" s="7"/>
      <c r="E144" s="7"/>
      <c r="F144" s="7"/>
      <c r="G144" s="7"/>
      <c r="H144" s="7"/>
      <c r="I144" s="7"/>
      <c r="J144" s="7"/>
      <c r="K144" s="7"/>
      <c r="L144" s="7"/>
      <c r="M144" s="6" t="str">
        <f t="shared" si="4"/>
        <v/>
      </c>
      <c r="N144" s="6" t="str">
        <f t="shared" si="5"/>
        <v/>
      </c>
    </row>
    <row r="145" spans="1:14" x14ac:dyDescent="0.25">
      <c r="A145" s="7"/>
      <c r="B145" s="7"/>
      <c r="C145" s="6" t="str">
        <f>IF(A145="","",COUNTIFS($A$2:A145,A145,$B$2:B145,B145))</f>
        <v/>
      </c>
      <c r="D145" s="7"/>
      <c r="E145" s="7"/>
      <c r="F145" s="7"/>
      <c r="G145" s="7"/>
      <c r="H145" s="7"/>
      <c r="I145" s="7"/>
      <c r="J145" s="7"/>
      <c r="K145" s="7"/>
      <c r="L145" s="7"/>
      <c r="M145" s="6" t="str">
        <f t="shared" si="4"/>
        <v/>
      </c>
      <c r="N145" s="6" t="str">
        <f t="shared" si="5"/>
        <v/>
      </c>
    </row>
    <row r="146" spans="1:14" x14ac:dyDescent="0.25">
      <c r="A146" s="7"/>
      <c r="B146" s="7"/>
      <c r="C146" s="6" t="str">
        <f>IF(A146="","",COUNTIFS($A$2:A146,A146,$B$2:B146,B146))</f>
        <v/>
      </c>
      <c r="D146" s="7"/>
      <c r="E146" s="7"/>
      <c r="F146" s="7"/>
      <c r="G146" s="7"/>
      <c r="H146" s="7"/>
      <c r="I146" s="7"/>
      <c r="J146" s="7"/>
      <c r="K146" s="7"/>
      <c r="L146" s="7"/>
      <c r="M146" s="6" t="str">
        <f t="shared" si="4"/>
        <v/>
      </c>
      <c r="N146" s="6" t="str">
        <f t="shared" si="5"/>
        <v/>
      </c>
    </row>
    <row r="147" spans="1:14" x14ac:dyDescent="0.25">
      <c r="A147" s="7"/>
      <c r="B147" s="7"/>
      <c r="C147" s="6" t="str">
        <f>IF(A147="","",COUNTIFS($A$2:A147,A147,$B$2:B147,B147))</f>
        <v/>
      </c>
      <c r="D147" s="7"/>
      <c r="E147" s="7"/>
      <c r="F147" s="7"/>
      <c r="G147" s="7"/>
      <c r="H147" s="7"/>
      <c r="I147" s="7"/>
      <c r="J147" s="7"/>
      <c r="K147" s="7"/>
      <c r="L147" s="7"/>
      <c r="M147" s="6" t="str">
        <f t="shared" si="4"/>
        <v/>
      </c>
      <c r="N147" s="6" t="str">
        <f t="shared" si="5"/>
        <v/>
      </c>
    </row>
    <row r="148" spans="1:14" x14ac:dyDescent="0.25">
      <c r="A148" s="7"/>
      <c r="B148" s="7"/>
      <c r="C148" s="6" t="str">
        <f>IF(A148="","",COUNTIFS($A$2:A148,A148,$B$2:B148,B148))</f>
        <v/>
      </c>
      <c r="D148" s="7"/>
      <c r="E148" s="7"/>
      <c r="F148" s="7"/>
      <c r="G148" s="7"/>
      <c r="H148" s="7"/>
      <c r="I148" s="7"/>
      <c r="J148" s="7"/>
      <c r="K148" s="7"/>
      <c r="L148" s="7"/>
      <c r="M148" s="6" t="str">
        <f t="shared" si="4"/>
        <v/>
      </c>
      <c r="N148" s="6" t="str">
        <f t="shared" si="5"/>
        <v/>
      </c>
    </row>
    <row r="149" spans="1:14" x14ac:dyDescent="0.25">
      <c r="A149" s="7"/>
      <c r="B149" s="7"/>
      <c r="C149" s="6" t="str">
        <f>IF(A149="","",COUNTIFS($A$2:A149,A149,$B$2:B149,B149))</f>
        <v/>
      </c>
      <c r="D149" s="7"/>
      <c r="E149" s="7"/>
      <c r="F149" s="7"/>
      <c r="G149" s="7"/>
      <c r="H149" s="7"/>
      <c r="I149" s="7"/>
      <c r="J149" s="7"/>
      <c r="K149" s="7"/>
      <c r="L149" s="7"/>
      <c r="M149" s="6" t="str">
        <f t="shared" si="4"/>
        <v/>
      </c>
      <c r="N149" s="6" t="str">
        <f t="shared" si="5"/>
        <v/>
      </c>
    </row>
    <row r="150" spans="1:14" x14ac:dyDescent="0.25">
      <c r="A150" s="7"/>
      <c r="B150" s="7"/>
      <c r="C150" s="6" t="str">
        <f>IF(A150="","",COUNTIFS($A$2:A150,A150,$B$2:B150,B150))</f>
        <v/>
      </c>
      <c r="D150" s="7"/>
      <c r="E150" s="7"/>
      <c r="F150" s="7"/>
      <c r="G150" s="7"/>
      <c r="H150" s="7"/>
      <c r="I150" s="7"/>
      <c r="J150" s="7"/>
      <c r="K150" s="7"/>
      <c r="L150" s="7"/>
      <c r="M150" s="6" t="str">
        <f t="shared" si="4"/>
        <v/>
      </c>
      <c r="N150" s="6" t="str">
        <f t="shared" si="5"/>
        <v/>
      </c>
    </row>
    <row r="151" spans="1:14" x14ac:dyDescent="0.25">
      <c r="A151" s="7"/>
      <c r="B151" s="7"/>
      <c r="C151" s="6" t="str">
        <f>IF(A151="","",COUNTIFS($A$2:A151,A151,$B$2:B151,B151))</f>
        <v/>
      </c>
      <c r="D151" s="7"/>
      <c r="E151" s="7"/>
      <c r="F151" s="7"/>
      <c r="G151" s="7"/>
      <c r="H151" s="7"/>
      <c r="I151" s="7"/>
      <c r="J151" s="7"/>
      <c r="K151" s="7"/>
      <c r="L151" s="7"/>
      <c r="M151" s="6" t="str">
        <f t="shared" si="4"/>
        <v/>
      </c>
      <c r="N151" s="6" t="str">
        <f t="shared" si="5"/>
        <v/>
      </c>
    </row>
    <row r="152" spans="1:14" x14ac:dyDescent="0.25">
      <c r="A152" s="7"/>
      <c r="B152" s="7"/>
      <c r="C152" s="6" t="str">
        <f>IF(A152="","",COUNTIFS($A$2:A152,A152,$B$2:B152,B152))</f>
        <v/>
      </c>
      <c r="D152" s="7"/>
      <c r="E152" s="7"/>
      <c r="F152" s="7"/>
      <c r="G152" s="7"/>
      <c r="H152" s="7"/>
      <c r="I152" s="7"/>
      <c r="J152" s="7"/>
      <c r="K152" s="7"/>
      <c r="L152" s="7"/>
      <c r="M152" s="6" t="str">
        <f t="shared" si="4"/>
        <v/>
      </c>
      <c r="N152" s="6" t="str">
        <f t="shared" si="5"/>
        <v/>
      </c>
    </row>
    <row r="153" spans="1:14" x14ac:dyDescent="0.25">
      <c r="A153" s="7"/>
      <c r="B153" s="7"/>
      <c r="C153" s="6" t="str">
        <f>IF(A153="","",COUNTIFS($A$2:A153,A153,$B$2:B153,B153))</f>
        <v/>
      </c>
      <c r="D153" s="7"/>
      <c r="E153" s="7"/>
      <c r="F153" s="7"/>
      <c r="G153" s="7"/>
      <c r="H153" s="7"/>
      <c r="I153" s="7"/>
      <c r="J153" s="7"/>
      <c r="K153" s="7"/>
      <c r="L153" s="7"/>
      <c r="M153" s="6" t="str">
        <f t="shared" si="4"/>
        <v/>
      </c>
      <c r="N153" s="6" t="str">
        <f t="shared" si="5"/>
        <v/>
      </c>
    </row>
    <row r="154" spans="1:14" x14ac:dyDescent="0.25">
      <c r="A154" s="7"/>
      <c r="B154" s="7"/>
      <c r="C154" s="6" t="str">
        <f>IF(A154="","",COUNTIFS($A$2:A154,A154,$B$2:B154,B154))</f>
        <v/>
      </c>
      <c r="D154" s="7"/>
      <c r="E154" s="7"/>
      <c r="F154" s="7"/>
      <c r="G154" s="7"/>
      <c r="H154" s="7"/>
      <c r="I154" s="7"/>
      <c r="J154" s="7"/>
      <c r="K154" s="7"/>
      <c r="L154" s="7"/>
      <c r="M154" s="6" t="str">
        <f t="shared" si="4"/>
        <v/>
      </c>
      <c r="N154" s="6" t="str">
        <f t="shared" si="5"/>
        <v/>
      </c>
    </row>
    <row r="155" spans="1:14" x14ac:dyDescent="0.25">
      <c r="A155" s="7"/>
      <c r="B155" s="7"/>
      <c r="C155" s="6" t="str">
        <f>IF(A155="","",COUNTIFS($A$2:A155,A155,$B$2:B155,B155))</f>
        <v/>
      </c>
      <c r="D155" s="7"/>
      <c r="E155" s="7"/>
      <c r="F155" s="7"/>
      <c r="G155" s="7"/>
      <c r="H155" s="7"/>
      <c r="I155" s="7"/>
      <c r="J155" s="7"/>
      <c r="K155" s="7"/>
      <c r="L155" s="7"/>
      <c r="M155" s="6" t="str">
        <f t="shared" si="4"/>
        <v/>
      </c>
      <c r="N155" s="6" t="str">
        <f t="shared" si="5"/>
        <v/>
      </c>
    </row>
    <row r="156" spans="1:14" x14ac:dyDescent="0.25">
      <c r="A156" s="7"/>
      <c r="B156" s="7"/>
      <c r="C156" s="6" t="str">
        <f>IF(A156="","",COUNTIFS($A$2:A156,A156,$B$2:B156,B156))</f>
        <v/>
      </c>
      <c r="D156" s="7"/>
      <c r="E156" s="7"/>
      <c r="F156" s="7"/>
      <c r="G156" s="7"/>
      <c r="H156" s="7"/>
      <c r="I156" s="7"/>
      <c r="J156" s="7"/>
      <c r="K156" s="7"/>
      <c r="L156" s="7"/>
      <c r="M156" s="6" t="str">
        <f t="shared" si="4"/>
        <v/>
      </c>
      <c r="N156" s="6" t="str">
        <f t="shared" si="5"/>
        <v/>
      </c>
    </row>
    <row r="157" spans="1:14" x14ac:dyDescent="0.25">
      <c r="A157" s="7"/>
      <c r="B157" s="7"/>
      <c r="C157" s="6" t="str">
        <f>IF(A157="","",COUNTIFS($A$2:A157,A157,$B$2:B157,B157))</f>
        <v/>
      </c>
      <c r="D157" s="7"/>
      <c r="E157" s="7"/>
      <c r="F157" s="7"/>
      <c r="G157" s="7"/>
      <c r="H157" s="7"/>
      <c r="I157" s="7"/>
      <c r="J157" s="7"/>
      <c r="K157" s="7"/>
      <c r="L157" s="7"/>
      <c r="M157" s="6" t="str">
        <f t="shared" si="4"/>
        <v/>
      </c>
      <c r="N157" s="6" t="str">
        <f t="shared" si="5"/>
        <v/>
      </c>
    </row>
    <row r="158" spans="1:14" x14ac:dyDescent="0.25">
      <c r="A158" s="7"/>
      <c r="B158" s="7"/>
      <c r="C158" s="6" t="str">
        <f>IF(A158="","",COUNTIFS($A$2:A158,A158,$B$2:B158,B158))</f>
        <v/>
      </c>
      <c r="D158" s="7"/>
      <c r="E158" s="7"/>
      <c r="F158" s="7"/>
      <c r="G158" s="7"/>
      <c r="H158" s="7"/>
      <c r="I158" s="7"/>
      <c r="J158" s="7"/>
      <c r="K158" s="7"/>
      <c r="L158" s="7"/>
      <c r="M158" s="6" t="str">
        <f t="shared" si="4"/>
        <v/>
      </c>
      <c r="N158" s="6" t="str">
        <f t="shared" si="5"/>
        <v/>
      </c>
    </row>
    <row r="159" spans="1:14" x14ac:dyDescent="0.25">
      <c r="A159" s="7"/>
      <c r="B159" s="7"/>
      <c r="C159" s="6" t="str">
        <f>IF(A159="","",COUNTIFS($A$2:A159,A159,$B$2:B159,B159))</f>
        <v/>
      </c>
      <c r="D159" s="7"/>
      <c r="E159" s="7"/>
      <c r="F159" s="7"/>
      <c r="G159" s="7"/>
      <c r="H159" s="7"/>
      <c r="I159" s="7"/>
      <c r="J159" s="7"/>
      <c r="K159" s="7"/>
      <c r="L159" s="7"/>
      <c r="M159" s="6" t="str">
        <f t="shared" si="4"/>
        <v/>
      </c>
      <c r="N159" s="6" t="str">
        <f t="shared" si="5"/>
        <v/>
      </c>
    </row>
    <row r="160" spans="1:14" x14ac:dyDescent="0.25">
      <c r="A160" s="7"/>
      <c r="B160" s="7"/>
      <c r="C160" s="6" t="str">
        <f>IF(A160="","",COUNTIFS($A$2:A160,A160,$B$2:B160,B160))</f>
        <v/>
      </c>
      <c r="D160" s="7"/>
      <c r="E160" s="7"/>
      <c r="F160" s="7"/>
      <c r="G160" s="7"/>
      <c r="H160" s="7"/>
      <c r="I160" s="7"/>
      <c r="J160" s="7"/>
      <c r="K160" s="7"/>
      <c r="L160" s="7"/>
      <c r="M160" s="6" t="str">
        <f t="shared" si="4"/>
        <v/>
      </c>
      <c r="N160" s="6" t="str">
        <f t="shared" si="5"/>
        <v/>
      </c>
    </row>
    <row r="161" spans="1:14" x14ac:dyDescent="0.25">
      <c r="A161" s="7"/>
      <c r="B161" s="7"/>
      <c r="C161" s="6" t="str">
        <f>IF(A161="","",COUNTIFS($A$2:A161,A161,$B$2:B161,B161))</f>
        <v/>
      </c>
      <c r="D161" s="7"/>
      <c r="E161" s="7"/>
      <c r="F161" s="7"/>
      <c r="G161" s="7"/>
      <c r="H161" s="7"/>
      <c r="I161" s="7"/>
      <c r="J161" s="7"/>
      <c r="K161" s="7"/>
      <c r="L161" s="7"/>
      <c r="M161" s="6" t="str">
        <f t="shared" si="4"/>
        <v/>
      </c>
      <c r="N161" s="6" t="str">
        <f t="shared" si="5"/>
        <v/>
      </c>
    </row>
    <row r="162" spans="1:14" x14ac:dyDescent="0.25">
      <c r="A162" s="7"/>
      <c r="B162" s="7"/>
      <c r="C162" s="6" t="str">
        <f>IF(A162="","",COUNTIFS($A$2:A162,A162,$B$2:B162,B162))</f>
        <v/>
      </c>
      <c r="D162" s="7"/>
      <c r="E162" s="7"/>
      <c r="F162" s="7"/>
      <c r="G162" s="7"/>
      <c r="H162" s="7"/>
      <c r="I162" s="7"/>
      <c r="J162" s="7"/>
      <c r="K162" s="7"/>
      <c r="L162" s="7"/>
      <c r="M162" s="6" t="str">
        <f t="shared" si="4"/>
        <v/>
      </c>
      <c r="N162" s="6" t="str">
        <f t="shared" si="5"/>
        <v/>
      </c>
    </row>
    <row r="163" spans="1:14" x14ac:dyDescent="0.25">
      <c r="A163" s="7"/>
      <c r="B163" s="7"/>
      <c r="C163" s="6" t="str">
        <f>IF(A163="","",COUNTIFS($A$2:A163,A163,$B$2:B163,B163))</f>
        <v/>
      </c>
      <c r="D163" s="7"/>
      <c r="E163" s="7"/>
      <c r="F163" s="7"/>
      <c r="G163" s="7"/>
      <c r="H163" s="7"/>
      <c r="I163" s="7"/>
      <c r="J163" s="7"/>
      <c r="K163" s="7"/>
      <c r="L163" s="7"/>
      <c r="M163" s="6" t="str">
        <f t="shared" si="4"/>
        <v/>
      </c>
      <c r="N163" s="6" t="str">
        <f t="shared" si="5"/>
        <v/>
      </c>
    </row>
    <row r="164" spans="1:14" x14ac:dyDescent="0.25">
      <c r="A164" s="7"/>
      <c r="B164" s="7"/>
      <c r="C164" s="6" t="str">
        <f>IF(A164="","",COUNTIFS($A$2:A164,A164,$B$2:B164,B164))</f>
        <v/>
      </c>
      <c r="D164" s="7"/>
      <c r="E164" s="7"/>
      <c r="F164" s="7"/>
      <c r="G164" s="7"/>
      <c r="H164" s="7"/>
      <c r="I164" s="7"/>
      <c r="J164" s="7"/>
      <c r="K164" s="7"/>
      <c r="L164" s="7"/>
      <c r="M164" s="6" t="str">
        <f t="shared" si="4"/>
        <v/>
      </c>
      <c r="N164" s="6" t="str">
        <f t="shared" si="5"/>
        <v/>
      </c>
    </row>
    <row r="165" spans="1:14" x14ac:dyDescent="0.25">
      <c r="A165" s="7"/>
      <c r="B165" s="7"/>
      <c r="C165" s="6" t="str">
        <f>IF(A165="","",COUNTIFS($A$2:A165,A165,$B$2:B165,B165))</f>
        <v/>
      </c>
      <c r="D165" s="7"/>
      <c r="E165" s="7"/>
      <c r="F165" s="7"/>
      <c r="G165" s="7"/>
      <c r="H165" s="7"/>
      <c r="I165" s="7"/>
      <c r="J165" s="7"/>
      <c r="K165" s="7"/>
      <c r="L165" s="7"/>
      <c r="M165" s="6" t="str">
        <f t="shared" si="4"/>
        <v/>
      </c>
      <c r="N165" s="6" t="str">
        <f t="shared" si="5"/>
        <v/>
      </c>
    </row>
    <row r="166" spans="1:14" x14ac:dyDescent="0.25">
      <c r="A166" s="7"/>
      <c r="B166" s="7"/>
      <c r="C166" s="6" t="str">
        <f>IF(A166="","",COUNTIFS($A$2:A166,A166,$B$2:B166,B166))</f>
        <v/>
      </c>
      <c r="D166" s="7"/>
      <c r="E166" s="7"/>
      <c r="F166" s="7"/>
      <c r="G166" s="7"/>
      <c r="H166" s="7"/>
      <c r="I166" s="7"/>
      <c r="J166" s="7"/>
      <c r="K166" s="7"/>
      <c r="L166" s="7"/>
      <c r="M166" s="6" t="str">
        <f t="shared" si="4"/>
        <v/>
      </c>
      <c r="N166" s="6" t="str">
        <f t="shared" si="5"/>
        <v/>
      </c>
    </row>
    <row r="167" spans="1:14" x14ac:dyDescent="0.25">
      <c r="A167" s="7"/>
      <c r="B167" s="7"/>
      <c r="C167" s="6" t="str">
        <f>IF(A167="","",COUNTIFS($A$2:A167,A167,$B$2:B167,B167))</f>
        <v/>
      </c>
      <c r="D167" s="7"/>
      <c r="E167" s="7"/>
      <c r="F167" s="7"/>
      <c r="G167" s="7"/>
      <c r="H167" s="7"/>
      <c r="I167" s="7"/>
      <c r="J167" s="7"/>
      <c r="K167" s="7"/>
      <c r="L167" s="7"/>
      <c r="M167" s="6" t="str">
        <f t="shared" si="4"/>
        <v/>
      </c>
      <c r="N167" s="6" t="str">
        <f t="shared" si="5"/>
        <v/>
      </c>
    </row>
    <row r="168" spans="1:14" x14ac:dyDescent="0.25">
      <c r="A168" s="7"/>
      <c r="B168" s="7"/>
      <c r="C168" s="6" t="str">
        <f>IF(A168="","",COUNTIFS($A$2:A168,A168,$B$2:B168,B168))</f>
        <v/>
      </c>
      <c r="D168" s="7"/>
      <c r="E168" s="7"/>
      <c r="F168" s="7"/>
      <c r="G168" s="7"/>
      <c r="H168" s="7"/>
      <c r="I168" s="7"/>
      <c r="J168" s="7"/>
      <c r="K168" s="7"/>
      <c r="L168" s="7"/>
      <c r="M168" s="6" t="str">
        <f t="shared" si="4"/>
        <v/>
      </c>
      <c r="N168" s="6" t="str">
        <f t="shared" si="5"/>
        <v/>
      </c>
    </row>
    <row r="169" spans="1:14" x14ac:dyDescent="0.25">
      <c r="A169" s="7"/>
      <c r="B169" s="7"/>
      <c r="C169" s="6" t="str">
        <f>IF(A169="","",COUNTIFS($A$2:A169,A169,$B$2:B169,B169))</f>
        <v/>
      </c>
      <c r="D169" s="7"/>
      <c r="E169" s="7"/>
      <c r="F169" s="7"/>
      <c r="G169" s="7"/>
      <c r="H169" s="7"/>
      <c r="I169" s="7"/>
      <c r="J169" s="7"/>
      <c r="K169" s="7"/>
      <c r="L169" s="7"/>
      <c r="M169" s="6" t="str">
        <f t="shared" si="4"/>
        <v/>
      </c>
      <c r="N169" s="6" t="str">
        <f t="shared" si="5"/>
        <v/>
      </c>
    </row>
    <row r="170" spans="1:14" x14ac:dyDescent="0.25">
      <c r="A170" s="7"/>
      <c r="B170" s="7"/>
      <c r="C170" s="6" t="str">
        <f>IF(A170="","",COUNTIFS($A$2:A170,A170,$B$2:B170,B170))</f>
        <v/>
      </c>
      <c r="D170" s="7"/>
      <c r="E170" s="7"/>
      <c r="F170" s="7"/>
      <c r="G170" s="7"/>
      <c r="H170" s="7"/>
      <c r="I170" s="7"/>
      <c r="J170" s="7"/>
      <c r="K170" s="7"/>
      <c r="L170" s="7"/>
      <c r="M170" s="6" t="str">
        <f t="shared" si="4"/>
        <v/>
      </c>
      <c r="N170" s="6" t="str">
        <f t="shared" si="5"/>
        <v/>
      </c>
    </row>
    <row r="171" spans="1:14" x14ac:dyDescent="0.25">
      <c r="A171" s="7"/>
      <c r="B171" s="7"/>
      <c r="C171" s="6" t="str">
        <f>IF(A171="","",COUNTIFS($A$2:A171,A171,$B$2:B171,B171))</f>
        <v/>
      </c>
      <c r="D171" s="7"/>
      <c r="E171" s="7"/>
      <c r="F171" s="7"/>
      <c r="G171" s="7"/>
      <c r="H171" s="7"/>
      <c r="I171" s="7"/>
      <c r="J171" s="7"/>
      <c r="K171" s="7"/>
      <c r="L171" s="7"/>
      <c r="M171" s="6" t="str">
        <f t="shared" si="4"/>
        <v/>
      </c>
      <c r="N171" s="6" t="str">
        <f t="shared" si="5"/>
        <v/>
      </c>
    </row>
    <row r="172" spans="1:14" x14ac:dyDescent="0.25">
      <c r="A172" s="7"/>
      <c r="B172" s="7"/>
      <c r="C172" s="6" t="str">
        <f>IF(A172="","",COUNTIFS($A$2:A172,A172,$B$2:B172,B172))</f>
        <v/>
      </c>
      <c r="D172" s="7"/>
      <c r="E172" s="7"/>
      <c r="F172" s="7"/>
      <c r="G172" s="7"/>
      <c r="H172" s="7"/>
      <c r="I172" s="7"/>
      <c r="J172" s="7"/>
      <c r="K172" s="7"/>
      <c r="L172" s="7"/>
      <c r="M172" s="6" t="str">
        <f t="shared" si="4"/>
        <v/>
      </c>
      <c r="N172" s="6" t="str">
        <f t="shared" si="5"/>
        <v/>
      </c>
    </row>
    <row r="173" spans="1:14" x14ac:dyDescent="0.25">
      <c r="A173" s="7"/>
      <c r="B173" s="7"/>
      <c r="C173" s="6" t="str">
        <f>IF(A173="","",COUNTIFS($A$2:A173,A173,$B$2:B173,B173))</f>
        <v/>
      </c>
      <c r="D173" s="7"/>
      <c r="E173" s="7"/>
      <c r="F173" s="7"/>
      <c r="G173" s="7"/>
      <c r="H173" s="7"/>
      <c r="I173" s="7"/>
      <c r="J173" s="7"/>
      <c r="K173" s="7"/>
      <c r="L173" s="7"/>
      <c r="M173" s="6" t="str">
        <f t="shared" si="4"/>
        <v/>
      </c>
      <c r="N173" s="6" t="str">
        <f t="shared" si="5"/>
        <v/>
      </c>
    </row>
    <row r="174" spans="1:14" x14ac:dyDescent="0.25">
      <c r="A174" s="7"/>
      <c r="B174" s="7"/>
      <c r="C174" s="6" t="str">
        <f>IF(A174="","",COUNTIFS($A$2:A174,A174,$B$2:B174,B174))</f>
        <v/>
      </c>
      <c r="D174" s="7"/>
      <c r="E174" s="7"/>
      <c r="F174" s="7"/>
      <c r="G174" s="7"/>
      <c r="H174" s="7"/>
      <c r="I174" s="7"/>
      <c r="J174" s="7"/>
      <c r="K174" s="7"/>
      <c r="L174" s="7"/>
      <c r="M174" s="6" t="str">
        <f t="shared" si="4"/>
        <v/>
      </c>
      <c r="N174" s="6" t="str">
        <f t="shared" si="5"/>
        <v/>
      </c>
    </row>
    <row r="175" spans="1:14" x14ac:dyDescent="0.25">
      <c r="A175" s="7"/>
      <c r="B175" s="7"/>
      <c r="C175" s="6" t="str">
        <f>IF(A175="","",COUNTIFS($A$2:A175,A175,$B$2:B175,B175))</f>
        <v/>
      </c>
      <c r="D175" s="7"/>
      <c r="E175" s="7"/>
      <c r="F175" s="7"/>
      <c r="G175" s="7"/>
      <c r="H175" s="7"/>
      <c r="I175" s="7"/>
      <c r="J175" s="7"/>
      <c r="K175" s="7"/>
      <c r="L175" s="7"/>
      <c r="M175" s="6" t="str">
        <f t="shared" si="4"/>
        <v/>
      </c>
      <c r="N175" s="6" t="str">
        <f t="shared" si="5"/>
        <v/>
      </c>
    </row>
    <row r="176" spans="1:14" x14ac:dyDescent="0.25">
      <c r="A176" s="7"/>
      <c r="B176" s="7"/>
      <c r="C176" s="6" t="str">
        <f>IF(A176="","",COUNTIFS($A$2:A176,A176,$B$2:B176,B176))</f>
        <v/>
      </c>
      <c r="D176" s="7"/>
      <c r="E176" s="7"/>
      <c r="F176" s="7"/>
      <c r="G176" s="7"/>
      <c r="H176" s="7"/>
      <c r="I176" s="7"/>
      <c r="J176" s="7"/>
      <c r="K176" s="7"/>
      <c r="L176" s="7"/>
      <c r="M176" s="6" t="str">
        <f t="shared" si="4"/>
        <v/>
      </c>
      <c r="N176" s="6" t="str">
        <f t="shared" si="5"/>
        <v/>
      </c>
    </row>
    <row r="177" spans="1:14" x14ac:dyDescent="0.25">
      <c r="A177" s="7"/>
      <c r="B177" s="7"/>
      <c r="C177" s="6" t="str">
        <f>IF(A177="","",COUNTIFS($A$2:A177,A177,$B$2:B177,B177))</f>
        <v/>
      </c>
      <c r="D177" s="7"/>
      <c r="E177" s="7"/>
      <c r="F177" s="7"/>
      <c r="G177" s="7"/>
      <c r="H177" s="7"/>
      <c r="I177" s="7"/>
      <c r="J177" s="7"/>
      <c r="K177" s="7"/>
      <c r="L177" s="7"/>
      <c r="M177" s="6" t="str">
        <f t="shared" si="4"/>
        <v/>
      </c>
      <c r="N177" s="6" t="str">
        <f t="shared" si="5"/>
        <v/>
      </c>
    </row>
    <row r="178" spans="1:14" x14ac:dyDescent="0.25">
      <c r="A178" s="7"/>
      <c r="B178" s="7"/>
      <c r="C178" s="6" t="str">
        <f>IF(A178="","",COUNTIFS($A$2:A178,A178,$B$2:B178,B178))</f>
        <v/>
      </c>
      <c r="D178" s="7"/>
      <c r="E178" s="7"/>
      <c r="F178" s="7"/>
      <c r="G178" s="7"/>
      <c r="H178" s="7"/>
      <c r="I178" s="7"/>
      <c r="J178" s="7"/>
      <c r="K178" s="7"/>
      <c r="L178" s="7"/>
      <c r="M178" s="6" t="str">
        <f t="shared" si="4"/>
        <v/>
      </c>
      <c r="N178" s="6" t="str">
        <f t="shared" si="5"/>
        <v/>
      </c>
    </row>
    <row r="179" spans="1:14" x14ac:dyDescent="0.25">
      <c r="A179" s="7"/>
      <c r="B179" s="7"/>
      <c r="C179" s="6" t="str">
        <f>IF(A179="","",COUNTIFS($A$2:A179,A179,$B$2:B179,B179))</f>
        <v/>
      </c>
      <c r="D179" s="7"/>
      <c r="E179" s="7"/>
      <c r="F179" s="7"/>
      <c r="G179" s="7"/>
      <c r="H179" s="7"/>
      <c r="I179" s="7"/>
      <c r="J179" s="7"/>
      <c r="K179" s="7"/>
      <c r="L179" s="7"/>
      <c r="M179" s="6" t="str">
        <f t="shared" si="4"/>
        <v/>
      </c>
      <c r="N179" s="6" t="str">
        <f t="shared" si="5"/>
        <v/>
      </c>
    </row>
    <row r="180" spans="1:14" x14ac:dyDescent="0.25">
      <c r="A180" s="7"/>
      <c r="B180" s="7"/>
      <c r="C180" s="6" t="str">
        <f>IF(A180="","",COUNTIFS($A$2:A180,A180,$B$2:B180,B180))</f>
        <v/>
      </c>
      <c r="D180" s="7"/>
      <c r="E180" s="7"/>
      <c r="F180" s="7"/>
      <c r="G180" s="7"/>
      <c r="H180" s="7"/>
      <c r="I180" s="7"/>
      <c r="J180" s="7"/>
      <c r="K180" s="7"/>
      <c r="L180" s="7"/>
      <c r="M180" s="6" t="str">
        <f t="shared" si="4"/>
        <v/>
      </c>
      <c r="N180" s="6" t="str">
        <f t="shared" si="5"/>
        <v/>
      </c>
    </row>
    <row r="181" spans="1:14" x14ac:dyDescent="0.25">
      <c r="A181" s="7"/>
      <c r="B181" s="7"/>
      <c r="C181" s="6" t="str">
        <f>IF(A181="","",COUNTIFS($A$2:A181,A181,$B$2:B181,B181))</f>
        <v/>
      </c>
      <c r="D181" s="7"/>
      <c r="E181" s="7"/>
      <c r="F181" s="7"/>
      <c r="G181" s="7"/>
      <c r="H181" s="7"/>
      <c r="I181" s="7"/>
      <c r="J181" s="7"/>
      <c r="K181" s="7"/>
      <c r="L181" s="7"/>
      <c r="M181" s="6" t="str">
        <f t="shared" si="4"/>
        <v/>
      </c>
      <c r="N181" s="6" t="str">
        <f t="shared" si="5"/>
        <v/>
      </c>
    </row>
    <row r="182" spans="1:14" x14ac:dyDescent="0.25">
      <c r="A182" s="7"/>
      <c r="B182" s="7"/>
      <c r="C182" s="6" t="str">
        <f>IF(A182="","",COUNTIFS($A$2:A182,A182,$B$2:B182,B182))</f>
        <v/>
      </c>
      <c r="D182" s="7"/>
      <c r="E182" s="7"/>
      <c r="F182" s="7"/>
      <c r="G182" s="7"/>
      <c r="H182" s="7"/>
      <c r="I182" s="7"/>
      <c r="J182" s="7"/>
      <c r="K182" s="7"/>
      <c r="L182" s="7"/>
      <c r="M182" s="6" t="str">
        <f t="shared" si="4"/>
        <v/>
      </c>
      <c r="N182" s="6" t="str">
        <f t="shared" si="5"/>
        <v/>
      </c>
    </row>
    <row r="183" spans="1:14" x14ac:dyDescent="0.25">
      <c r="A183" s="7"/>
      <c r="B183" s="7"/>
      <c r="C183" s="6" t="str">
        <f>IF(A183="","",COUNTIFS($A$2:A183,A183,$B$2:B183,B183))</f>
        <v/>
      </c>
      <c r="D183" s="7"/>
      <c r="E183" s="7"/>
      <c r="F183" s="7"/>
      <c r="G183" s="7"/>
      <c r="H183" s="7"/>
      <c r="I183" s="7"/>
      <c r="J183" s="7"/>
      <c r="K183" s="7"/>
      <c r="L183" s="7"/>
      <c r="M183" s="6" t="str">
        <f t="shared" si="4"/>
        <v/>
      </c>
      <c r="N183" s="6" t="str">
        <f t="shared" si="5"/>
        <v/>
      </c>
    </row>
    <row r="184" spans="1:14" x14ac:dyDescent="0.25">
      <c r="A184" s="7"/>
      <c r="B184" s="7"/>
      <c r="C184" s="6" t="str">
        <f>IF(A184="","",COUNTIFS($A$2:A184,A184,$B$2:B184,B184))</f>
        <v/>
      </c>
      <c r="D184" s="7"/>
      <c r="E184" s="7"/>
      <c r="F184" s="7"/>
      <c r="G184" s="7"/>
      <c r="H184" s="7"/>
      <c r="I184" s="7"/>
      <c r="J184" s="7"/>
      <c r="K184" s="7"/>
      <c r="L184" s="7"/>
      <c r="M184" s="6" t="str">
        <f t="shared" si="4"/>
        <v/>
      </c>
      <c r="N184" s="6" t="str">
        <f t="shared" si="5"/>
        <v/>
      </c>
    </row>
    <row r="185" spans="1:14" x14ac:dyDescent="0.25">
      <c r="A185" s="7"/>
      <c r="B185" s="7"/>
      <c r="C185" s="6" t="str">
        <f>IF(A185="","",COUNTIFS($A$2:A185,A185,$B$2:B185,B185))</f>
        <v/>
      </c>
      <c r="D185" s="7"/>
      <c r="E185" s="7"/>
      <c r="F185" s="7"/>
      <c r="G185" s="7"/>
      <c r="H185" s="7"/>
      <c r="I185" s="7"/>
      <c r="J185" s="7"/>
      <c r="K185" s="7"/>
      <c r="L185" s="7"/>
      <c r="M185" s="6" t="str">
        <f t="shared" si="4"/>
        <v/>
      </c>
      <c r="N185" s="6" t="str">
        <f t="shared" si="5"/>
        <v/>
      </c>
    </row>
    <row r="186" spans="1:14" x14ac:dyDescent="0.25">
      <c r="A186" s="7"/>
      <c r="B186" s="7"/>
      <c r="C186" s="6" t="str">
        <f>IF(A186="","",COUNTIFS($A$2:A186,A186,$B$2:B186,B186))</f>
        <v/>
      </c>
      <c r="D186" s="7"/>
      <c r="E186" s="7"/>
      <c r="F186" s="7"/>
      <c r="G186" s="7"/>
      <c r="H186" s="7"/>
      <c r="I186" s="7"/>
      <c r="J186" s="7"/>
      <c r="K186" s="7"/>
      <c r="L186" s="7"/>
      <c r="M186" s="6" t="str">
        <f t="shared" si="4"/>
        <v/>
      </c>
      <c r="N186" s="6" t="str">
        <f t="shared" si="5"/>
        <v/>
      </c>
    </row>
    <row r="187" spans="1:14" x14ac:dyDescent="0.25">
      <c r="A187" s="7"/>
      <c r="B187" s="7"/>
      <c r="C187" s="6" t="str">
        <f>IF(A187="","",COUNTIFS($A$2:A187,A187,$B$2:B187,B187))</f>
        <v/>
      </c>
      <c r="D187" s="7"/>
      <c r="E187" s="7"/>
      <c r="F187" s="7"/>
      <c r="G187" s="7"/>
      <c r="H187" s="7"/>
      <c r="I187" s="7"/>
      <c r="J187" s="7"/>
      <c r="K187" s="7"/>
      <c r="L187" s="7"/>
      <c r="M187" s="6" t="str">
        <f t="shared" si="4"/>
        <v/>
      </c>
      <c r="N187" s="6" t="str">
        <f t="shared" si="5"/>
        <v/>
      </c>
    </row>
    <row r="188" spans="1:14" x14ac:dyDescent="0.25">
      <c r="A188" s="7"/>
      <c r="B188" s="7"/>
      <c r="C188" s="6" t="str">
        <f>IF(A188="","",COUNTIFS($A$2:A188,A188,$B$2:B188,B188))</f>
        <v/>
      </c>
      <c r="D188" s="7"/>
      <c r="E188" s="7"/>
      <c r="F188" s="7"/>
      <c r="G188" s="7"/>
      <c r="H188" s="7"/>
      <c r="I188" s="7"/>
      <c r="J188" s="7"/>
      <c r="K188" s="7"/>
      <c r="L188" s="7"/>
      <c r="M188" s="6" t="str">
        <f t="shared" si="4"/>
        <v/>
      </c>
      <c r="N188" s="6" t="str">
        <f t="shared" si="5"/>
        <v/>
      </c>
    </row>
    <row r="189" spans="1:14" x14ac:dyDescent="0.25">
      <c r="A189" s="7"/>
      <c r="B189" s="7"/>
      <c r="C189" s="6" t="str">
        <f>IF(A189="","",COUNTIFS($A$2:A189,A189,$B$2:B189,B189))</f>
        <v/>
      </c>
      <c r="D189" s="7"/>
      <c r="E189" s="7"/>
      <c r="F189" s="7"/>
      <c r="G189" s="7"/>
      <c r="H189" s="7"/>
      <c r="I189" s="7"/>
      <c r="J189" s="7"/>
      <c r="K189" s="7"/>
      <c r="L189" s="7"/>
      <c r="M189" s="6" t="str">
        <f t="shared" si="4"/>
        <v/>
      </c>
      <c r="N189" s="6" t="str">
        <f t="shared" si="5"/>
        <v/>
      </c>
    </row>
    <row r="190" spans="1:14" x14ac:dyDescent="0.25">
      <c r="A190" s="7"/>
      <c r="B190" s="7"/>
      <c r="C190" s="6" t="str">
        <f>IF(A190="","",COUNTIFS($A$2:A190,A190,$B$2:B190,B190))</f>
        <v/>
      </c>
      <c r="D190" s="7"/>
      <c r="E190" s="7"/>
      <c r="F190" s="7"/>
      <c r="G190" s="7"/>
      <c r="H190" s="7"/>
      <c r="I190" s="7"/>
      <c r="J190" s="7"/>
      <c r="K190" s="7"/>
      <c r="L190" s="7"/>
      <c r="M190" s="6" t="str">
        <f t="shared" si="4"/>
        <v/>
      </c>
      <c r="N190" s="6" t="str">
        <f t="shared" si="5"/>
        <v/>
      </c>
    </row>
    <row r="191" spans="1:14" x14ac:dyDescent="0.25">
      <c r="A191" s="7"/>
      <c r="B191" s="7"/>
      <c r="C191" s="6" t="str">
        <f>IF(A191="","",COUNTIFS($A$2:A191,A191,$B$2:B191,B191))</f>
        <v/>
      </c>
      <c r="D191" s="7"/>
      <c r="E191" s="7"/>
      <c r="F191" s="7"/>
      <c r="G191" s="7"/>
      <c r="H191" s="7"/>
      <c r="I191" s="7"/>
      <c r="J191" s="7"/>
      <c r="K191" s="7"/>
      <c r="L191" s="7"/>
      <c r="M191" s="6" t="str">
        <f t="shared" si="4"/>
        <v/>
      </c>
      <c r="N191" s="6" t="str">
        <f t="shared" si="5"/>
        <v/>
      </c>
    </row>
    <row r="192" spans="1:14" x14ac:dyDescent="0.25">
      <c r="A192" s="7"/>
      <c r="B192" s="7"/>
      <c r="C192" s="6" t="str">
        <f>IF(A192="","",COUNTIFS($A$2:A192,A192,$B$2:B192,B192))</f>
        <v/>
      </c>
      <c r="D192" s="7"/>
      <c r="E192" s="7"/>
      <c r="F192" s="7"/>
      <c r="G192" s="7"/>
      <c r="H192" s="7"/>
      <c r="I192" s="7"/>
      <c r="J192" s="7"/>
      <c r="K192" s="7"/>
      <c r="L192" s="7"/>
      <c r="M192" s="6" t="str">
        <f t="shared" si="4"/>
        <v/>
      </c>
      <c r="N192" s="6" t="str">
        <f t="shared" si="5"/>
        <v/>
      </c>
    </row>
    <row r="193" spans="1:14" x14ac:dyDescent="0.25">
      <c r="A193" s="7"/>
      <c r="B193" s="7"/>
      <c r="C193" s="6" t="str">
        <f>IF(A193="","",COUNTIFS($A$2:A193,A193,$B$2:B193,B193))</f>
        <v/>
      </c>
      <c r="D193" s="7"/>
      <c r="E193" s="7"/>
      <c r="F193" s="7"/>
      <c r="G193" s="7"/>
      <c r="H193" s="7"/>
      <c r="I193" s="7"/>
      <c r="J193" s="7"/>
      <c r="K193" s="7"/>
      <c r="L193" s="7"/>
      <c r="M193" s="6" t="str">
        <f t="shared" si="4"/>
        <v/>
      </c>
      <c r="N193" s="6" t="str">
        <f t="shared" si="5"/>
        <v/>
      </c>
    </row>
    <row r="194" spans="1:14" x14ac:dyDescent="0.25">
      <c r="A194" s="7"/>
      <c r="B194" s="7"/>
      <c r="C194" s="6" t="str">
        <f>IF(A194="","",COUNTIFS($A$2:A194,A194,$B$2:B194,B194))</f>
        <v/>
      </c>
      <c r="D194" s="7"/>
      <c r="E194" s="7"/>
      <c r="F194" s="7"/>
      <c r="G194" s="7"/>
      <c r="H194" s="7"/>
      <c r="I194" s="7"/>
      <c r="J194" s="7"/>
      <c r="K194" s="7"/>
      <c r="L194" s="7"/>
      <c r="M194" s="6" t="str">
        <f t="shared" ref="M194:M257" si="6">IF(D194="","",IF(OR(E194="",F194=""),"",IF(TRIM(IF(AND(E194="hecho",F194="INCORRECTA"),"INC ","")&amp;IF(AND(E194="abstencion",F194="INCORRECTA"),"ABS-E ","")&amp;IF(AND(E194="hecho",F194="FUERA_REF",H194="no_resp"),"NO-ABS ","")&amp;IF(AND(E194="hecho",I194="SIN-RESPALDO"),"SIN-R ","")&amp;IF(AND(E194="hecho",I194="CITA-X"),"CITA-X ","")&amp;IF(AND(E194="hecho",I194="SIN-CITA"),"SIN-C ",""))="","-",TRIM(IF(AND(E194="hecho",F194="INCORRECTA"),"INC ","")&amp;IF(AND(E194="abstencion",F194="INCORRECTA"),"ABS-E ","")&amp;IF(AND(E194="hecho",F194="FUERA_REF",H194="no_resp"),"NO-ABS ","")&amp;IF(AND(E194="hecho",I194="SIN-RESPALDO"),"SIN-R ","")&amp;IF(AND(E194="hecho",I194="CITA-X"),"CITA-X ","")&amp;IF(AND(E194="hecho",I194="SIN-CITA"),"SIN-C ","")))))</f>
        <v/>
      </c>
      <c r="N194" s="6" t="str">
        <f t="shared" ref="N194:N257" si="7">IF(D194="","",IF(OR(A194="",B194="",E194="",F194=""),"falta qid, modo, tipo o vs_ref",IF(AND(B194="llm",I194&lt;&gt;""),"respaldo no aplica en modo LLM",IF(AND(E194="abstencion",I194&lt;&gt;""),"una abstención no se califica en citas",IF(AND(B194="rag",E194="hecho",I194=""),"falta respaldo","ok")))))</f>
        <v/>
      </c>
    </row>
    <row r="195" spans="1:14" x14ac:dyDescent="0.25">
      <c r="A195" s="7"/>
      <c r="B195" s="7"/>
      <c r="C195" s="6" t="str">
        <f>IF(A195="","",COUNTIFS($A$2:A195,A195,$B$2:B195,B195))</f>
        <v/>
      </c>
      <c r="D195" s="7"/>
      <c r="E195" s="7"/>
      <c r="F195" s="7"/>
      <c r="G195" s="7"/>
      <c r="H195" s="7"/>
      <c r="I195" s="7"/>
      <c r="J195" s="7"/>
      <c r="K195" s="7"/>
      <c r="L195" s="7"/>
      <c r="M195" s="6" t="str">
        <f t="shared" si="6"/>
        <v/>
      </c>
      <c r="N195" s="6" t="str">
        <f t="shared" si="7"/>
        <v/>
      </c>
    </row>
    <row r="196" spans="1:14" x14ac:dyDescent="0.25">
      <c r="A196" s="7"/>
      <c r="B196" s="7"/>
      <c r="C196" s="6" t="str">
        <f>IF(A196="","",COUNTIFS($A$2:A196,A196,$B$2:B196,B196))</f>
        <v/>
      </c>
      <c r="D196" s="7"/>
      <c r="E196" s="7"/>
      <c r="F196" s="7"/>
      <c r="G196" s="7"/>
      <c r="H196" s="7"/>
      <c r="I196" s="7"/>
      <c r="J196" s="7"/>
      <c r="K196" s="7"/>
      <c r="L196" s="7"/>
      <c r="M196" s="6" t="str">
        <f t="shared" si="6"/>
        <v/>
      </c>
      <c r="N196" s="6" t="str">
        <f t="shared" si="7"/>
        <v/>
      </c>
    </row>
    <row r="197" spans="1:14" x14ac:dyDescent="0.25">
      <c r="A197" s="7"/>
      <c r="B197" s="7"/>
      <c r="C197" s="6" t="str">
        <f>IF(A197="","",COUNTIFS($A$2:A197,A197,$B$2:B197,B197))</f>
        <v/>
      </c>
      <c r="D197" s="7"/>
      <c r="E197" s="7"/>
      <c r="F197" s="7"/>
      <c r="G197" s="7"/>
      <c r="H197" s="7"/>
      <c r="I197" s="7"/>
      <c r="J197" s="7"/>
      <c r="K197" s="7"/>
      <c r="L197" s="7"/>
      <c r="M197" s="6" t="str">
        <f t="shared" si="6"/>
        <v/>
      </c>
      <c r="N197" s="6" t="str">
        <f t="shared" si="7"/>
        <v/>
      </c>
    </row>
    <row r="198" spans="1:14" x14ac:dyDescent="0.25">
      <c r="A198" s="7"/>
      <c r="B198" s="7"/>
      <c r="C198" s="6" t="str">
        <f>IF(A198="","",COUNTIFS($A$2:A198,A198,$B$2:B198,B198))</f>
        <v/>
      </c>
      <c r="D198" s="7"/>
      <c r="E198" s="7"/>
      <c r="F198" s="7"/>
      <c r="G198" s="7"/>
      <c r="H198" s="7"/>
      <c r="I198" s="7"/>
      <c r="J198" s="7"/>
      <c r="K198" s="7"/>
      <c r="L198" s="7"/>
      <c r="M198" s="6" t="str">
        <f t="shared" si="6"/>
        <v/>
      </c>
      <c r="N198" s="6" t="str">
        <f t="shared" si="7"/>
        <v/>
      </c>
    </row>
    <row r="199" spans="1:14" x14ac:dyDescent="0.25">
      <c r="A199" s="7"/>
      <c r="B199" s="7"/>
      <c r="C199" s="6" t="str">
        <f>IF(A199="","",COUNTIFS($A$2:A199,A199,$B$2:B199,B199))</f>
        <v/>
      </c>
      <c r="D199" s="7"/>
      <c r="E199" s="7"/>
      <c r="F199" s="7"/>
      <c r="G199" s="7"/>
      <c r="H199" s="7"/>
      <c r="I199" s="7"/>
      <c r="J199" s="7"/>
      <c r="K199" s="7"/>
      <c r="L199" s="7"/>
      <c r="M199" s="6" t="str">
        <f t="shared" si="6"/>
        <v/>
      </c>
      <c r="N199" s="6" t="str">
        <f t="shared" si="7"/>
        <v/>
      </c>
    </row>
    <row r="200" spans="1:14" x14ac:dyDescent="0.25">
      <c r="A200" s="7"/>
      <c r="B200" s="7"/>
      <c r="C200" s="6" t="str">
        <f>IF(A200="","",COUNTIFS($A$2:A200,A200,$B$2:B200,B200))</f>
        <v/>
      </c>
      <c r="D200" s="7"/>
      <c r="E200" s="7"/>
      <c r="F200" s="7"/>
      <c r="G200" s="7"/>
      <c r="H200" s="7"/>
      <c r="I200" s="7"/>
      <c r="J200" s="7"/>
      <c r="K200" s="7"/>
      <c r="L200" s="7"/>
      <c r="M200" s="6" t="str">
        <f t="shared" si="6"/>
        <v/>
      </c>
      <c r="N200" s="6" t="str">
        <f t="shared" si="7"/>
        <v/>
      </c>
    </row>
    <row r="201" spans="1:14" x14ac:dyDescent="0.25">
      <c r="A201" s="7"/>
      <c r="B201" s="7"/>
      <c r="C201" s="6" t="str">
        <f>IF(A201="","",COUNTIFS($A$2:A201,A201,$B$2:B201,B201))</f>
        <v/>
      </c>
      <c r="D201" s="7"/>
      <c r="E201" s="7"/>
      <c r="F201" s="7"/>
      <c r="G201" s="7"/>
      <c r="H201" s="7"/>
      <c r="I201" s="7"/>
      <c r="J201" s="7"/>
      <c r="K201" s="7"/>
      <c r="L201" s="7"/>
      <c r="M201" s="6" t="str">
        <f t="shared" si="6"/>
        <v/>
      </c>
      <c r="N201" s="6" t="str">
        <f t="shared" si="7"/>
        <v/>
      </c>
    </row>
    <row r="202" spans="1:14" x14ac:dyDescent="0.25">
      <c r="A202" s="7"/>
      <c r="B202" s="7"/>
      <c r="C202" s="6" t="str">
        <f>IF(A202="","",COUNTIFS($A$2:A202,A202,$B$2:B202,B202))</f>
        <v/>
      </c>
      <c r="D202" s="7"/>
      <c r="E202" s="7"/>
      <c r="F202" s="7"/>
      <c r="G202" s="7"/>
      <c r="H202" s="7"/>
      <c r="I202" s="7"/>
      <c r="J202" s="7"/>
      <c r="K202" s="7"/>
      <c r="L202" s="7"/>
      <c r="M202" s="6" t="str">
        <f t="shared" si="6"/>
        <v/>
      </c>
      <c r="N202" s="6" t="str">
        <f t="shared" si="7"/>
        <v/>
      </c>
    </row>
    <row r="203" spans="1:14" x14ac:dyDescent="0.25">
      <c r="A203" s="7"/>
      <c r="B203" s="7"/>
      <c r="C203" s="6" t="str">
        <f>IF(A203="","",COUNTIFS($A$2:A203,A203,$B$2:B203,B203))</f>
        <v/>
      </c>
      <c r="D203" s="7"/>
      <c r="E203" s="7"/>
      <c r="F203" s="7"/>
      <c r="G203" s="7"/>
      <c r="H203" s="7"/>
      <c r="I203" s="7"/>
      <c r="J203" s="7"/>
      <c r="K203" s="7"/>
      <c r="L203" s="7"/>
      <c r="M203" s="6" t="str">
        <f t="shared" si="6"/>
        <v/>
      </c>
      <c r="N203" s="6" t="str">
        <f t="shared" si="7"/>
        <v/>
      </c>
    </row>
    <row r="204" spans="1:14" x14ac:dyDescent="0.25">
      <c r="A204" s="7"/>
      <c r="B204" s="7"/>
      <c r="C204" s="6" t="str">
        <f>IF(A204="","",COUNTIFS($A$2:A204,A204,$B$2:B204,B204))</f>
        <v/>
      </c>
      <c r="D204" s="7"/>
      <c r="E204" s="7"/>
      <c r="F204" s="7"/>
      <c r="G204" s="7"/>
      <c r="H204" s="7"/>
      <c r="I204" s="7"/>
      <c r="J204" s="7"/>
      <c r="K204" s="7"/>
      <c r="L204" s="7"/>
      <c r="M204" s="6" t="str">
        <f t="shared" si="6"/>
        <v/>
      </c>
      <c r="N204" s="6" t="str">
        <f t="shared" si="7"/>
        <v/>
      </c>
    </row>
    <row r="205" spans="1:14" x14ac:dyDescent="0.25">
      <c r="A205" s="7"/>
      <c r="B205" s="7"/>
      <c r="C205" s="6" t="str">
        <f>IF(A205="","",COUNTIFS($A$2:A205,A205,$B$2:B205,B205))</f>
        <v/>
      </c>
      <c r="D205" s="7"/>
      <c r="E205" s="7"/>
      <c r="F205" s="7"/>
      <c r="G205" s="7"/>
      <c r="H205" s="7"/>
      <c r="I205" s="7"/>
      <c r="J205" s="7"/>
      <c r="K205" s="7"/>
      <c r="L205" s="7"/>
      <c r="M205" s="6" t="str">
        <f t="shared" si="6"/>
        <v/>
      </c>
      <c r="N205" s="6" t="str">
        <f t="shared" si="7"/>
        <v/>
      </c>
    </row>
    <row r="206" spans="1:14" x14ac:dyDescent="0.25">
      <c r="A206" s="7"/>
      <c r="B206" s="7"/>
      <c r="C206" s="6" t="str">
        <f>IF(A206="","",COUNTIFS($A$2:A206,A206,$B$2:B206,B206))</f>
        <v/>
      </c>
      <c r="D206" s="7"/>
      <c r="E206" s="7"/>
      <c r="F206" s="7"/>
      <c r="G206" s="7"/>
      <c r="H206" s="7"/>
      <c r="I206" s="7"/>
      <c r="J206" s="7"/>
      <c r="K206" s="7"/>
      <c r="L206" s="7"/>
      <c r="M206" s="6" t="str">
        <f t="shared" si="6"/>
        <v/>
      </c>
      <c r="N206" s="6" t="str">
        <f t="shared" si="7"/>
        <v/>
      </c>
    </row>
    <row r="207" spans="1:14" x14ac:dyDescent="0.25">
      <c r="A207" s="7"/>
      <c r="B207" s="7"/>
      <c r="C207" s="6" t="str">
        <f>IF(A207="","",COUNTIFS($A$2:A207,A207,$B$2:B207,B207))</f>
        <v/>
      </c>
      <c r="D207" s="7"/>
      <c r="E207" s="7"/>
      <c r="F207" s="7"/>
      <c r="G207" s="7"/>
      <c r="H207" s="7"/>
      <c r="I207" s="7"/>
      <c r="J207" s="7"/>
      <c r="K207" s="7"/>
      <c r="L207" s="7"/>
      <c r="M207" s="6" t="str">
        <f t="shared" si="6"/>
        <v/>
      </c>
      <c r="N207" s="6" t="str">
        <f t="shared" si="7"/>
        <v/>
      </c>
    </row>
    <row r="208" spans="1:14" x14ac:dyDescent="0.25">
      <c r="A208" s="7"/>
      <c r="B208" s="7"/>
      <c r="C208" s="6" t="str">
        <f>IF(A208="","",COUNTIFS($A$2:A208,A208,$B$2:B208,B208))</f>
        <v/>
      </c>
      <c r="D208" s="7"/>
      <c r="E208" s="7"/>
      <c r="F208" s="7"/>
      <c r="G208" s="7"/>
      <c r="H208" s="7"/>
      <c r="I208" s="7"/>
      <c r="J208" s="7"/>
      <c r="K208" s="7"/>
      <c r="L208" s="7"/>
      <c r="M208" s="6" t="str">
        <f t="shared" si="6"/>
        <v/>
      </c>
      <c r="N208" s="6" t="str">
        <f t="shared" si="7"/>
        <v/>
      </c>
    </row>
    <row r="209" spans="1:14" x14ac:dyDescent="0.25">
      <c r="A209" s="7"/>
      <c r="B209" s="7"/>
      <c r="C209" s="6" t="str">
        <f>IF(A209="","",COUNTIFS($A$2:A209,A209,$B$2:B209,B209))</f>
        <v/>
      </c>
      <c r="D209" s="7"/>
      <c r="E209" s="7"/>
      <c r="F209" s="7"/>
      <c r="G209" s="7"/>
      <c r="H209" s="7"/>
      <c r="I209" s="7"/>
      <c r="J209" s="7"/>
      <c r="K209" s="7"/>
      <c r="L209" s="7"/>
      <c r="M209" s="6" t="str">
        <f t="shared" si="6"/>
        <v/>
      </c>
      <c r="N209" s="6" t="str">
        <f t="shared" si="7"/>
        <v/>
      </c>
    </row>
    <row r="210" spans="1:14" x14ac:dyDescent="0.25">
      <c r="A210" s="7"/>
      <c r="B210" s="7"/>
      <c r="C210" s="6" t="str">
        <f>IF(A210="","",COUNTIFS($A$2:A210,A210,$B$2:B210,B210))</f>
        <v/>
      </c>
      <c r="D210" s="7"/>
      <c r="E210" s="7"/>
      <c r="F210" s="7"/>
      <c r="G210" s="7"/>
      <c r="H210" s="7"/>
      <c r="I210" s="7"/>
      <c r="J210" s="7"/>
      <c r="K210" s="7"/>
      <c r="L210" s="7"/>
      <c r="M210" s="6" t="str">
        <f t="shared" si="6"/>
        <v/>
      </c>
      <c r="N210" s="6" t="str">
        <f t="shared" si="7"/>
        <v/>
      </c>
    </row>
    <row r="211" spans="1:14" x14ac:dyDescent="0.25">
      <c r="A211" s="7"/>
      <c r="B211" s="7"/>
      <c r="C211" s="6" t="str">
        <f>IF(A211="","",COUNTIFS($A$2:A211,A211,$B$2:B211,B211))</f>
        <v/>
      </c>
      <c r="D211" s="7"/>
      <c r="E211" s="7"/>
      <c r="F211" s="7"/>
      <c r="G211" s="7"/>
      <c r="H211" s="7"/>
      <c r="I211" s="7"/>
      <c r="J211" s="7"/>
      <c r="K211" s="7"/>
      <c r="L211" s="7"/>
      <c r="M211" s="6" t="str">
        <f t="shared" si="6"/>
        <v/>
      </c>
      <c r="N211" s="6" t="str">
        <f t="shared" si="7"/>
        <v/>
      </c>
    </row>
    <row r="212" spans="1:14" x14ac:dyDescent="0.25">
      <c r="A212" s="7"/>
      <c r="B212" s="7"/>
      <c r="C212" s="6" t="str">
        <f>IF(A212="","",COUNTIFS($A$2:A212,A212,$B$2:B212,B212))</f>
        <v/>
      </c>
      <c r="D212" s="7"/>
      <c r="E212" s="7"/>
      <c r="F212" s="7"/>
      <c r="G212" s="7"/>
      <c r="H212" s="7"/>
      <c r="I212" s="7"/>
      <c r="J212" s="7"/>
      <c r="K212" s="7"/>
      <c r="L212" s="7"/>
      <c r="M212" s="6" t="str">
        <f t="shared" si="6"/>
        <v/>
      </c>
      <c r="N212" s="6" t="str">
        <f t="shared" si="7"/>
        <v/>
      </c>
    </row>
    <row r="213" spans="1:14" x14ac:dyDescent="0.25">
      <c r="A213" s="7"/>
      <c r="B213" s="7"/>
      <c r="C213" s="6" t="str">
        <f>IF(A213="","",COUNTIFS($A$2:A213,A213,$B$2:B213,B213))</f>
        <v/>
      </c>
      <c r="D213" s="7"/>
      <c r="E213" s="7"/>
      <c r="F213" s="7"/>
      <c r="G213" s="7"/>
      <c r="H213" s="7"/>
      <c r="I213" s="7"/>
      <c r="J213" s="7"/>
      <c r="K213" s="7"/>
      <c r="L213" s="7"/>
      <c r="M213" s="6" t="str">
        <f t="shared" si="6"/>
        <v/>
      </c>
      <c r="N213" s="6" t="str">
        <f t="shared" si="7"/>
        <v/>
      </c>
    </row>
    <row r="214" spans="1:14" x14ac:dyDescent="0.25">
      <c r="A214" s="7"/>
      <c r="B214" s="7"/>
      <c r="C214" s="6" t="str">
        <f>IF(A214="","",COUNTIFS($A$2:A214,A214,$B$2:B214,B214))</f>
        <v/>
      </c>
      <c r="D214" s="7"/>
      <c r="E214" s="7"/>
      <c r="F214" s="7"/>
      <c r="G214" s="7"/>
      <c r="H214" s="7"/>
      <c r="I214" s="7"/>
      <c r="J214" s="7"/>
      <c r="K214" s="7"/>
      <c r="L214" s="7"/>
      <c r="M214" s="6" t="str">
        <f t="shared" si="6"/>
        <v/>
      </c>
      <c r="N214" s="6" t="str">
        <f t="shared" si="7"/>
        <v/>
      </c>
    </row>
    <row r="215" spans="1:14" x14ac:dyDescent="0.25">
      <c r="A215" s="7"/>
      <c r="B215" s="7"/>
      <c r="C215" s="6" t="str">
        <f>IF(A215="","",COUNTIFS($A$2:A215,A215,$B$2:B215,B215))</f>
        <v/>
      </c>
      <c r="D215" s="7"/>
      <c r="E215" s="7"/>
      <c r="F215" s="7"/>
      <c r="G215" s="7"/>
      <c r="H215" s="7"/>
      <c r="I215" s="7"/>
      <c r="J215" s="7"/>
      <c r="K215" s="7"/>
      <c r="L215" s="7"/>
      <c r="M215" s="6" t="str">
        <f t="shared" si="6"/>
        <v/>
      </c>
      <c r="N215" s="6" t="str">
        <f t="shared" si="7"/>
        <v/>
      </c>
    </row>
    <row r="216" spans="1:14" x14ac:dyDescent="0.25">
      <c r="A216" s="7"/>
      <c r="B216" s="7"/>
      <c r="C216" s="6" t="str">
        <f>IF(A216="","",COUNTIFS($A$2:A216,A216,$B$2:B216,B216))</f>
        <v/>
      </c>
      <c r="D216" s="7"/>
      <c r="E216" s="7"/>
      <c r="F216" s="7"/>
      <c r="G216" s="7"/>
      <c r="H216" s="7"/>
      <c r="I216" s="7"/>
      <c r="J216" s="7"/>
      <c r="K216" s="7"/>
      <c r="L216" s="7"/>
      <c r="M216" s="6" t="str">
        <f t="shared" si="6"/>
        <v/>
      </c>
      <c r="N216" s="6" t="str">
        <f t="shared" si="7"/>
        <v/>
      </c>
    </row>
    <row r="217" spans="1:14" x14ac:dyDescent="0.25">
      <c r="A217" s="7"/>
      <c r="B217" s="7"/>
      <c r="C217" s="6" t="str">
        <f>IF(A217="","",COUNTIFS($A$2:A217,A217,$B$2:B217,B217))</f>
        <v/>
      </c>
      <c r="D217" s="7"/>
      <c r="E217" s="7"/>
      <c r="F217" s="7"/>
      <c r="G217" s="7"/>
      <c r="H217" s="7"/>
      <c r="I217" s="7"/>
      <c r="J217" s="7"/>
      <c r="K217" s="7"/>
      <c r="L217" s="7"/>
      <c r="M217" s="6" t="str">
        <f t="shared" si="6"/>
        <v/>
      </c>
      <c r="N217" s="6" t="str">
        <f t="shared" si="7"/>
        <v/>
      </c>
    </row>
    <row r="218" spans="1:14" x14ac:dyDescent="0.25">
      <c r="A218" s="7"/>
      <c r="B218" s="7"/>
      <c r="C218" s="6" t="str">
        <f>IF(A218="","",COUNTIFS($A$2:A218,A218,$B$2:B218,B218))</f>
        <v/>
      </c>
      <c r="D218" s="7"/>
      <c r="E218" s="7"/>
      <c r="F218" s="7"/>
      <c r="G218" s="7"/>
      <c r="H218" s="7"/>
      <c r="I218" s="7"/>
      <c r="J218" s="7"/>
      <c r="K218" s="7"/>
      <c r="L218" s="7"/>
      <c r="M218" s="6" t="str">
        <f t="shared" si="6"/>
        <v/>
      </c>
      <c r="N218" s="6" t="str">
        <f t="shared" si="7"/>
        <v/>
      </c>
    </row>
    <row r="219" spans="1:14" x14ac:dyDescent="0.25">
      <c r="A219" s="7"/>
      <c r="B219" s="7"/>
      <c r="C219" s="6" t="str">
        <f>IF(A219="","",COUNTIFS($A$2:A219,A219,$B$2:B219,B219))</f>
        <v/>
      </c>
      <c r="D219" s="7"/>
      <c r="E219" s="7"/>
      <c r="F219" s="7"/>
      <c r="G219" s="7"/>
      <c r="H219" s="7"/>
      <c r="I219" s="7"/>
      <c r="J219" s="7"/>
      <c r="K219" s="7"/>
      <c r="L219" s="7"/>
      <c r="M219" s="6" t="str">
        <f t="shared" si="6"/>
        <v/>
      </c>
      <c r="N219" s="6" t="str">
        <f t="shared" si="7"/>
        <v/>
      </c>
    </row>
    <row r="220" spans="1:14" x14ac:dyDescent="0.25">
      <c r="A220" s="7"/>
      <c r="B220" s="7"/>
      <c r="C220" s="6" t="str">
        <f>IF(A220="","",COUNTIFS($A$2:A220,A220,$B$2:B220,B220))</f>
        <v/>
      </c>
      <c r="D220" s="7"/>
      <c r="E220" s="7"/>
      <c r="F220" s="7"/>
      <c r="G220" s="7"/>
      <c r="H220" s="7"/>
      <c r="I220" s="7"/>
      <c r="J220" s="7"/>
      <c r="K220" s="7"/>
      <c r="L220" s="7"/>
      <c r="M220" s="6" t="str">
        <f t="shared" si="6"/>
        <v/>
      </c>
      <c r="N220" s="6" t="str">
        <f t="shared" si="7"/>
        <v/>
      </c>
    </row>
    <row r="221" spans="1:14" x14ac:dyDescent="0.25">
      <c r="A221" s="7"/>
      <c r="B221" s="7"/>
      <c r="C221" s="6" t="str">
        <f>IF(A221="","",COUNTIFS($A$2:A221,A221,$B$2:B221,B221))</f>
        <v/>
      </c>
      <c r="D221" s="7"/>
      <c r="E221" s="7"/>
      <c r="F221" s="7"/>
      <c r="G221" s="7"/>
      <c r="H221" s="7"/>
      <c r="I221" s="7"/>
      <c r="J221" s="7"/>
      <c r="K221" s="7"/>
      <c r="L221" s="7"/>
      <c r="M221" s="6" t="str">
        <f t="shared" si="6"/>
        <v/>
      </c>
      <c r="N221" s="6" t="str">
        <f t="shared" si="7"/>
        <v/>
      </c>
    </row>
    <row r="222" spans="1:14" x14ac:dyDescent="0.25">
      <c r="A222" s="7"/>
      <c r="B222" s="7"/>
      <c r="C222" s="6" t="str">
        <f>IF(A222="","",COUNTIFS($A$2:A222,A222,$B$2:B222,B222))</f>
        <v/>
      </c>
      <c r="D222" s="7"/>
      <c r="E222" s="7"/>
      <c r="F222" s="7"/>
      <c r="G222" s="7"/>
      <c r="H222" s="7"/>
      <c r="I222" s="7"/>
      <c r="J222" s="7"/>
      <c r="K222" s="7"/>
      <c r="L222" s="7"/>
      <c r="M222" s="6" t="str">
        <f t="shared" si="6"/>
        <v/>
      </c>
      <c r="N222" s="6" t="str">
        <f t="shared" si="7"/>
        <v/>
      </c>
    </row>
    <row r="223" spans="1:14" x14ac:dyDescent="0.25">
      <c r="A223" s="7"/>
      <c r="B223" s="7"/>
      <c r="C223" s="6" t="str">
        <f>IF(A223="","",COUNTIFS($A$2:A223,A223,$B$2:B223,B223))</f>
        <v/>
      </c>
      <c r="D223" s="7"/>
      <c r="E223" s="7"/>
      <c r="F223" s="7"/>
      <c r="G223" s="7"/>
      <c r="H223" s="7"/>
      <c r="I223" s="7"/>
      <c r="J223" s="7"/>
      <c r="K223" s="7"/>
      <c r="L223" s="7"/>
      <c r="M223" s="6" t="str">
        <f t="shared" si="6"/>
        <v/>
      </c>
      <c r="N223" s="6" t="str">
        <f t="shared" si="7"/>
        <v/>
      </c>
    </row>
    <row r="224" spans="1:14" x14ac:dyDescent="0.25">
      <c r="A224" s="7"/>
      <c r="B224" s="7"/>
      <c r="C224" s="6" t="str">
        <f>IF(A224="","",COUNTIFS($A$2:A224,A224,$B$2:B224,B224))</f>
        <v/>
      </c>
      <c r="D224" s="7"/>
      <c r="E224" s="7"/>
      <c r="F224" s="7"/>
      <c r="G224" s="7"/>
      <c r="H224" s="7"/>
      <c r="I224" s="7"/>
      <c r="J224" s="7"/>
      <c r="K224" s="7"/>
      <c r="L224" s="7"/>
      <c r="M224" s="6" t="str">
        <f t="shared" si="6"/>
        <v/>
      </c>
      <c r="N224" s="6" t="str">
        <f t="shared" si="7"/>
        <v/>
      </c>
    </row>
    <row r="225" spans="1:14" x14ac:dyDescent="0.25">
      <c r="A225" s="7"/>
      <c r="B225" s="7"/>
      <c r="C225" s="6" t="str">
        <f>IF(A225="","",COUNTIFS($A$2:A225,A225,$B$2:B225,B225))</f>
        <v/>
      </c>
      <c r="D225" s="7"/>
      <c r="E225" s="7"/>
      <c r="F225" s="7"/>
      <c r="G225" s="7"/>
      <c r="H225" s="7"/>
      <c r="I225" s="7"/>
      <c r="J225" s="7"/>
      <c r="K225" s="7"/>
      <c r="L225" s="7"/>
      <c r="M225" s="6" t="str">
        <f t="shared" si="6"/>
        <v/>
      </c>
      <c r="N225" s="6" t="str">
        <f t="shared" si="7"/>
        <v/>
      </c>
    </row>
    <row r="226" spans="1:14" x14ac:dyDescent="0.25">
      <c r="A226" s="7"/>
      <c r="B226" s="7"/>
      <c r="C226" s="6" t="str">
        <f>IF(A226="","",COUNTIFS($A$2:A226,A226,$B$2:B226,B226))</f>
        <v/>
      </c>
      <c r="D226" s="7"/>
      <c r="E226" s="7"/>
      <c r="F226" s="7"/>
      <c r="G226" s="7"/>
      <c r="H226" s="7"/>
      <c r="I226" s="7"/>
      <c r="J226" s="7"/>
      <c r="K226" s="7"/>
      <c r="L226" s="7"/>
      <c r="M226" s="6" t="str">
        <f t="shared" si="6"/>
        <v/>
      </c>
      <c r="N226" s="6" t="str">
        <f t="shared" si="7"/>
        <v/>
      </c>
    </row>
    <row r="227" spans="1:14" x14ac:dyDescent="0.25">
      <c r="A227" s="7"/>
      <c r="B227" s="7"/>
      <c r="C227" s="6" t="str">
        <f>IF(A227="","",COUNTIFS($A$2:A227,A227,$B$2:B227,B227))</f>
        <v/>
      </c>
      <c r="D227" s="7"/>
      <c r="E227" s="7"/>
      <c r="F227" s="7"/>
      <c r="G227" s="7"/>
      <c r="H227" s="7"/>
      <c r="I227" s="7"/>
      <c r="J227" s="7"/>
      <c r="K227" s="7"/>
      <c r="L227" s="7"/>
      <c r="M227" s="6" t="str">
        <f t="shared" si="6"/>
        <v/>
      </c>
      <c r="N227" s="6" t="str">
        <f t="shared" si="7"/>
        <v/>
      </c>
    </row>
    <row r="228" spans="1:14" x14ac:dyDescent="0.25">
      <c r="A228" s="7"/>
      <c r="B228" s="7"/>
      <c r="C228" s="6" t="str">
        <f>IF(A228="","",COUNTIFS($A$2:A228,A228,$B$2:B228,B228))</f>
        <v/>
      </c>
      <c r="D228" s="7"/>
      <c r="E228" s="7"/>
      <c r="F228" s="7"/>
      <c r="G228" s="7"/>
      <c r="H228" s="7"/>
      <c r="I228" s="7"/>
      <c r="J228" s="7"/>
      <c r="K228" s="7"/>
      <c r="L228" s="7"/>
      <c r="M228" s="6" t="str">
        <f t="shared" si="6"/>
        <v/>
      </c>
      <c r="N228" s="6" t="str">
        <f t="shared" si="7"/>
        <v/>
      </c>
    </row>
    <row r="229" spans="1:14" x14ac:dyDescent="0.25">
      <c r="A229" s="7"/>
      <c r="B229" s="7"/>
      <c r="C229" s="6" t="str">
        <f>IF(A229="","",COUNTIFS($A$2:A229,A229,$B$2:B229,B229))</f>
        <v/>
      </c>
      <c r="D229" s="7"/>
      <c r="E229" s="7"/>
      <c r="F229" s="7"/>
      <c r="G229" s="7"/>
      <c r="H229" s="7"/>
      <c r="I229" s="7"/>
      <c r="J229" s="7"/>
      <c r="K229" s="7"/>
      <c r="L229" s="7"/>
      <c r="M229" s="6" t="str">
        <f t="shared" si="6"/>
        <v/>
      </c>
      <c r="N229" s="6" t="str">
        <f t="shared" si="7"/>
        <v/>
      </c>
    </row>
    <row r="230" spans="1:14" x14ac:dyDescent="0.25">
      <c r="A230" s="7"/>
      <c r="B230" s="7"/>
      <c r="C230" s="6" t="str">
        <f>IF(A230="","",COUNTIFS($A$2:A230,A230,$B$2:B230,B230))</f>
        <v/>
      </c>
      <c r="D230" s="7"/>
      <c r="E230" s="7"/>
      <c r="F230" s="7"/>
      <c r="G230" s="7"/>
      <c r="H230" s="7"/>
      <c r="I230" s="7"/>
      <c r="J230" s="7"/>
      <c r="K230" s="7"/>
      <c r="L230" s="7"/>
      <c r="M230" s="6" t="str">
        <f t="shared" si="6"/>
        <v/>
      </c>
      <c r="N230" s="6" t="str">
        <f t="shared" si="7"/>
        <v/>
      </c>
    </row>
    <row r="231" spans="1:14" x14ac:dyDescent="0.25">
      <c r="A231" s="7"/>
      <c r="B231" s="7"/>
      <c r="C231" s="6" t="str">
        <f>IF(A231="","",COUNTIFS($A$2:A231,A231,$B$2:B231,B231))</f>
        <v/>
      </c>
      <c r="D231" s="7"/>
      <c r="E231" s="7"/>
      <c r="F231" s="7"/>
      <c r="G231" s="7"/>
      <c r="H231" s="7"/>
      <c r="I231" s="7"/>
      <c r="J231" s="7"/>
      <c r="K231" s="7"/>
      <c r="L231" s="7"/>
      <c r="M231" s="6" t="str">
        <f t="shared" si="6"/>
        <v/>
      </c>
      <c r="N231" s="6" t="str">
        <f t="shared" si="7"/>
        <v/>
      </c>
    </row>
    <row r="232" spans="1:14" x14ac:dyDescent="0.25">
      <c r="A232" s="7"/>
      <c r="B232" s="7"/>
      <c r="C232" s="6" t="str">
        <f>IF(A232="","",COUNTIFS($A$2:A232,A232,$B$2:B232,B232))</f>
        <v/>
      </c>
      <c r="D232" s="7"/>
      <c r="E232" s="7"/>
      <c r="F232" s="7"/>
      <c r="G232" s="7"/>
      <c r="H232" s="7"/>
      <c r="I232" s="7"/>
      <c r="J232" s="7"/>
      <c r="K232" s="7"/>
      <c r="L232" s="7"/>
      <c r="M232" s="6" t="str">
        <f t="shared" si="6"/>
        <v/>
      </c>
      <c r="N232" s="6" t="str">
        <f t="shared" si="7"/>
        <v/>
      </c>
    </row>
    <row r="233" spans="1:14" x14ac:dyDescent="0.25">
      <c r="A233" s="7"/>
      <c r="B233" s="7"/>
      <c r="C233" s="6" t="str">
        <f>IF(A233="","",COUNTIFS($A$2:A233,A233,$B$2:B233,B233))</f>
        <v/>
      </c>
      <c r="D233" s="7"/>
      <c r="E233" s="7"/>
      <c r="F233" s="7"/>
      <c r="G233" s="7"/>
      <c r="H233" s="7"/>
      <c r="I233" s="7"/>
      <c r="J233" s="7"/>
      <c r="K233" s="7"/>
      <c r="L233" s="7"/>
      <c r="M233" s="6" t="str">
        <f t="shared" si="6"/>
        <v/>
      </c>
      <c r="N233" s="6" t="str">
        <f t="shared" si="7"/>
        <v/>
      </c>
    </row>
    <row r="234" spans="1:14" x14ac:dyDescent="0.25">
      <c r="A234" s="7"/>
      <c r="B234" s="7"/>
      <c r="C234" s="6" t="str">
        <f>IF(A234="","",COUNTIFS($A$2:A234,A234,$B$2:B234,B234))</f>
        <v/>
      </c>
      <c r="D234" s="7"/>
      <c r="E234" s="7"/>
      <c r="F234" s="7"/>
      <c r="G234" s="7"/>
      <c r="H234" s="7"/>
      <c r="I234" s="7"/>
      <c r="J234" s="7"/>
      <c r="K234" s="7"/>
      <c r="L234" s="7"/>
      <c r="M234" s="6" t="str">
        <f t="shared" si="6"/>
        <v/>
      </c>
      <c r="N234" s="6" t="str">
        <f t="shared" si="7"/>
        <v/>
      </c>
    </row>
    <row r="235" spans="1:14" x14ac:dyDescent="0.25">
      <c r="A235" s="7"/>
      <c r="B235" s="7"/>
      <c r="C235" s="6" t="str">
        <f>IF(A235="","",COUNTIFS($A$2:A235,A235,$B$2:B235,B235))</f>
        <v/>
      </c>
      <c r="D235" s="7"/>
      <c r="E235" s="7"/>
      <c r="F235" s="7"/>
      <c r="G235" s="7"/>
      <c r="H235" s="7"/>
      <c r="I235" s="7"/>
      <c r="J235" s="7"/>
      <c r="K235" s="7"/>
      <c r="L235" s="7"/>
      <c r="M235" s="6" t="str">
        <f t="shared" si="6"/>
        <v/>
      </c>
      <c r="N235" s="6" t="str">
        <f t="shared" si="7"/>
        <v/>
      </c>
    </row>
    <row r="236" spans="1:14" x14ac:dyDescent="0.25">
      <c r="A236" s="7"/>
      <c r="B236" s="7"/>
      <c r="C236" s="6" t="str">
        <f>IF(A236="","",COUNTIFS($A$2:A236,A236,$B$2:B236,B236))</f>
        <v/>
      </c>
      <c r="D236" s="7"/>
      <c r="E236" s="7"/>
      <c r="F236" s="7"/>
      <c r="G236" s="7"/>
      <c r="H236" s="7"/>
      <c r="I236" s="7"/>
      <c r="J236" s="7"/>
      <c r="K236" s="7"/>
      <c r="L236" s="7"/>
      <c r="M236" s="6" t="str">
        <f t="shared" si="6"/>
        <v/>
      </c>
      <c r="N236" s="6" t="str">
        <f t="shared" si="7"/>
        <v/>
      </c>
    </row>
    <row r="237" spans="1:14" x14ac:dyDescent="0.25">
      <c r="A237" s="7"/>
      <c r="B237" s="7"/>
      <c r="C237" s="6" t="str">
        <f>IF(A237="","",COUNTIFS($A$2:A237,A237,$B$2:B237,B237))</f>
        <v/>
      </c>
      <c r="D237" s="7"/>
      <c r="E237" s="7"/>
      <c r="F237" s="7"/>
      <c r="G237" s="7"/>
      <c r="H237" s="7"/>
      <c r="I237" s="7"/>
      <c r="J237" s="7"/>
      <c r="K237" s="7"/>
      <c r="L237" s="7"/>
      <c r="M237" s="6" t="str">
        <f t="shared" si="6"/>
        <v/>
      </c>
      <c r="N237" s="6" t="str">
        <f t="shared" si="7"/>
        <v/>
      </c>
    </row>
    <row r="238" spans="1:14" x14ac:dyDescent="0.25">
      <c r="A238" s="7"/>
      <c r="B238" s="7"/>
      <c r="C238" s="6" t="str">
        <f>IF(A238="","",COUNTIFS($A$2:A238,A238,$B$2:B238,B238))</f>
        <v/>
      </c>
      <c r="D238" s="7"/>
      <c r="E238" s="7"/>
      <c r="F238" s="7"/>
      <c r="G238" s="7"/>
      <c r="H238" s="7"/>
      <c r="I238" s="7"/>
      <c r="J238" s="7"/>
      <c r="K238" s="7"/>
      <c r="L238" s="7"/>
      <c r="M238" s="6" t="str">
        <f t="shared" si="6"/>
        <v/>
      </c>
      <c r="N238" s="6" t="str">
        <f t="shared" si="7"/>
        <v/>
      </c>
    </row>
    <row r="239" spans="1:14" x14ac:dyDescent="0.25">
      <c r="A239" s="7"/>
      <c r="B239" s="7"/>
      <c r="C239" s="6" t="str">
        <f>IF(A239="","",COUNTIFS($A$2:A239,A239,$B$2:B239,B239))</f>
        <v/>
      </c>
      <c r="D239" s="7"/>
      <c r="E239" s="7"/>
      <c r="F239" s="7"/>
      <c r="G239" s="7"/>
      <c r="H239" s="7"/>
      <c r="I239" s="7"/>
      <c r="J239" s="7"/>
      <c r="K239" s="7"/>
      <c r="L239" s="7"/>
      <c r="M239" s="6" t="str">
        <f t="shared" si="6"/>
        <v/>
      </c>
      <c r="N239" s="6" t="str">
        <f t="shared" si="7"/>
        <v/>
      </c>
    </row>
    <row r="240" spans="1:14" x14ac:dyDescent="0.25">
      <c r="A240" s="7"/>
      <c r="B240" s="7"/>
      <c r="C240" s="6" t="str">
        <f>IF(A240="","",COUNTIFS($A$2:A240,A240,$B$2:B240,B240))</f>
        <v/>
      </c>
      <c r="D240" s="7"/>
      <c r="E240" s="7"/>
      <c r="F240" s="7"/>
      <c r="G240" s="7"/>
      <c r="H240" s="7"/>
      <c r="I240" s="7"/>
      <c r="J240" s="7"/>
      <c r="K240" s="7"/>
      <c r="L240" s="7"/>
      <c r="M240" s="6" t="str">
        <f t="shared" si="6"/>
        <v/>
      </c>
      <c r="N240" s="6" t="str">
        <f t="shared" si="7"/>
        <v/>
      </c>
    </row>
    <row r="241" spans="1:14" x14ac:dyDescent="0.25">
      <c r="A241" s="7"/>
      <c r="B241" s="7"/>
      <c r="C241" s="6" t="str">
        <f>IF(A241="","",COUNTIFS($A$2:A241,A241,$B$2:B241,B241))</f>
        <v/>
      </c>
      <c r="D241" s="7"/>
      <c r="E241" s="7"/>
      <c r="F241" s="7"/>
      <c r="G241" s="7"/>
      <c r="H241" s="7"/>
      <c r="I241" s="7"/>
      <c r="J241" s="7"/>
      <c r="K241" s="7"/>
      <c r="L241" s="7"/>
      <c r="M241" s="6" t="str">
        <f t="shared" si="6"/>
        <v/>
      </c>
      <c r="N241" s="6" t="str">
        <f t="shared" si="7"/>
        <v/>
      </c>
    </row>
    <row r="242" spans="1:14" x14ac:dyDescent="0.25">
      <c r="A242" s="7"/>
      <c r="B242" s="7"/>
      <c r="C242" s="6" t="str">
        <f>IF(A242="","",COUNTIFS($A$2:A242,A242,$B$2:B242,B242))</f>
        <v/>
      </c>
      <c r="D242" s="7"/>
      <c r="E242" s="7"/>
      <c r="F242" s="7"/>
      <c r="G242" s="7"/>
      <c r="H242" s="7"/>
      <c r="I242" s="7"/>
      <c r="J242" s="7"/>
      <c r="K242" s="7"/>
      <c r="L242" s="7"/>
      <c r="M242" s="6" t="str">
        <f t="shared" si="6"/>
        <v/>
      </c>
      <c r="N242" s="6" t="str">
        <f t="shared" si="7"/>
        <v/>
      </c>
    </row>
    <row r="243" spans="1:14" x14ac:dyDescent="0.25">
      <c r="A243" s="7"/>
      <c r="B243" s="7"/>
      <c r="C243" s="6" t="str">
        <f>IF(A243="","",COUNTIFS($A$2:A243,A243,$B$2:B243,B243))</f>
        <v/>
      </c>
      <c r="D243" s="7"/>
      <c r="E243" s="7"/>
      <c r="F243" s="7"/>
      <c r="G243" s="7"/>
      <c r="H243" s="7"/>
      <c r="I243" s="7"/>
      <c r="J243" s="7"/>
      <c r="K243" s="7"/>
      <c r="L243" s="7"/>
      <c r="M243" s="6" t="str">
        <f t="shared" si="6"/>
        <v/>
      </c>
      <c r="N243" s="6" t="str">
        <f t="shared" si="7"/>
        <v/>
      </c>
    </row>
    <row r="244" spans="1:14" x14ac:dyDescent="0.25">
      <c r="A244" s="7"/>
      <c r="B244" s="7"/>
      <c r="C244" s="6" t="str">
        <f>IF(A244="","",COUNTIFS($A$2:A244,A244,$B$2:B244,B244))</f>
        <v/>
      </c>
      <c r="D244" s="7"/>
      <c r="E244" s="7"/>
      <c r="F244" s="7"/>
      <c r="G244" s="7"/>
      <c r="H244" s="7"/>
      <c r="I244" s="7"/>
      <c r="J244" s="7"/>
      <c r="K244" s="7"/>
      <c r="L244" s="7"/>
      <c r="M244" s="6" t="str">
        <f t="shared" si="6"/>
        <v/>
      </c>
      <c r="N244" s="6" t="str">
        <f t="shared" si="7"/>
        <v/>
      </c>
    </row>
    <row r="245" spans="1:14" x14ac:dyDescent="0.25">
      <c r="A245" s="7"/>
      <c r="B245" s="7"/>
      <c r="C245" s="6" t="str">
        <f>IF(A245="","",COUNTIFS($A$2:A245,A245,$B$2:B245,B245))</f>
        <v/>
      </c>
      <c r="D245" s="7"/>
      <c r="E245" s="7"/>
      <c r="F245" s="7"/>
      <c r="G245" s="7"/>
      <c r="H245" s="7"/>
      <c r="I245" s="7"/>
      <c r="J245" s="7"/>
      <c r="K245" s="7"/>
      <c r="L245" s="7"/>
      <c r="M245" s="6" t="str">
        <f t="shared" si="6"/>
        <v/>
      </c>
      <c r="N245" s="6" t="str">
        <f t="shared" si="7"/>
        <v/>
      </c>
    </row>
    <row r="246" spans="1:14" x14ac:dyDescent="0.25">
      <c r="A246" s="7"/>
      <c r="B246" s="7"/>
      <c r="C246" s="6" t="str">
        <f>IF(A246="","",COUNTIFS($A$2:A246,A246,$B$2:B246,B246))</f>
        <v/>
      </c>
      <c r="D246" s="7"/>
      <c r="E246" s="7"/>
      <c r="F246" s="7"/>
      <c r="G246" s="7"/>
      <c r="H246" s="7"/>
      <c r="I246" s="7"/>
      <c r="J246" s="7"/>
      <c r="K246" s="7"/>
      <c r="L246" s="7"/>
      <c r="M246" s="6" t="str">
        <f t="shared" si="6"/>
        <v/>
      </c>
      <c r="N246" s="6" t="str">
        <f t="shared" si="7"/>
        <v/>
      </c>
    </row>
    <row r="247" spans="1:14" x14ac:dyDescent="0.25">
      <c r="A247" s="7"/>
      <c r="B247" s="7"/>
      <c r="C247" s="6" t="str">
        <f>IF(A247="","",COUNTIFS($A$2:A247,A247,$B$2:B247,B247))</f>
        <v/>
      </c>
      <c r="D247" s="7"/>
      <c r="E247" s="7"/>
      <c r="F247" s="7"/>
      <c r="G247" s="7"/>
      <c r="H247" s="7"/>
      <c r="I247" s="7"/>
      <c r="J247" s="7"/>
      <c r="K247" s="7"/>
      <c r="L247" s="7"/>
      <c r="M247" s="6" t="str">
        <f t="shared" si="6"/>
        <v/>
      </c>
      <c r="N247" s="6" t="str">
        <f t="shared" si="7"/>
        <v/>
      </c>
    </row>
    <row r="248" spans="1:14" x14ac:dyDescent="0.25">
      <c r="A248" s="7"/>
      <c r="B248" s="7"/>
      <c r="C248" s="6" t="str">
        <f>IF(A248="","",COUNTIFS($A$2:A248,A248,$B$2:B248,B248))</f>
        <v/>
      </c>
      <c r="D248" s="7"/>
      <c r="E248" s="7"/>
      <c r="F248" s="7"/>
      <c r="G248" s="7"/>
      <c r="H248" s="7"/>
      <c r="I248" s="7"/>
      <c r="J248" s="7"/>
      <c r="K248" s="7"/>
      <c r="L248" s="7"/>
      <c r="M248" s="6" t="str">
        <f t="shared" si="6"/>
        <v/>
      </c>
      <c r="N248" s="6" t="str">
        <f t="shared" si="7"/>
        <v/>
      </c>
    </row>
    <row r="249" spans="1:14" x14ac:dyDescent="0.25">
      <c r="A249" s="7"/>
      <c r="B249" s="7"/>
      <c r="C249" s="6" t="str">
        <f>IF(A249="","",COUNTIFS($A$2:A249,A249,$B$2:B249,B249))</f>
        <v/>
      </c>
      <c r="D249" s="7"/>
      <c r="E249" s="7"/>
      <c r="F249" s="7"/>
      <c r="G249" s="7"/>
      <c r="H249" s="7"/>
      <c r="I249" s="7"/>
      <c r="J249" s="7"/>
      <c r="K249" s="7"/>
      <c r="L249" s="7"/>
      <c r="M249" s="6" t="str">
        <f t="shared" si="6"/>
        <v/>
      </c>
      <c r="N249" s="6" t="str">
        <f t="shared" si="7"/>
        <v/>
      </c>
    </row>
    <row r="250" spans="1:14" x14ac:dyDescent="0.25">
      <c r="A250" s="7"/>
      <c r="B250" s="7"/>
      <c r="C250" s="6" t="str">
        <f>IF(A250="","",COUNTIFS($A$2:A250,A250,$B$2:B250,B250))</f>
        <v/>
      </c>
      <c r="D250" s="7"/>
      <c r="E250" s="7"/>
      <c r="F250" s="7"/>
      <c r="G250" s="7"/>
      <c r="H250" s="7"/>
      <c r="I250" s="7"/>
      <c r="J250" s="7"/>
      <c r="K250" s="7"/>
      <c r="L250" s="7"/>
      <c r="M250" s="6" t="str">
        <f t="shared" si="6"/>
        <v/>
      </c>
      <c r="N250" s="6" t="str">
        <f t="shared" si="7"/>
        <v/>
      </c>
    </row>
    <row r="251" spans="1:14" x14ac:dyDescent="0.25">
      <c r="A251" s="7"/>
      <c r="B251" s="7"/>
      <c r="C251" s="6" t="str">
        <f>IF(A251="","",COUNTIFS($A$2:A251,A251,$B$2:B251,B251))</f>
        <v/>
      </c>
      <c r="D251" s="7"/>
      <c r="E251" s="7"/>
      <c r="F251" s="7"/>
      <c r="G251" s="7"/>
      <c r="H251" s="7"/>
      <c r="I251" s="7"/>
      <c r="J251" s="7"/>
      <c r="K251" s="7"/>
      <c r="L251" s="7"/>
      <c r="M251" s="6" t="str">
        <f t="shared" si="6"/>
        <v/>
      </c>
      <c r="N251" s="6" t="str">
        <f t="shared" si="7"/>
        <v/>
      </c>
    </row>
    <row r="252" spans="1:14" x14ac:dyDescent="0.25">
      <c r="A252" s="7"/>
      <c r="B252" s="7"/>
      <c r="C252" s="6" t="str">
        <f>IF(A252="","",COUNTIFS($A$2:A252,A252,$B$2:B252,B252))</f>
        <v/>
      </c>
      <c r="D252" s="7"/>
      <c r="E252" s="7"/>
      <c r="F252" s="7"/>
      <c r="G252" s="7"/>
      <c r="H252" s="7"/>
      <c r="I252" s="7"/>
      <c r="J252" s="7"/>
      <c r="K252" s="7"/>
      <c r="L252" s="7"/>
      <c r="M252" s="6" t="str">
        <f t="shared" si="6"/>
        <v/>
      </c>
      <c r="N252" s="6" t="str">
        <f t="shared" si="7"/>
        <v/>
      </c>
    </row>
    <row r="253" spans="1:14" x14ac:dyDescent="0.25">
      <c r="A253" s="7"/>
      <c r="B253" s="7"/>
      <c r="C253" s="6" t="str">
        <f>IF(A253="","",COUNTIFS($A$2:A253,A253,$B$2:B253,B253))</f>
        <v/>
      </c>
      <c r="D253" s="7"/>
      <c r="E253" s="7"/>
      <c r="F253" s="7"/>
      <c r="G253" s="7"/>
      <c r="H253" s="7"/>
      <c r="I253" s="7"/>
      <c r="J253" s="7"/>
      <c r="K253" s="7"/>
      <c r="L253" s="7"/>
      <c r="M253" s="6" t="str">
        <f t="shared" si="6"/>
        <v/>
      </c>
      <c r="N253" s="6" t="str">
        <f t="shared" si="7"/>
        <v/>
      </c>
    </row>
    <row r="254" spans="1:14" x14ac:dyDescent="0.25">
      <c r="A254" s="7"/>
      <c r="B254" s="7"/>
      <c r="C254" s="6" t="str">
        <f>IF(A254="","",COUNTIFS($A$2:A254,A254,$B$2:B254,B254))</f>
        <v/>
      </c>
      <c r="D254" s="7"/>
      <c r="E254" s="7"/>
      <c r="F254" s="7"/>
      <c r="G254" s="7"/>
      <c r="H254" s="7"/>
      <c r="I254" s="7"/>
      <c r="J254" s="7"/>
      <c r="K254" s="7"/>
      <c r="L254" s="7"/>
      <c r="M254" s="6" t="str">
        <f t="shared" si="6"/>
        <v/>
      </c>
      <c r="N254" s="6" t="str">
        <f t="shared" si="7"/>
        <v/>
      </c>
    </row>
    <row r="255" spans="1:14" x14ac:dyDescent="0.25">
      <c r="A255" s="7"/>
      <c r="B255" s="7"/>
      <c r="C255" s="6" t="str">
        <f>IF(A255="","",COUNTIFS($A$2:A255,A255,$B$2:B255,B255))</f>
        <v/>
      </c>
      <c r="D255" s="7"/>
      <c r="E255" s="7"/>
      <c r="F255" s="7"/>
      <c r="G255" s="7"/>
      <c r="H255" s="7"/>
      <c r="I255" s="7"/>
      <c r="J255" s="7"/>
      <c r="K255" s="7"/>
      <c r="L255" s="7"/>
      <c r="M255" s="6" t="str">
        <f t="shared" si="6"/>
        <v/>
      </c>
      <c r="N255" s="6" t="str">
        <f t="shared" si="7"/>
        <v/>
      </c>
    </row>
    <row r="256" spans="1:14" x14ac:dyDescent="0.25">
      <c r="A256" s="7"/>
      <c r="B256" s="7"/>
      <c r="C256" s="6" t="str">
        <f>IF(A256="","",COUNTIFS($A$2:A256,A256,$B$2:B256,B256))</f>
        <v/>
      </c>
      <c r="D256" s="7"/>
      <c r="E256" s="7"/>
      <c r="F256" s="7"/>
      <c r="G256" s="7"/>
      <c r="H256" s="7"/>
      <c r="I256" s="7"/>
      <c r="J256" s="7"/>
      <c r="K256" s="7"/>
      <c r="L256" s="7"/>
      <c r="M256" s="6" t="str">
        <f t="shared" si="6"/>
        <v/>
      </c>
      <c r="N256" s="6" t="str">
        <f t="shared" si="7"/>
        <v/>
      </c>
    </row>
    <row r="257" spans="1:14" x14ac:dyDescent="0.25">
      <c r="A257" s="7"/>
      <c r="B257" s="7"/>
      <c r="C257" s="6" t="str">
        <f>IF(A257="","",COUNTIFS($A$2:A257,A257,$B$2:B257,B257))</f>
        <v/>
      </c>
      <c r="D257" s="7"/>
      <c r="E257" s="7"/>
      <c r="F257" s="7"/>
      <c r="G257" s="7"/>
      <c r="H257" s="7"/>
      <c r="I257" s="7"/>
      <c r="J257" s="7"/>
      <c r="K257" s="7"/>
      <c r="L257" s="7"/>
      <c r="M257" s="6" t="str">
        <f t="shared" si="6"/>
        <v/>
      </c>
      <c r="N257" s="6" t="str">
        <f t="shared" si="7"/>
        <v/>
      </c>
    </row>
    <row r="258" spans="1:14" x14ac:dyDescent="0.25">
      <c r="A258" s="7"/>
      <c r="B258" s="7"/>
      <c r="C258" s="6" t="str">
        <f>IF(A258="","",COUNTIFS($A$2:A258,A258,$B$2:B258,B258))</f>
        <v/>
      </c>
      <c r="D258" s="7"/>
      <c r="E258" s="7"/>
      <c r="F258" s="7"/>
      <c r="G258" s="7"/>
      <c r="H258" s="7"/>
      <c r="I258" s="7"/>
      <c r="J258" s="7"/>
      <c r="K258" s="7"/>
      <c r="L258" s="7"/>
      <c r="M258" s="6" t="str">
        <f t="shared" ref="M258:M321" si="8">IF(D258="","",IF(OR(E258="",F258=""),"",IF(TRIM(IF(AND(E258="hecho",F258="INCORRECTA"),"INC ","")&amp;IF(AND(E258="abstencion",F258="INCORRECTA"),"ABS-E ","")&amp;IF(AND(E258="hecho",F258="FUERA_REF",H258="no_resp"),"NO-ABS ","")&amp;IF(AND(E258="hecho",I258="SIN-RESPALDO"),"SIN-R ","")&amp;IF(AND(E258="hecho",I258="CITA-X"),"CITA-X ","")&amp;IF(AND(E258="hecho",I258="SIN-CITA"),"SIN-C ",""))="","-",TRIM(IF(AND(E258="hecho",F258="INCORRECTA"),"INC ","")&amp;IF(AND(E258="abstencion",F258="INCORRECTA"),"ABS-E ","")&amp;IF(AND(E258="hecho",F258="FUERA_REF",H258="no_resp"),"NO-ABS ","")&amp;IF(AND(E258="hecho",I258="SIN-RESPALDO"),"SIN-R ","")&amp;IF(AND(E258="hecho",I258="CITA-X"),"CITA-X ","")&amp;IF(AND(E258="hecho",I258="SIN-CITA"),"SIN-C ","")))))</f>
        <v/>
      </c>
      <c r="N258" s="6" t="str">
        <f t="shared" ref="N258:N321" si="9">IF(D258="","",IF(OR(A258="",B258="",E258="",F258=""),"falta qid, modo, tipo o vs_ref",IF(AND(B258="llm",I258&lt;&gt;""),"respaldo no aplica en modo LLM",IF(AND(E258="abstencion",I258&lt;&gt;""),"una abstención no se califica en citas",IF(AND(B258="rag",E258="hecho",I258=""),"falta respaldo","ok")))))</f>
        <v/>
      </c>
    </row>
    <row r="259" spans="1:14" x14ac:dyDescent="0.25">
      <c r="A259" s="7"/>
      <c r="B259" s="7"/>
      <c r="C259" s="6" t="str">
        <f>IF(A259="","",COUNTIFS($A$2:A259,A259,$B$2:B259,B259))</f>
        <v/>
      </c>
      <c r="D259" s="7"/>
      <c r="E259" s="7"/>
      <c r="F259" s="7"/>
      <c r="G259" s="7"/>
      <c r="H259" s="7"/>
      <c r="I259" s="7"/>
      <c r="J259" s="7"/>
      <c r="K259" s="7"/>
      <c r="L259" s="7"/>
      <c r="M259" s="6" t="str">
        <f t="shared" si="8"/>
        <v/>
      </c>
      <c r="N259" s="6" t="str">
        <f t="shared" si="9"/>
        <v/>
      </c>
    </row>
    <row r="260" spans="1:14" x14ac:dyDescent="0.25">
      <c r="A260" s="7"/>
      <c r="B260" s="7"/>
      <c r="C260" s="6" t="str">
        <f>IF(A260="","",COUNTIFS($A$2:A260,A260,$B$2:B260,B260))</f>
        <v/>
      </c>
      <c r="D260" s="7"/>
      <c r="E260" s="7"/>
      <c r="F260" s="7"/>
      <c r="G260" s="7"/>
      <c r="H260" s="7"/>
      <c r="I260" s="7"/>
      <c r="J260" s="7"/>
      <c r="K260" s="7"/>
      <c r="L260" s="7"/>
      <c r="M260" s="6" t="str">
        <f t="shared" si="8"/>
        <v/>
      </c>
      <c r="N260" s="6" t="str">
        <f t="shared" si="9"/>
        <v/>
      </c>
    </row>
    <row r="261" spans="1:14" x14ac:dyDescent="0.25">
      <c r="A261" s="7"/>
      <c r="B261" s="7"/>
      <c r="C261" s="6" t="str">
        <f>IF(A261="","",COUNTIFS($A$2:A261,A261,$B$2:B261,B261))</f>
        <v/>
      </c>
      <c r="D261" s="7"/>
      <c r="E261" s="7"/>
      <c r="F261" s="7"/>
      <c r="G261" s="7"/>
      <c r="H261" s="7"/>
      <c r="I261" s="7"/>
      <c r="J261" s="7"/>
      <c r="K261" s="7"/>
      <c r="L261" s="7"/>
      <c r="M261" s="6" t="str">
        <f t="shared" si="8"/>
        <v/>
      </c>
      <c r="N261" s="6" t="str">
        <f t="shared" si="9"/>
        <v/>
      </c>
    </row>
    <row r="262" spans="1:14" x14ac:dyDescent="0.25">
      <c r="A262" s="7"/>
      <c r="B262" s="7"/>
      <c r="C262" s="6" t="str">
        <f>IF(A262="","",COUNTIFS($A$2:A262,A262,$B$2:B262,B262))</f>
        <v/>
      </c>
      <c r="D262" s="7"/>
      <c r="E262" s="7"/>
      <c r="F262" s="7"/>
      <c r="G262" s="7"/>
      <c r="H262" s="7"/>
      <c r="I262" s="7"/>
      <c r="J262" s="7"/>
      <c r="K262" s="7"/>
      <c r="L262" s="7"/>
      <c r="M262" s="6" t="str">
        <f t="shared" si="8"/>
        <v/>
      </c>
      <c r="N262" s="6" t="str">
        <f t="shared" si="9"/>
        <v/>
      </c>
    </row>
    <row r="263" spans="1:14" x14ac:dyDescent="0.25">
      <c r="A263" s="7"/>
      <c r="B263" s="7"/>
      <c r="C263" s="6" t="str">
        <f>IF(A263="","",COUNTIFS($A$2:A263,A263,$B$2:B263,B263))</f>
        <v/>
      </c>
      <c r="D263" s="7"/>
      <c r="E263" s="7"/>
      <c r="F263" s="7"/>
      <c r="G263" s="7"/>
      <c r="H263" s="7"/>
      <c r="I263" s="7"/>
      <c r="J263" s="7"/>
      <c r="K263" s="7"/>
      <c r="L263" s="7"/>
      <c r="M263" s="6" t="str">
        <f t="shared" si="8"/>
        <v/>
      </c>
      <c r="N263" s="6" t="str">
        <f t="shared" si="9"/>
        <v/>
      </c>
    </row>
    <row r="264" spans="1:14" x14ac:dyDescent="0.25">
      <c r="A264" s="7"/>
      <c r="B264" s="7"/>
      <c r="C264" s="6" t="str">
        <f>IF(A264="","",COUNTIFS($A$2:A264,A264,$B$2:B264,B264))</f>
        <v/>
      </c>
      <c r="D264" s="7"/>
      <c r="E264" s="7"/>
      <c r="F264" s="7"/>
      <c r="G264" s="7"/>
      <c r="H264" s="7"/>
      <c r="I264" s="7"/>
      <c r="J264" s="7"/>
      <c r="K264" s="7"/>
      <c r="L264" s="7"/>
      <c r="M264" s="6" t="str">
        <f t="shared" si="8"/>
        <v/>
      </c>
      <c r="N264" s="6" t="str">
        <f t="shared" si="9"/>
        <v/>
      </c>
    </row>
    <row r="265" spans="1:14" x14ac:dyDescent="0.25">
      <c r="A265" s="7"/>
      <c r="B265" s="7"/>
      <c r="C265" s="6" t="str">
        <f>IF(A265="","",COUNTIFS($A$2:A265,A265,$B$2:B265,B265))</f>
        <v/>
      </c>
      <c r="D265" s="7"/>
      <c r="E265" s="7"/>
      <c r="F265" s="7"/>
      <c r="G265" s="7"/>
      <c r="H265" s="7"/>
      <c r="I265" s="7"/>
      <c r="J265" s="7"/>
      <c r="K265" s="7"/>
      <c r="L265" s="7"/>
      <c r="M265" s="6" t="str">
        <f t="shared" si="8"/>
        <v/>
      </c>
      <c r="N265" s="6" t="str">
        <f t="shared" si="9"/>
        <v/>
      </c>
    </row>
    <row r="266" spans="1:14" x14ac:dyDescent="0.25">
      <c r="A266" s="7"/>
      <c r="B266" s="7"/>
      <c r="C266" s="6" t="str">
        <f>IF(A266="","",COUNTIFS($A$2:A266,A266,$B$2:B266,B266))</f>
        <v/>
      </c>
      <c r="D266" s="7"/>
      <c r="E266" s="7"/>
      <c r="F266" s="7"/>
      <c r="G266" s="7"/>
      <c r="H266" s="7"/>
      <c r="I266" s="7"/>
      <c r="J266" s="7"/>
      <c r="K266" s="7"/>
      <c r="L266" s="7"/>
      <c r="M266" s="6" t="str">
        <f t="shared" si="8"/>
        <v/>
      </c>
      <c r="N266" s="6" t="str">
        <f t="shared" si="9"/>
        <v/>
      </c>
    </row>
    <row r="267" spans="1:14" x14ac:dyDescent="0.25">
      <c r="A267" s="7"/>
      <c r="B267" s="7"/>
      <c r="C267" s="6" t="str">
        <f>IF(A267="","",COUNTIFS($A$2:A267,A267,$B$2:B267,B267))</f>
        <v/>
      </c>
      <c r="D267" s="7"/>
      <c r="E267" s="7"/>
      <c r="F267" s="7"/>
      <c r="G267" s="7"/>
      <c r="H267" s="7"/>
      <c r="I267" s="7"/>
      <c r="J267" s="7"/>
      <c r="K267" s="7"/>
      <c r="L267" s="7"/>
      <c r="M267" s="6" t="str">
        <f t="shared" si="8"/>
        <v/>
      </c>
      <c r="N267" s="6" t="str">
        <f t="shared" si="9"/>
        <v/>
      </c>
    </row>
    <row r="268" spans="1:14" x14ac:dyDescent="0.25">
      <c r="A268" s="7"/>
      <c r="B268" s="7"/>
      <c r="C268" s="6" t="str">
        <f>IF(A268="","",COUNTIFS($A$2:A268,A268,$B$2:B268,B268))</f>
        <v/>
      </c>
      <c r="D268" s="7"/>
      <c r="E268" s="7"/>
      <c r="F268" s="7"/>
      <c r="G268" s="7"/>
      <c r="H268" s="7"/>
      <c r="I268" s="7"/>
      <c r="J268" s="7"/>
      <c r="K268" s="7"/>
      <c r="L268" s="7"/>
      <c r="M268" s="6" t="str">
        <f t="shared" si="8"/>
        <v/>
      </c>
      <c r="N268" s="6" t="str">
        <f t="shared" si="9"/>
        <v/>
      </c>
    </row>
    <row r="269" spans="1:14" x14ac:dyDescent="0.25">
      <c r="A269" s="7"/>
      <c r="B269" s="7"/>
      <c r="C269" s="6" t="str">
        <f>IF(A269="","",COUNTIFS($A$2:A269,A269,$B$2:B269,B269))</f>
        <v/>
      </c>
      <c r="D269" s="7"/>
      <c r="E269" s="7"/>
      <c r="F269" s="7"/>
      <c r="G269" s="7"/>
      <c r="H269" s="7"/>
      <c r="I269" s="7"/>
      <c r="J269" s="7"/>
      <c r="K269" s="7"/>
      <c r="L269" s="7"/>
      <c r="M269" s="6" t="str">
        <f t="shared" si="8"/>
        <v/>
      </c>
      <c r="N269" s="6" t="str">
        <f t="shared" si="9"/>
        <v/>
      </c>
    </row>
    <row r="270" spans="1:14" x14ac:dyDescent="0.25">
      <c r="A270" s="7"/>
      <c r="B270" s="7"/>
      <c r="C270" s="6" t="str">
        <f>IF(A270="","",COUNTIFS($A$2:A270,A270,$B$2:B270,B270))</f>
        <v/>
      </c>
      <c r="D270" s="7"/>
      <c r="E270" s="7"/>
      <c r="F270" s="7"/>
      <c r="G270" s="7"/>
      <c r="H270" s="7"/>
      <c r="I270" s="7"/>
      <c r="J270" s="7"/>
      <c r="K270" s="7"/>
      <c r="L270" s="7"/>
      <c r="M270" s="6" t="str">
        <f t="shared" si="8"/>
        <v/>
      </c>
      <c r="N270" s="6" t="str">
        <f t="shared" si="9"/>
        <v/>
      </c>
    </row>
    <row r="271" spans="1:14" x14ac:dyDescent="0.25">
      <c r="A271" s="7"/>
      <c r="B271" s="7"/>
      <c r="C271" s="6" t="str">
        <f>IF(A271="","",COUNTIFS($A$2:A271,A271,$B$2:B271,B271))</f>
        <v/>
      </c>
      <c r="D271" s="7"/>
      <c r="E271" s="7"/>
      <c r="F271" s="7"/>
      <c r="G271" s="7"/>
      <c r="H271" s="7"/>
      <c r="I271" s="7"/>
      <c r="J271" s="7"/>
      <c r="K271" s="7"/>
      <c r="L271" s="7"/>
      <c r="M271" s="6" t="str">
        <f t="shared" si="8"/>
        <v/>
      </c>
      <c r="N271" s="6" t="str">
        <f t="shared" si="9"/>
        <v/>
      </c>
    </row>
    <row r="272" spans="1:14" x14ac:dyDescent="0.25">
      <c r="A272" s="7"/>
      <c r="B272" s="7"/>
      <c r="C272" s="6" t="str">
        <f>IF(A272="","",COUNTIFS($A$2:A272,A272,$B$2:B272,B272))</f>
        <v/>
      </c>
      <c r="D272" s="7"/>
      <c r="E272" s="7"/>
      <c r="F272" s="7"/>
      <c r="G272" s="7"/>
      <c r="H272" s="7"/>
      <c r="I272" s="7"/>
      <c r="J272" s="7"/>
      <c r="K272" s="7"/>
      <c r="L272" s="7"/>
      <c r="M272" s="6" t="str">
        <f t="shared" si="8"/>
        <v/>
      </c>
      <c r="N272" s="6" t="str">
        <f t="shared" si="9"/>
        <v/>
      </c>
    </row>
    <row r="273" spans="1:14" x14ac:dyDescent="0.25">
      <c r="A273" s="7"/>
      <c r="B273" s="7"/>
      <c r="C273" s="6" t="str">
        <f>IF(A273="","",COUNTIFS($A$2:A273,A273,$B$2:B273,B273))</f>
        <v/>
      </c>
      <c r="D273" s="7"/>
      <c r="E273" s="7"/>
      <c r="F273" s="7"/>
      <c r="G273" s="7"/>
      <c r="H273" s="7"/>
      <c r="I273" s="7"/>
      <c r="J273" s="7"/>
      <c r="K273" s="7"/>
      <c r="L273" s="7"/>
      <c r="M273" s="6" t="str">
        <f t="shared" si="8"/>
        <v/>
      </c>
      <c r="N273" s="6" t="str">
        <f t="shared" si="9"/>
        <v/>
      </c>
    </row>
    <row r="274" spans="1:14" x14ac:dyDescent="0.25">
      <c r="A274" s="7"/>
      <c r="B274" s="7"/>
      <c r="C274" s="6" t="str">
        <f>IF(A274="","",COUNTIFS($A$2:A274,A274,$B$2:B274,B274))</f>
        <v/>
      </c>
      <c r="D274" s="7"/>
      <c r="E274" s="7"/>
      <c r="F274" s="7"/>
      <c r="G274" s="7"/>
      <c r="H274" s="7"/>
      <c r="I274" s="7"/>
      <c r="J274" s="7"/>
      <c r="K274" s="7"/>
      <c r="L274" s="7"/>
      <c r="M274" s="6" t="str">
        <f t="shared" si="8"/>
        <v/>
      </c>
      <c r="N274" s="6" t="str">
        <f t="shared" si="9"/>
        <v/>
      </c>
    </row>
    <row r="275" spans="1:14" x14ac:dyDescent="0.25">
      <c r="A275" s="7"/>
      <c r="B275" s="7"/>
      <c r="C275" s="6" t="str">
        <f>IF(A275="","",COUNTIFS($A$2:A275,A275,$B$2:B275,B275))</f>
        <v/>
      </c>
      <c r="D275" s="7"/>
      <c r="E275" s="7"/>
      <c r="F275" s="7"/>
      <c r="G275" s="7"/>
      <c r="H275" s="7"/>
      <c r="I275" s="7"/>
      <c r="J275" s="7"/>
      <c r="K275" s="7"/>
      <c r="L275" s="7"/>
      <c r="M275" s="6" t="str">
        <f t="shared" si="8"/>
        <v/>
      </c>
      <c r="N275" s="6" t="str">
        <f t="shared" si="9"/>
        <v/>
      </c>
    </row>
    <row r="276" spans="1:14" x14ac:dyDescent="0.25">
      <c r="A276" s="7"/>
      <c r="B276" s="7"/>
      <c r="C276" s="6" t="str">
        <f>IF(A276="","",COUNTIFS($A$2:A276,A276,$B$2:B276,B276))</f>
        <v/>
      </c>
      <c r="D276" s="7"/>
      <c r="E276" s="7"/>
      <c r="F276" s="7"/>
      <c r="G276" s="7"/>
      <c r="H276" s="7"/>
      <c r="I276" s="7"/>
      <c r="J276" s="7"/>
      <c r="K276" s="7"/>
      <c r="L276" s="7"/>
      <c r="M276" s="6" t="str">
        <f t="shared" si="8"/>
        <v/>
      </c>
      <c r="N276" s="6" t="str">
        <f t="shared" si="9"/>
        <v/>
      </c>
    </row>
    <row r="277" spans="1:14" x14ac:dyDescent="0.25">
      <c r="A277" s="7"/>
      <c r="B277" s="7"/>
      <c r="C277" s="6" t="str">
        <f>IF(A277="","",COUNTIFS($A$2:A277,A277,$B$2:B277,B277))</f>
        <v/>
      </c>
      <c r="D277" s="7"/>
      <c r="E277" s="7"/>
      <c r="F277" s="7"/>
      <c r="G277" s="7"/>
      <c r="H277" s="7"/>
      <c r="I277" s="7"/>
      <c r="J277" s="7"/>
      <c r="K277" s="7"/>
      <c r="L277" s="7"/>
      <c r="M277" s="6" t="str">
        <f t="shared" si="8"/>
        <v/>
      </c>
      <c r="N277" s="6" t="str">
        <f t="shared" si="9"/>
        <v/>
      </c>
    </row>
    <row r="278" spans="1:14" x14ac:dyDescent="0.25">
      <c r="A278" s="7"/>
      <c r="B278" s="7"/>
      <c r="C278" s="6" t="str">
        <f>IF(A278="","",COUNTIFS($A$2:A278,A278,$B$2:B278,B278))</f>
        <v/>
      </c>
      <c r="D278" s="7"/>
      <c r="E278" s="7"/>
      <c r="F278" s="7"/>
      <c r="G278" s="7"/>
      <c r="H278" s="7"/>
      <c r="I278" s="7"/>
      <c r="J278" s="7"/>
      <c r="K278" s="7"/>
      <c r="L278" s="7"/>
      <c r="M278" s="6" t="str">
        <f t="shared" si="8"/>
        <v/>
      </c>
      <c r="N278" s="6" t="str">
        <f t="shared" si="9"/>
        <v/>
      </c>
    </row>
    <row r="279" spans="1:14" x14ac:dyDescent="0.25">
      <c r="A279" s="7"/>
      <c r="B279" s="7"/>
      <c r="C279" s="6" t="str">
        <f>IF(A279="","",COUNTIFS($A$2:A279,A279,$B$2:B279,B279))</f>
        <v/>
      </c>
      <c r="D279" s="7"/>
      <c r="E279" s="7"/>
      <c r="F279" s="7"/>
      <c r="G279" s="7"/>
      <c r="H279" s="7"/>
      <c r="I279" s="7"/>
      <c r="J279" s="7"/>
      <c r="K279" s="7"/>
      <c r="L279" s="7"/>
      <c r="M279" s="6" t="str">
        <f t="shared" si="8"/>
        <v/>
      </c>
      <c r="N279" s="6" t="str">
        <f t="shared" si="9"/>
        <v/>
      </c>
    </row>
    <row r="280" spans="1:14" x14ac:dyDescent="0.25">
      <c r="A280" s="7"/>
      <c r="B280" s="7"/>
      <c r="C280" s="6" t="str">
        <f>IF(A280="","",COUNTIFS($A$2:A280,A280,$B$2:B280,B280))</f>
        <v/>
      </c>
      <c r="D280" s="7"/>
      <c r="E280" s="7"/>
      <c r="F280" s="7"/>
      <c r="G280" s="7"/>
      <c r="H280" s="7"/>
      <c r="I280" s="7"/>
      <c r="J280" s="7"/>
      <c r="K280" s="7"/>
      <c r="L280" s="7"/>
      <c r="M280" s="6" t="str">
        <f t="shared" si="8"/>
        <v/>
      </c>
      <c r="N280" s="6" t="str">
        <f t="shared" si="9"/>
        <v/>
      </c>
    </row>
    <row r="281" spans="1:14" x14ac:dyDescent="0.25">
      <c r="A281" s="7"/>
      <c r="B281" s="7"/>
      <c r="C281" s="6" t="str">
        <f>IF(A281="","",COUNTIFS($A$2:A281,A281,$B$2:B281,B281))</f>
        <v/>
      </c>
      <c r="D281" s="7"/>
      <c r="E281" s="7"/>
      <c r="F281" s="7"/>
      <c r="G281" s="7"/>
      <c r="H281" s="7"/>
      <c r="I281" s="7"/>
      <c r="J281" s="7"/>
      <c r="K281" s="7"/>
      <c r="L281" s="7"/>
      <c r="M281" s="6" t="str">
        <f t="shared" si="8"/>
        <v/>
      </c>
      <c r="N281" s="6" t="str">
        <f t="shared" si="9"/>
        <v/>
      </c>
    </row>
    <row r="282" spans="1:14" x14ac:dyDescent="0.25">
      <c r="A282" s="7"/>
      <c r="B282" s="7"/>
      <c r="C282" s="6" t="str">
        <f>IF(A282="","",COUNTIFS($A$2:A282,A282,$B$2:B282,B282))</f>
        <v/>
      </c>
      <c r="D282" s="7"/>
      <c r="E282" s="7"/>
      <c r="F282" s="7"/>
      <c r="G282" s="7"/>
      <c r="H282" s="7"/>
      <c r="I282" s="7"/>
      <c r="J282" s="7"/>
      <c r="K282" s="7"/>
      <c r="L282" s="7"/>
      <c r="M282" s="6" t="str">
        <f t="shared" si="8"/>
        <v/>
      </c>
      <c r="N282" s="6" t="str">
        <f t="shared" si="9"/>
        <v/>
      </c>
    </row>
    <row r="283" spans="1:14" x14ac:dyDescent="0.25">
      <c r="A283" s="7"/>
      <c r="B283" s="7"/>
      <c r="C283" s="6" t="str">
        <f>IF(A283="","",COUNTIFS($A$2:A283,A283,$B$2:B283,B283))</f>
        <v/>
      </c>
      <c r="D283" s="7"/>
      <c r="E283" s="7"/>
      <c r="F283" s="7"/>
      <c r="G283" s="7"/>
      <c r="H283" s="7"/>
      <c r="I283" s="7"/>
      <c r="J283" s="7"/>
      <c r="K283" s="7"/>
      <c r="L283" s="7"/>
      <c r="M283" s="6" t="str">
        <f t="shared" si="8"/>
        <v/>
      </c>
      <c r="N283" s="6" t="str">
        <f t="shared" si="9"/>
        <v/>
      </c>
    </row>
    <row r="284" spans="1:14" x14ac:dyDescent="0.25">
      <c r="A284" s="7"/>
      <c r="B284" s="7"/>
      <c r="C284" s="6" t="str">
        <f>IF(A284="","",COUNTIFS($A$2:A284,A284,$B$2:B284,B284))</f>
        <v/>
      </c>
      <c r="D284" s="7"/>
      <c r="E284" s="7"/>
      <c r="F284" s="7"/>
      <c r="G284" s="7"/>
      <c r="H284" s="7"/>
      <c r="I284" s="7"/>
      <c r="J284" s="7"/>
      <c r="K284" s="7"/>
      <c r="L284" s="7"/>
      <c r="M284" s="6" t="str">
        <f t="shared" si="8"/>
        <v/>
      </c>
      <c r="N284" s="6" t="str">
        <f t="shared" si="9"/>
        <v/>
      </c>
    </row>
    <row r="285" spans="1:14" x14ac:dyDescent="0.25">
      <c r="A285" s="7"/>
      <c r="B285" s="7"/>
      <c r="C285" s="6" t="str">
        <f>IF(A285="","",COUNTIFS($A$2:A285,A285,$B$2:B285,B285))</f>
        <v/>
      </c>
      <c r="D285" s="7"/>
      <c r="E285" s="7"/>
      <c r="F285" s="7"/>
      <c r="G285" s="7"/>
      <c r="H285" s="7"/>
      <c r="I285" s="7"/>
      <c r="J285" s="7"/>
      <c r="K285" s="7"/>
      <c r="L285" s="7"/>
      <c r="M285" s="6" t="str">
        <f t="shared" si="8"/>
        <v/>
      </c>
      <c r="N285" s="6" t="str">
        <f t="shared" si="9"/>
        <v/>
      </c>
    </row>
    <row r="286" spans="1:14" x14ac:dyDescent="0.25">
      <c r="A286" s="7"/>
      <c r="B286" s="7"/>
      <c r="C286" s="6" t="str">
        <f>IF(A286="","",COUNTIFS($A$2:A286,A286,$B$2:B286,B286))</f>
        <v/>
      </c>
      <c r="D286" s="7"/>
      <c r="E286" s="7"/>
      <c r="F286" s="7"/>
      <c r="G286" s="7"/>
      <c r="H286" s="7"/>
      <c r="I286" s="7"/>
      <c r="J286" s="7"/>
      <c r="K286" s="7"/>
      <c r="L286" s="7"/>
      <c r="M286" s="6" t="str">
        <f t="shared" si="8"/>
        <v/>
      </c>
      <c r="N286" s="6" t="str">
        <f t="shared" si="9"/>
        <v/>
      </c>
    </row>
    <row r="287" spans="1:14" x14ac:dyDescent="0.25">
      <c r="A287" s="7"/>
      <c r="B287" s="7"/>
      <c r="C287" s="6" t="str">
        <f>IF(A287="","",COUNTIFS($A$2:A287,A287,$B$2:B287,B287))</f>
        <v/>
      </c>
      <c r="D287" s="7"/>
      <c r="E287" s="7"/>
      <c r="F287" s="7"/>
      <c r="G287" s="7"/>
      <c r="H287" s="7"/>
      <c r="I287" s="7"/>
      <c r="J287" s="7"/>
      <c r="K287" s="7"/>
      <c r="L287" s="7"/>
      <c r="M287" s="6" t="str">
        <f t="shared" si="8"/>
        <v/>
      </c>
      <c r="N287" s="6" t="str">
        <f t="shared" si="9"/>
        <v/>
      </c>
    </row>
    <row r="288" spans="1:14" x14ac:dyDescent="0.25">
      <c r="A288" s="7"/>
      <c r="B288" s="7"/>
      <c r="C288" s="6" t="str">
        <f>IF(A288="","",COUNTIFS($A$2:A288,A288,$B$2:B288,B288))</f>
        <v/>
      </c>
      <c r="D288" s="7"/>
      <c r="E288" s="7"/>
      <c r="F288" s="7"/>
      <c r="G288" s="7"/>
      <c r="H288" s="7"/>
      <c r="I288" s="7"/>
      <c r="J288" s="7"/>
      <c r="K288" s="7"/>
      <c r="L288" s="7"/>
      <c r="M288" s="6" t="str">
        <f t="shared" si="8"/>
        <v/>
      </c>
      <c r="N288" s="6" t="str">
        <f t="shared" si="9"/>
        <v/>
      </c>
    </row>
    <row r="289" spans="1:14" x14ac:dyDescent="0.25">
      <c r="A289" s="7"/>
      <c r="B289" s="7"/>
      <c r="C289" s="6" t="str">
        <f>IF(A289="","",COUNTIFS($A$2:A289,A289,$B$2:B289,B289))</f>
        <v/>
      </c>
      <c r="D289" s="7"/>
      <c r="E289" s="7"/>
      <c r="F289" s="7"/>
      <c r="G289" s="7"/>
      <c r="H289" s="7"/>
      <c r="I289" s="7"/>
      <c r="J289" s="7"/>
      <c r="K289" s="7"/>
      <c r="L289" s="7"/>
      <c r="M289" s="6" t="str">
        <f t="shared" si="8"/>
        <v/>
      </c>
      <c r="N289" s="6" t="str">
        <f t="shared" si="9"/>
        <v/>
      </c>
    </row>
    <row r="290" spans="1:14" x14ac:dyDescent="0.25">
      <c r="A290" s="7"/>
      <c r="B290" s="7"/>
      <c r="C290" s="6" t="str">
        <f>IF(A290="","",COUNTIFS($A$2:A290,A290,$B$2:B290,B290))</f>
        <v/>
      </c>
      <c r="D290" s="7"/>
      <c r="E290" s="7"/>
      <c r="F290" s="7"/>
      <c r="G290" s="7"/>
      <c r="H290" s="7"/>
      <c r="I290" s="7"/>
      <c r="J290" s="7"/>
      <c r="K290" s="7"/>
      <c r="L290" s="7"/>
      <c r="M290" s="6" t="str">
        <f t="shared" si="8"/>
        <v/>
      </c>
      <c r="N290" s="6" t="str">
        <f t="shared" si="9"/>
        <v/>
      </c>
    </row>
    <row r="291" spans="1:14" x14ac:dyDescent="0.25">
      <c r="A291" s="7"/>
      <c r="B291" s="7"/>
      <c r="C291" s="6" t="str">
        <f>IF(A291="","",COUNTIFS($A$2:A291,A291,$B$2:B291,B291))</f>
        <v/>
      </c>
      <c r="D291" s="7"/>
      <c r="E291" s="7"/>
      <c r="F291" s="7"/>
      <c r="G291" s="7"/>
      <c r="H291" s="7"/>
      <c r="I291" s="7"/>
      <c r="J291" s="7"/>
      <c r="K291" s="7"/>
      <c r="L291" s="7"/>
      <c r="M291" s="6" t="str">
        <f t="shared" si="8"/>
        <v/>
      </c>
      <c r="N291" s="6" t="str">
        <f t="shared" si="9"/>
        <v/>
      </c>
    </row>
    <row r="292" spans="1:14" x14ac:dyDescent="0.25">
      <c r="A292" s="7"/>
      <c r="B292" s="7"/>
      <c r="C292" s="6" t="str">
        <f>IF(A292="","",COUNTIFS($A$2:A292,A292,$B$2:B292,B292))</f>
        <v/>
      </c>
      <c r="D292" s="7"/>
      <c r="E292" s="7"/>
      <c r="F292" s="7"/>
      <c r="G292" s="7"/>
      <c r="H292" s="7"/>
      <c r="I292" s="7"/>
      <c r="J292" s="7"/>
      <c r="K292" s="7"/>
      <c r="L292" s="7"/>
      <c r="M292" s="6" t="str">
        <f t="shared" si="8"/>
        <v/>
      </c>
      <c r="N292" s="6" t="str">
        <f t="shared" si="9"/>
        <v/>
      </c>
    </row>
    <row r="293" spans="1:14" x14ac:dyDescent="0.25">
      <c r="A293" s="7"/>
      <c r="B293" s="7"/>
      <c r="C293" s="6" t="str">
        <f>IF(A293="","",COUNTIFS($A$2:A293,A293,$B$2:B293,B293))</f>
        <v/>
      </c>
      <c r="D293" s="7"/>
      <c r="E293" s="7"/>
      <c r="F293" s="7"/>
      <c r="G293" s="7"/>
      <c r="H293" s="7"/>
      <c r="I293" s="7"/>
      <c r="J293" s="7"/>
      <c r="K293" s="7"/>
      <c r="L293" s="7"/>
      <c r="M293" s="6" t="str">
        <f t="shared" si="8"/>
        <v/>
      </c>
      <c r="N293" s="6" t="str">
        <f t="shared" si="9"/>
        <v/>
      </c>
    </row>
    <row r="294" spans="1:14" x14ac:dyDescent="0.25">
      <c r="A294" s="7"/>
      <c r="B294" s="7"/>
      <c r="C294" s="6" t="str">
        <f>IF(A294="","",COUNTIFS($A$2:A294,A294,$B$2:B294,B294))</f>
        <v/>
      </c>
      <c r="D294" s="7"/>
      <c r="E294" s="7"/>
      <c r="F294" s="7"/>
      <c r="G294" s="7"/>
      <c r="H294" s="7"/>
      <c r="I294" s="7"/>
      <c r="J294" s="7"/>
      <c r="K294" s="7"/>
      <c r="L294" s="7"/>
      <c r="M294" s="6" t="str">
        <f t="shared" si="8"/>
        <v/>
      </c>
      <c r="N294" s="6" t="str">
        <f t="shared" si="9"/>
        <v/>
      </c>
    </row>
    <row r="295" spans="1:14" x14ac:dyDescent="0.25">
      <c r="A295" s="7"/>
      <c r="B295" s="7"/>
      <c r="C295" s="6" t="str">
        <f>IF(A295="","",COUNTIFS($A$2:A295,A295,$B$2:B295,B295))</f>
        <v/>
      </c>
      <c r="D295" s="7"/>
      <c r="E295" s="7"/>
      <c r="F295" s="7"/>
      <c r="G295" s="7"/>
      <c r="H295" s="7"/>
      <c r="I295" s="7"/>
      <c r="J295" s="7"/>
      <c r="K295" s="7"/>
      <c r="L295" s="7"/>
      <c r="M295" s="6" t="str">
        <f t="shared" si="8"/>
        <v/>
      </c>
      <c r="N295" s="6" t="str">
        <f t="shared" si="9"/>
        <v/>
      </c>
    </row>
    <row r="296" spans="1:14" x14ac:dyDescent="0.25">
      <c r="A296" s="7"/>
      <c r="B296" s="7"/>
      <c r="C296" s="6" t="str">
        <f>IF(A296="","",COUNTIFS($A$2:A296,A296,$B$2:B296,B296))</f>
        <v/>
      </c>
      <c r="D296" s="7"/>
      <c r="E296" s="7"/>
      <c r="F296" s="7"/>
      <c r="G296" s="7"/>
      <c r="H296" s="7"/>
      <c r="I296" s="7"/>
      <c r="J296" s="7"/>
      <c r="K296" s="7"/>
      <c r="L296" s="7"/>
      <c r="M296" s="6" t="str">
        <f t="shared" si="8"/>
        <v/>
      </c>
      <c r="N296" s="6" t="str">
        <f t="shared" si="9"/>
        <v/>
      </c>
    </row>
    <row r="297" spans="1:14" x14ac:dyDescent="0.25">
      <c r="A297" s="7"/>
      <c r="B297" s="7"/>
      <c r="C297" s="6" t="str">
        <f>IF(A297="","",COUNTIFS($A$2:A297,A297,$B$2:B297,B297))</f>
        <v/>
      </c>
      <c r="D297" s="7"/>
      <c r="E297" s="7"/>
      <c r="F297" s="7"/>
      <c r="G297" s="7"/>
      <c r="H297" s="7"/>
      <c r="I297" s="7"/>
      <c r="J297" s="7"/>
      <c r="K297" s="7"/>
      <c r="L297" s="7"/>
      <c r="M297" s="6" t="str">
        <f t="shared" si="8"/>
        <v/>
      </c>
      <c r="N297" s="6" t="str">
        <f t="shared" si="9"/>
        <v/>
      </c>
    </row>
    <row r="298" spans="1:14" x14ac:dyDescent="0.25">
      <c r="A298" s="7"/>
      <c r="B298" s="7"/>
      <c r="C298" s="6" t="str">
        <f>IF(A298="","",COUNTIFS($A$2:A298,A298,$B$2:B298,B298))</f>
        <v/>
      </c>
      <c r="D298" s="7"/>
      <c r="E298" s="7"/>
      <c r="F298" s="7"/>
      <c r="G298" s="7"/>
      <c r="H298" s="7"/>
      <c r="I298" s="7"/>
      <c r="J298" s="7"/>
      <c r="K298" s="7"/>
      <c r="L298" s="7"/>
      <c r="M298" s="6" t="str">
        <f t="shared" si="8"/>
        <v/>
      </c>
      <c r="N298" s="6" t="str">
        <f t="shared" si="9"/>
        <v/>
      </c>
    </row>
    <row r="299" spans="1:14" x14ac:dyDescent="0.25">
      <c r="A299" s="7"/>
      <c r="B299" s="7"/>
      <c r="C299" s="6" t="str">
        <f>IF(A299="","",COUNTIFS($A$2:A299,A299,$B$2:B299,B299))</f>
        <v/>
      </c>
      <c r="D299" s="7"/>
      <c r="E299" s="7"/>
      <c r="F299" s="7"/>
      <c r="G299" s="7"/>
      <c r="H299" s="7"/>
      <c r="I299" s="7"/>
      <c r="J299" s="7"/>
      <c r="K299" s="7"/>
      <c r="L299" s="7"/>
      <c r="M299" s="6" t="str">
        <f t="shared" si="8"/>
        <v/>
      </c>
      <c r="N299" s="6" t="str">
        <f t="shared" si="9"/>
        <v/>
      </c>
    </row>
    <row r="300" spans="1:14" x14ac:dyDescent="0.25">
      <c r="A300" s="7"/>
      <c r="B300" s="7"/>
      <c r="C300" s="6" t="str">
        <f>IF(A300="","",COUNTIFS($A$2:A300,A300,$B$2:B300,B300))</f>
        <v/>
      </c>
      <c r="D300" s="7"/>
      <c r="E300" s="7"/>
      <c r="F300" s="7"/>
      <c r="G300" s="7"/>
      <c r="H300" s="7"/>
      <c r="I300" s="7"/>
      <c r="J300" s="7"/>
      <c r="K300" s="7"/>
      <c r="L300" s="7"/>
      <c r="M300" s="6" t="str">
        <f t="shared" si="8"/>
        <v/>
      </c>
      <c r="N300" s="6" t="str">
        <f t="shared" si="9"/>
        <v/>
      </c>
    </row>
    <row r="301" spans="1:14" x14ac:dyDescent="0.25">
      <c r="A301" s="7"/>
      <c r="B301" s="7"/>
      <c r="C301" s="6" t="str">
        <f>IF(A301="","",COUNTIFS($A$2:A301,A301,$B$2:B301,B301))</f>
        <v/>
      </c>
      <c r="D301" s="7"/>
      <c r="E301" s="7"/>
      <c r="F301" s="7"/>
      <c r="G301" s="7"/>
      <c r="H301" s="7"/>
      <c r="I301" s="7"/>
      <c r="J301" s="7"/>
      <c r="K301" s="7"/>
      <c r="L301" s="7"/>
      <c r="M301" s="6" t="str">
        <f t="shared" si="8"/>
        <v/>
      </c>
      <c r="N301" s="6" t="str">
        <f t="shared" si="9"/>
        <v/>
      </c>
    </row>
    <row r="302" spans="1:14" x14ac:dyDescent="0.25">
      <c r="A302" s="7"/>
      <c r="B302" s="7"/>
      <c r="C302" s="6" t="str">
        <f>IF(A302="","",COUNTIFS($A$2:A302,A302,$B$2:B302,B302))</f>
        <v/>
      </c>
      <c r="D302" s="7"/>
      <c r="E302" s="7"/>
      <c r="F302" s="7"/>
      <c r="G302" s="7"/>
      <c r="H302" s="7"/>
      <c r="I302" s="7"/>
      <c r="J302" s="7"/>
      <c r="K302" s="7"/>
      <c r="L302" s="7"/>
      <c r="M302" s="6" t="str">
        <f t="shared" si="8"/>
        <v/>
      </c>
      <c r="N302" s="6" t="str">
        <f t="shared" si="9"/>
        <v/>
      </c>
    </row>
    <row r="303" spans="1:14" x14ac:dyDescent="0.25">
      <c r="A303" s="7"/>
      <c r="B303" s="7"/>
      <c r="C303" s="6" t="str">
        <f>IF(A303="","",COUNTIFS($A$2:A303,A303,$B$2:B303,B303))</f>
        <v/>
      </c>
      <c r="D303" s="7"/>
      <c r="E303" s="7"/>
      <c r="F303" s="7"/>
      <c r="G303" s="7"/>
      <c r="H303" s="7"/>
      <c r="I303" s="7"/>
      <c r="J303" s="7"/>
      <c r="K303" s="7"/>
      <c r="L303" s="7"/>
      <c r="M303" s="6" t="str">
        <f t="shared" si="8"/>
        <v/>
      </c>
      <c r="N303" s="6" t="str">
        <f t="shared" si="9"/>
        <v/>
      </c>
    </row>
    <row r="304" spans="1:14" x14ac:dyDescent="0.25">
      <c r="A304" s="7"/>
      <c r="B304" s="7"/>
      <c r="C304" s="6" t="str">
        <f>IF(A304="","",COUNTIFS($A$2:A304,A304,$B$2:B304,B304))</f>
        <v/>
      </c>
      <c r="D304" s="7"/>
      <c r="E304" s="7"/>
      <c r="F304" s="7"/>
      <c r="G304" s="7"/>
      <c r="H304" s="7"/>
      <c r="I304" s="7"/>
      <c r="J304" s="7"/>
      <c r="K304" s="7"/>
      <c r="L304" s="7"/>
      <c r="M304" s="6" t="str">
        <f t="shared" si="8"/>
        <v/>
      </c>
      <c r="N304" s="6" t="str">
        <f t="shared" si="9"/>
        <v/>
      </c>
    </row>
    <row r="305" spans="1:14" x14ac:dyDescent="0.25">
      <c r="A305" s="7"/>
      <c r="B305" s="7"/>
      <c r="C305" s="6" t="str">
        <f>IF(A305="","",COUNTIFS($A$2:A305,A305,$B$2:B305,B305))</f>
        <v/>
      </c>
      <c r="D305" s="7"/>
      <c r="E305" s="7"/>
      <c r="F305" s="7"/>
      <c r="G305" s="7"/>
      <c r="H305" s="7"/>
      <c r="I305" s="7"/>
      <c r="J305" s="7"/>
      <c r="K305" s="7"/>
      <c r="L305" s="7"/>
      <c r="M305" s="6" t="str">
        <f t="shared" si="8"/>
        <v/>
      </c>
      <c r="N305" s="6" t="str">
        <f t="shared" si="9"/>
        <v/>
      </c>
    </row>
    <row r="306" spans="1:14" x14ac:dyDescent="0.25">
      <c r="A306" s="7"/>
      <c r="B306" s="7"/>
      <c r="C306" s="6" t="str">
        <f>IF(A306="","",COUNTIFS($A$2:A306,A306,$B$2:B306,B306))</f>
        <v/>
      </c>
      <c r="D306" s="7"/>
      <c r="E306" s="7"/>
      <c r="F306" s="7"/>
      <c r="G306" s="7"/>
      <c r="H306" s="7"/>
      <c r="I306" s="7"/>
      <c r="J306" s="7"/>
      <c r="K306" s="7"/>
      <c r="L306" s="7"/>
      <c r="M306" s="6" t="str">
        <f t="shared" si="8"/>
        <v/>
      </c>
      <c r="N306" s="6" t="str">
        <f t="shared" si="9"/>
        <v/>
      </c>
    </row>
    <row r="307" spans="1:14" x14ac:dyDescent="0.25">
      <c r="A307" s="7"/>
      <c r="B307" s="7"/>
      <c r="C307" s="6" t="str">
        <f>IF(A307="","",COUNTIFS($A$2:A307,A307,$B$2:B307,B307))</f>
        <v/>
      </c>
      <c r="D307" s="7"/>
      <c r="E307" s="7"/>
      <c r="F307" s="7"/>
      <c r="G307" s="7"/>
      <c r="H307" s="7"/>
      <c r="I307" s="7"/>
      <c r="J307" s="7"/>
      <c r="K307" s="7"/>
      <c r="L307" s="7"/>
      <c r="M307" s="6" t="str">
        <f t="shared" si="8"/>
        <v/>
      </c>
      <c r="N307" s="6" t="str">
        <f t="shared" si="9"/>
        <v/>
      </c>
    </row>
    <row r="308" spans="1:14" x14ac:dyDescent="0.25">
      <c r="A308" s="7"/>
      <c r="B308" s="7"/>
      <c r="C308" s="6" t="str">
        <f>IF(A308="","",COUNTIFS($A$2:A308,A308,$B$2:B308,B308))</f>
        <v/>
      </c>
      <c r="D308" s="7"/>
      <c r="E308" s="7"/>
      <c r="F308" s="7"/>
      <c r="G308" s="7"/>
      <c r="H308" s="7"/>
      <c r="I308" s="7"/>
      <c r="J308" s="7"/>
      <c r="K308" s="7"/>
      <c r="L308" s="7"/>
      <c r="M308" s="6" t="str">
        <f t="shared" si="8"/>
        <v/>
      </c>
      <c r="N308" s="6" t="str">
        <f t="shared" si="9"/>
        <v/>
      </c>
    </row>
    <row r="309" spans="1:14" x14ac:dyDescent="0.25">
      <c r="A309" s="7"/>
      <c r="B309" s="7"/>
      <c r="C309" s="6" t="str">
        <f>IF(A309="","",COUNTIFS($A$2:A309,A309,$B$2:B309,B309))</f>
        <v/>
      </c>
      <c r="D309" s="7"/>
      <c r="E309" s="7"/>
      <c r="F309" s="7"/>
      <c r="G309" s="7"/>
      <c r="H309" s="7"/>
      <c r="I309" s="7"/>
      <c r="J309" s="7"/>
      <c r="K309" s="7"/>
      <c r="L309" s="7"/>
      <c r="M309" s="6" t="str">
        <f t="shared" si="8"/>
        <v/>
      </c>
      <c r="N309" s="6" t="str">
        <f t="shared" si="9"/>
        <v/>
      </c>
    </row>
    <row r="310" spans="1:14" x14ac:dyDescent="0.25">
      <c r="A310" s="7"/>
      <c r="B310" s="7"/>
      <c r="C310" s="6" t="str">
        <f>IF(A310="","",COUNTIFS($A$2:A310,A310,$B$2:B310,B310))</f>
        <v/>
      </c>
      <c r="D310" s="7"/>
      <c r="E310" s="7"/>
      <c r="F310" s="7"/>
      <c r="G310" s="7"/>
      <c r="H310" s="7"/>
      <c r="I310" s="7"/>
      <c r="J310" s="7"/>
      <c r="K310" s="7"/>
      <c r="L310" s="7"/>
      <c r="M310" s="6" t="str">
        <f t="shared" si="8"/>
        <v/>
      </c>
      <c r="N310" s="6" t="str">
        <f t="shared" si="9"/>
        <v/>
      </c>
    </row>
    <row r="311" spans="1:14" x14ac:dyDescent="0.25">
      <c r="A311" s="7"/>
      <c r="B311" s="7"/>
      <c r="C311" s="6" t="str">
        <f>IF(A311="","",COUNTIFS($A$2:A311,A311,$B$2:B311,B311))</f>
        <v/>
      </c>
      <c r="D311" s="7"/>
      <c r="E311" s="7"/>
      <c r="F311" s="7"/>
      <c r="G311" s="7"/>
      <c r="H311" s="7"/>
      <c r="I311" s="7"/>
      <c r="J311" s="7"/>
      <c r="K311" s="7"/>
      <c r="L311" s="7"/>
      <c r="M311" s="6" t="str">
        <f t="shared" si="8"/>
        <v/>
      </c>
      <c r="N311" s="6" t="str">
        <f t="shared" si="9"/>
        <v/>
      </c>
    </row>
    <row r="312" spans="1:14" x14ac:dyDescent="0.25">
      <c r="A312" s="7"/>
      <c r="B312" s="7"/>
      <c r="C312" s="6" t="str">
        <f>IF(A312="","",COUNTIFS($A$2:A312,A312,$B$2:B312,B312))</f>
        <v/>
      </c>
      <c r="D312" s="7"/>
      <c r="E312" s="7"/>
      <c r="F312" s="7"/>
      <c r="G312" s="7"/>
      <c r="H312" s="7"/>
      <c r="I312" s="7"/>
      <c r="J312" s="7"/>
      <c r="K312" s="7"/>
      <c r="L312" s="7"/>
      <c r="M312" s="6" t="str">
        <f t="shared" si="8"/>
        <v/>
      </c>
      <c r="N312" s="6" t="str">
        <f t="shared" si="9"/>
        <v/>
      </c>
    </row>
    <row r="313" spans="1:14" x14ac:dyDescent="0.25">
      <c r="A313" s="7"/>
      <c r="B313" s="7"/>
      <c r="C313" s="6" t="str">
        <f>IF(A313="","",COUNTIFS($A$2:A313,A313,$B$2:B313,B313))</f>
        <v/>
      </c>
      <c r="D313" s="7"/>
      <c r="E313" s="7"/>
      <c r="F313" s="7"/>
      <c r="G313" s="7"/>
      <c r="H313" s="7"/>
      <c r="I313" s="7"/>
      <c r="J313" s="7"/>
      <c r="K313" s="7"/>
      <c r="L313" s="7"/>
      <c r="M313" s="6" t="str">
        <f t="shared" si="8"/>
        <v/>
      </c>
      <c r="N313" s="6" t="str">
        <f t="shared" si="9"/>
        <v/>
      </c>
    </row>
    <row r="314" spans="1:14" x14ac:dyDescent="0.25">
      <c r="A314" s="7"/>
      <c r="B314" s="7"/>
      <c r="C314" s="6" t="str">
        <f>IF(A314="","",COUNTIFS($A$2:A314,A314,$B$2:B314,B314))</f>
        <v/>
      </c>
      <c r="D314" s="7"/>
      <c r="E314" s="7"/>
      <c r="F314" s="7"/>
      <c r="G314" s="7"/>
      <c r="H314" s="7"/>
      <c r="I314" s="7"/>
      <c r="J314" s="7"/>
      <c r="K314" s="7"/>
      <c r="L314" s="7"/>
      <c r="M314" s="6" t="str">
        <f t="shared" si="8"/>
        <v/>
      </c>
      <c r="N314" s="6" t="str">
        <f t="shared" si="9"/>
        <v/>
      </c>
    </row>
    <row r="315" spans="1:14" x14ac:dyDescent="0.25">
      <c r="A315" s="7"/>
      <c r="B315" s="7"/>
      <c r="C315" s="6" t="str">
        <f>IF(A315="","",COUNTIFS($A$2:A315,A315,$B$2:B315,B315))</f>
        <v/>
      </c>
      <c r="D315" s="7"/>
      <c r="E315" s="7"/>
      <c r="F315" s="7"/>
      <c r="G315" s="7"/>
      <c r="H315" s="7"/>
      <c r="I315" s="7"/>
      <c r="J315" s="7"/>
      <c r="K315" s="7"/>
      <c r="L315" s="7"/>
      <c r="M315" s="6" t="str">
        <f t="shared" si="8"/>
        <v/>
      </c>
      <c r="N315" s="6" t="str">
        <f t="shared" si="9"/>
        <v/>
      </c>
    </row>
    <row r="316" spans="1:14" x14ac:dyDescent="0.25">
      <c r="A316" s="7"/>
      <c r="B316" s="7"/>
      <c r="C316" s="6" t="str">
        <f>IF(A316="","",COUNTIFS($A$2:A316,A316,$B$2:B316,B316))</f>
        <v/>
      </c>
      <c r="D316" s="7"/>
      <c r="E316" s="7"/>
      <c r="F316" s="7"/>
      <c r="G316" s="7"/>
      <c r="H316" s="7"/>
      <c r="I316" s="7"/>
      <c r="J316" s="7"/>
      <c r="K316" s="7"/>
      <c r="L316" s="7"/>
      <c r="M316" s="6" t="str">
        <f t="shared" si="8"/>
        <v/>
      </c>
      <c r="N316" s="6" t="str">
        <f t="shared" si="9"/>
        <v/>
      </c>
    </row>
    <row r="317" spans="1:14" x14ac:dyDescent="0.25">
      <c r="A317" s="7"/>
      <c r="B317" s="7"/>
      <c r="C317" s="6" t="str">
        <f>IF(A317="","",COUNTIFS($A$2:A317,A317,$B$2:B317,B317))</f>
        <v/>
      </c>
      <c r="D317" s="7"/>
      <c r="E317" s="7"/>
      <c r="F317" s="7"/>
      <c r="G317" s="7"/>
      <c r="H317" s="7"/>
      <c r="I317" s="7"/>
      <c r="J317" s="7"/>
      <c r="K317" s="7"/>
      <c r="L317" s="7"/>
      <c r="M317" s="6" t="str">
        <f t="shared" si="8"/>
        <v/>
      </c>
      <c r="N317" s="6" t="str">
        <f t="shared" si="9"/>
        <v/>
      </c>
    </row>
    <row r="318" spans="1:14" x14ac:dyDescent="0.25">
      <c r="A318" s="7"/>
      <c r="B318" s="7"/>
      <c r="C318" s="6" t="str">
        <f>IF(A318="","",COUNTIFS($A$2:A318,A318,$B$2:B318,B318))</f>
        <v/>
      </c>
      <c r="D318" s="7"/>
      <c r="E318" s="7"/>
      <c r="F318" s="7"/>
      <c r="G318" s="7"/>
      <c r="H318" s="7"/>
      <c r="I318" s="7"/>
      <c r="J318" s="7"/>
      <c r="K318" s="7"/>
      <c r="L318" s="7"/>
      <c r="M318" s="6" t="str">
        <f t="shared" si="8"/>
        <v/>
      </c>
      <c r="N318" s="6" t="str">
        <f t="shared" si="9"/>
        <v/>
      </c>
    </row>
    <row r="319" spans="1:14" x14ac:dyDescent="0.25">
      <c r="A319" s="7"/>
      <c r="B319" s="7"/>
      <c r="C319" s="6" t="str">
        <f>IF(A319="","",COUNTIFS($A$2:A319,A319,$B$2:B319,B319))</f>
        <v/>
      </c>
      <c r="D319" s="7"/>
      <c r="E319" s="7"/>
      <c r="F319" s="7"/>
      <c r="G319" s="7"/>
      <c r="H319" s="7"/>
      <c r="I319" s="7"/>
      <c r="J319" s="7"/>
      <c r="K319" s="7"/>
      <c r="L319" s="7"/>
      <c r="M319" s="6" t="str">
        <f t="shared" si="8"/>
        <v/>
      </c>
      <c r="N319" s="6" t="str">
        <f t="shared" si="9"/>
        <v/>
      </c>
    </row>
    <row r="320" spans="1:14" x14ac:dyDescent="0.25">
      <c r="A320" s="7"/>
      <c r="B320" s="7"/>
      <c r="C320" s="6" t="str">
        <f>IF(A320="","",COUNTIFS($A$2:A320,A320,$B$2:B320,B320))</f>
        <v/>
      </c>
      <c r="D320" s="7"/>
      <c r="E320" s="7"/>
      <c r="F320" s="7"/>
      <c r="G320" s="7"/>
      <c r="H320" s="7"/>
      <c r="I320" s="7"/>
      <c r="J320" s="7"/>
      <c r="K320" s="7"/>
      <c r="L320" s="7"/>
      <c r="M320" s="6" t="str">
        <f t="shared" si="8"/>
        <v/>
      </c>
      <c r="N320" s="6" t="str">
        <f t="shared" si="9"/>
        <v/>
      </c>
    </row>
    <row r="321" spans="1:14" x14ac:dyDescent="0.25">
      <c r="A321" s="7"/>
      <c r="B321" s="7"/>
      <c r="C321" s="6" t="str">
        <f>IF(A321="","",COUNTIFS($A$2:A321,A321,$B$2:B321,B321))</f>
        <v/>
      </c>
      <c r="D321" s="7"/>
      <c r="E321" s="7"/>
      <c r="F321" s="7"/>
      <c r="G321" s="7"/>
      <c r="H321" s="7"/>
      <c r="I321" s="7"/>
      <c r="J321" s="7"/>
      <c r="K321" s="7"/>
      <c r="L321" s="7"/>
      <c r="M321" s="6" t="str">
        <f t="shared" si="8"/>
        <v/>
      </c>
      <c r="N321" s="6" t="str">
        <f t="shared" si="9"/>
        <v/>
      </c>
    </row>
    <row r="322" spans="1:14" x14ac:dyDescent="0.25">
      <c r="A322" s="7"/>
      <c r="B322" s="7"/>
      <c r="C322" s="6" t="str">
        <f>IF(A322="","",COUNTIFS($A$2:A322,A322,$B$2:B322,B322))</f>
        <v/>
      </c>
      <c r="D322" s="7"/>
      <c r="E322" s="7"/>
      <c r="F322" s="7"/>
      <c r="G322" s="7"/>
      <c r="H322" s="7"/>
      <c r="I322" s="7"/>
      <c r="J322" s="7"/>
      <c r="K322" s="7"/>
      <c r="L322" s="7"/>
      <c r="M322" s="6" t="str">
        <f t="shared" ref="M322:M385" si="10">IF(D322="","",IF(OR(E322="",F322=""),"",IF(TRIM(IF(AND(E322="hecho",F322="INCORRECTA"),"INC ","")&amp;IF(AND(E322="abstencion",F322="INCORRECTA"),"ABS-E ","")&amp;IF(AND(E322="hecho",F322="FUERA_REF",H322="no_resp"),"NO-ABS ","")&amp;IF(AND(E322="hecho",I322="SIN-RESPALDO"),"SIN-R ","")&amp;IF(AND(E322="hecho",I322="CITA-X"),"CITA-X ","")&amp;IF(AND(E322="hecho",I322="SIN-CITA"),"SIN-C ",""))="","-",TRIM(IF(AND(E322="hecho",F322="INCORRECTA"),"INC ","")&amp;IF(AND(E322="abstencion",F322="INCORRECTA"),"ABS-E ","")&amp;IF(AND(E322="hecho",F322="FUERA_REF",H322="no_resp"),"NO-ABS ","")&amp;IF(AND(E322="hecho",I322="SIN-RESPALDO"),"SIN-R ","")&amp;IF(AND(E322="hecho",I322="CITA-X"),"CITA-X ","")&amp;IF(AND(E322="hecho",I322="SIN-CITA"),"SIN-C ","")))))</f>
        <v/>
      </c>
      <c r="N322" s="6" t="str">
        <f t="shared" ref="N322:N385" si="11">IF(D322="","",IF(OR(A322="",B322="",E322="",F322=""),"falta qid, modo, tipo o vs_ref",IF(AND(B322="llm",I322&lt;&gt;""),"respaldo no aplica en modo LLM",IF(AND(E322="abstencion",I322&lt;&gt;""),"una abstención no se califica en citas",IF(AND(B322="rag",E322="hecho",I322=""),"falta respaldo","ok")))))</f>
        <v/>
      </c>
    </row>
    <row r="323" spans="1:14" x14ac:dyDescent="0.25">
      <c r="A323" s="7"/>
      <c r="B323" s="7"/>
      <c r="C323" s="6" t="str">
        <f>IF(A323="","",COUNTIFS($A$2:A323,A323,$B$2:B323,B323))</f>
        <v/>
      </c>
      <c r="D323" s="7"/>
      <c r="E323" s="7"/>
      <c r="F323" s="7"/>
      <c r="G323" s="7"/>
      <c r="H323" s="7"/>
      <c r="I323" s="7"/>
      <c r="J323" s="7"/>
      <c r="K323" s="7"/>
      <c r="L323" s="7"/>
      <c r="M323" s="6" t="str">
        <f t="shared" si="10"/>
        <v/>
      </c>
      <c r="N323" s="6" t="str">
        <f t="shared" si="11"/>
        <v/>
      </c>
    </row>
    <row r="324" spans="1:14" x14ac:dyDescent="0.25">
      <c r="A324" s="7"/>
      <c r="B324" s="7"/>
      <c r="C324" s="6" t="str">
        <f>IF(A324="","",COUNTIFS($A$2:A324,A324,$B$2:B324,B324))</f>
        <v/>
      </c>
      <c r="D324" s="7"/>
      <c r="E324" s="7"/>
      <c r="F324" s="7"/>
      <c r="G324" s="7"/>
      <c r="H324" s="7"/>
      <c r="I324" s="7"/>
      <c r="J324" s="7"/>
      <c r="K324" s="7"/>
      <c r="L324" s="7"/>
      <c r="M324" s="6" t="str">
        <f t="shared" si="10"/>
        <v/>
      </c>
      <c r="N324" s="6" t="str">
        <f t="shared" si="11"/>
        <v/>
      </c>
    </row>
    <row r="325" spans="1:14" x14ac:dyDescent="0.25">
      <c r="A325" s="7"/>
      <c r="B325" s="7"/>
      <c r="C325" s="6" t="str">
        <f>IF(A325="","",COUNTIFS($A$2:A325,A325,$B$2:B325,B325))</f>
        <v/>
      </c>
      <c r="D325" s="7"/>
      <c r="E325" s="7"/>
      <c r="F325" s="7"/>
      <c r="G325" s="7"/>
      <c r="H325" s="7"/>
      <c r="I325" s="7"/>
      <c r="J325" s="7"/>
      <c r="K325" s="7"/>
      <c r="L325" s="7"/>
      <c r="M325" s="6" t="str">
        <f t="shared" si="10"/>
        <v/>
      </c>
      <c r="N325" s="6" t="str">
        <f t="shared" si="11"/>
        <v/>
      </c>
    </row>
    <row r="326" spans="1:14" x14ac:dyDescent="0.25">
      <c r="A326" s="7"/>
      <c r="B326" s="7"/>
      <c r="C326" s="6" t="str">
        <f>IF(A326="","",COUNTIFS($A$2:A326,A326,$B$2:B326,B326))</f>
        <v/>
      </c>
      <c r="D326" s="7"/>
      <c r="E326" s="7"/>
      <c r="F326" s="7"/>
      <c r="G326" s="7"/>
      <c r="H326" s="7"/>
      <c r="I326" s="7"/>
      <c r="J326" s="7"/>
      <c r="K326" s="7"/>
      <c r="L326" s="7"/>
      <c r="M326" s="6" t="str">
        <f t="shared" si="10"/>
        <v/>
      </c>
      <c r="N326" s="6" t="str">
        <f t="shared" si="11"/>
        <v/>
      </c>
    </row>
    <row r="327" spans="1:14" x14ac:dyDescent="0.25">
      <c r="A327" s="7"/>
      <c r="B327" s="7"/>
      <c r="C327" s="6" t="str">
        <f>IF(A327="","",COUNTIFS($A$2:A327,A327,$B$2:B327,B327))</f>
        <v/>
      </c>
      <c r="D327" s="7"/>
      <c r="E327" s="7"/>
      <c r="F327" s="7"/>
      <c r="G327" s="7"/>
      <c r="H327" s="7"/>
      <c r="I327" s="7"/>
      <c r="J327" s="7"/>
      <c r="K327" s="7"/>
      <c r="L327" s="7"/>
      <c r="M327" s="6" t="str">
        <f t="shared" si="10"/>
        <v/>
      </c>
      <c r="N327" s="6" t="str">
        <f t="shared" si="11"/>
        <v/>
      </c>
    </row>
    <row r="328" spans="1:14" x14ac:dyDescent="0.25">
      <c r="A328" s="7"/>
      <c r="B328" s="7"/>
      <c r="C328" s="6" t="str">
        <f>IF(A328="","",COUNTIFS($A$2:A328,A328,$B$2:B328,B328))</f>
        <v/>
      </c>
      <c r="D328" s="7"/>
      <c r="E328" s="7"/>
      <c r="F328" s="7"/>
      <c r="G328" s="7"/>
      <c r="H328" s="7"/>
      <c r="I328" s="7"/>
      <c r="J328" s="7"/>
      <c r="K328" s="7"/>
      <c r="L328" s="7"/>
      <c r="M328" s="6" t="str">
        <f t="shared" si="10"/>
        <v/>
      </c>
      <c r="N328" s="6" t="str">
        <f t="shared" si="11"/>
        <v/>
      </c>
    </row>
    <row r="329" spans="1:14" x14ac:dyDescent="0.25">
      <c r="A329" s="7"/>
      <c r="B329" s="7"/>
      <c r="C329" s="6" t="str">
        <f>IF(A329="","",COUNTIFS($A$2:A329,A329,$B$2:B329,B329))</f>
        <v/>
      </c>
      <c r="D329" s="7"/>
      <c r="E329" s="7"/>
      <c r="F329" s="7"/>
      <c r="G329" s="7"/>
      <c r="H329" s="7"/>
      <c r="I329" s="7"/>
      <c r="J329" s="7"/>
      <c r="K329" s="7"/>
      <c r="L329" s="7"/>
      <c r="M329" s="6" t="str">
        <f t="shared" si="10"/>
        <v/>
      </c>
      <c r="N329" s="6" t="str">
        <f t="shared" si="11"/>
        <v/>
      </c>
    </row>
    <row r="330" spans="1:14" x14ac:dyDescent="0.25">
      <c r="A330" s="7"/>
      <c r="B330" s="7"/>
      <c r="C330" s="6" t="str">
        <f>IF(A330="","",COUNTIFS($A$2:A330,A330,$B$2:B330,B330))</f>
        <v/>
      </c>
      <c r="D330" s="7"/>
      <c r="E330" s="7"/>
      <c r="F330" s="7"/>
      <c r="G330" s="7"/>
      <c r="H330" s="7"/>
      <c r="I330" s="7"/>
      <c r="J330" s="7"/>
      <c r="K330" s="7"/>
      <c r="L330" s="7"/>
      <c r="M330" s="6" t="str">
        <f t="shared" si="10"/>
        <v/>
      </c>
      <c r="N330" s="6" t="str">
        <f t="shared" si="11"/>
        <v/>
      </c>
    </row>
    <row r="331" spans="1:14" x14ac:dyDescent="0.25">
      <c r="A331" s="7"/>
      <c r="B331" s="7"/>
      <c r="C331" s="6" t="str">
        <f>IF(A331="","",COUNTIFS($A$2:A331,A331,$B$2:B331,B331))</f>
        <v/>
      </c>
      <c r="D331" s="7"/>
      <c r="E331" s="7"/>
      <c r="F331" s="7"/>
      <c r="G331" s="7"/>
      <c r="H331" s="7"/>
      <c r="I331" s="7"/>
      <c r="J331" s="7"/>
      <c r="K331" s="7"/>
      <c r="L331" s="7"/>
      <c r="M331" s="6" t="str">
        <f t="shared" si="10"/>
        <v/>
      </c>
      <c r="N331" s="6" t="str">
        <f t="shared" si="11"/>
        <v/>
      </c>
    </row>
    <row r="332" spans="1:14" x14ac:dyDescent="0.25">
      <c r="A332" s="7"/>
      <c r="B332" s="7"/>
      <c r="C332" s="6" t="str">
        <f>IF(A332="","",COUNTIFS($A$2:A332,A332,$B$2:B332,B332))</f>
        <v/>
      </c>
      <c r="D332" s="7"/>
      <c r="E332" s="7"/>
      <c r="F332" s="7"/>
      <c r="G332" s="7"/>
      <c r="H332" s="7"/>
      <c r="I332" s="7"/>
      <c r="J332" s="7"/>
      <c r="K332" s="7"/>
      <c r="L332" s="7"/>
      <c r="M332" s="6" t="str">
        <f t="shared" si="10"/>
        <v/>
      </c>
      <c r="N332" s="6" t="str">
        <f t="shared" si="11"/>
        <v/>
      </c>
    </row>
    <row r="333" spans="1:14" x14ac:dyDescent="0.25">
      <c r="A333" s="7"/>
      <c r="B333" s="7"/>
      <c r="C333" s="6" t="str">
        <f>IF(A333="","",COUNTIFS($A$2:A333,A333,$B$2:B333,B333))</f>
        <v/>
      </c>
      <c r="D333" s="7"/>
      <c r="E333" s="7"/>
      <c r="F333" s="7"/>
      <c r="G333" s="7"/>
      <c r="H333" s="7"/>
      <c r="I333" s="7"/>
      <c r="J333" s="7"/>
      <c r="K333" s="7"/>
      <c r="L333" s="7"/>
      <c r="M333" s="6" t="str">
        <f t="shared" si="10"/>
        <v/>
      </c>
      <c r="N333" s="6" t="str">
        <f t="shared" si="11"/>
        <v/>
      </c>
    </row>
    <row r="334" spans="1:14" x14ac:dyDescent="0.25">
      <c r="A334" s="7"/>
      <c r="B334" s="7"/>
      <c r="C334" s="6" t="str">
        <f>IF(A334="","",COUNTIFS($A$2:A334,A334,$B$2:B334,B334))</f>
        <v/>
      </c>
      <c r="D334" s="7"/>
      <c r="E334" s="7"/>
      <c r="F334" s="7"/>
      <c r="G334" s="7"/>
      <c r="H334" s="7"/>
      <c r="I334" s="7"/>
      <c r="J334" s="7"/>
      <c r="K334" s="7"/>
      <c r="L334" s="7"/>
      <c r="M334" s="6" t="str">
        <f t="shared" si="10"/>
        <v/>
      </c>
      <c r="N334" s="6" t="str">
        <f t="shared" si="11"/>
        <v/>
      </c>
    </row>
    <row r="335" spans="1:14" x14ac:dyDescent="0.25">
      <c r="A335" s="7"/>
      <c r="B335" s="7"/>
      <c r="C335" s="6" t="str">
        <f>IF(A335="","",COUNTIFS($A$2:A335,A335,$B$2:B335,B335))</f>
        <v/>
      </c>
      <c r="D335" s="7"/>
      <c r="E335" s="7"/>
      <c r="F335" s="7"/>
      <c r="G335" s="7"/>
      <c r="H335" s="7"/>
      <c r="I335" s="7"/>
      <c r="J335" s="7"/>
      <c r="K335" s="7"/>
      <c r="L335" s="7"/>
      <c r="M335" s="6" t="str">
        <f t="shared" si="10"/>
        <v/>
      </c>
      <c r="N335" s="6" t="str">
        <f t="shared" si="11"/>
        <v/>
      </c>
    </row>
    <row r="336" spans="1:14" x14ac:dyDescent="0.25">
      <c r="A336" s="7"/>
      <c r="B336" s="7"/>
      <c r="C336" s="6" t="str">
        <f>IF(A336="","",COUNTIFS($A$2:A336,A336,$B$2:B336,B336))</f>
        <v/>
      </c>
      <c r="D336" s="7"/>
      <c r="E336" s="7"/>
      <c r="F336" s="7"/>
      <c r="G336" s="7"/>
      <c r="H336" s="7"/>
      <c r="I336" s="7"/>
      <c r="J336" s="7"/>
      <c r="K336" s="7"/>
      <c r="L336" s="7"/>
      <c r="M336" s="6" t="str">
        <f t="shared" si="10"/>
        <v/>
      </c>
      <c r="N336" s="6" t="str">
        <f t="shared" si="11"/>
        <v/>
      </c>
    </row>
    <row r="337" spans="1:14" x14ac:dyDescent="0.25">
      <c r="A337" s="7"/>
      <c r="B337" s="7"/>
      <c r="C337" s="6" t="str">
        <f>IF(A337="","",COUNTIFS($A$2:A337,A337,$B$2:B337,B337))</f>
        <v/>
      </c>
      <c r="D337" s="7"/>
      <c r="E337" s="7"/>
      <c r="F337" s="7"/>
      <c r="G337" s="7"/>
      <c r="H337" s="7"/>
      <c r="I337" s="7"/>
      <c r="J337" s="7"/>
      <c r="K337" s="7"/>
      <c r="L337" s="7"/>
      <c r="M337" s="6" t="str">
        <f t="shared" si="10"/>
        <v/>
      </c>
      <c r="N337" s="6" t="str">
        <f t="shared" si="11"/>
        <v/>
      </c>
    </row>
    <row r="338" spans="1:14" x14ac:dyDescent="0.25">
      <c r="A338" s="7"/>
      <c r="B338" s="7"/>
      <c r="C338" s="6" t="str">
        <f>IF(A338="","",COUNTIFS($A$2:A338,A338,$B$2:B338,B338))</f>
        <v/>
      </c>
      <c r="D338" s="7"/>
      <c r="E338" s="7"/>
      <c r="F338" s="7"/>
      <c r="G338" s="7"/>
      <c r="H338" s="7"/>
      <c r="I338" s="7"/>
      <c r="J338" s="7"/>
      <c r="K338" s="7"/>
      <c r="L338" s="7"/>
      <c r="M338" s="6" t="str">
        <f t="shared" si="10"/>
        <v/>
      </c>
      <c r="N338" s="6" t="str">
        <f t="shared" si="11"/>
        <v/>
      </c>
    </row>
    <row r="339" spans="1:14" x14ac:dyDescent="0.25">
      <c r="A339" s="7"/>
      <c r="B339" s="7"/>
      <c r="C339" s="6" t="str">
        <f>IF(A339="","",COUNTIFS($A$2:A339,A339,$B$2:B339,B339))</f>
        <v/>
      </c>
      <c r="D339" s="7"/>
      <c r="E339" s="7"/>
      <c r="F339" s="7"/>
      <c r="G339" s="7"/>
      <c r="H339" s="7"/>
      <c r="I339" s="7"/>
      <c r="J339" s="7"/>
      <c r="K339" s="7"/>
      <c r="L339" s="7"/>
      <c r="M339" s="6" t="str">
        <f t="shared" si="10"/>
        <v/>
      </c>
      <c r="N339" s="6" t="str">
        <f t="shared" si="11"/>
        <v/>
      </c>
    </row>
    <row r="340" spans="1:14" x14ac:dyDescent="0.25">
      <c r="A340" s="7"/>
      <c r="B340" s="7"/>
      <c r="C340" s="6" t="str">
        <f>IF(A340="","",COUNTIFS($A$2:A340,A340,$B$2:B340,B340))</f>
        <v/>
      </c>
      <c r="D340" s="7"/>
      <c r="E340" s="7"/>
      <c r="F340" s="7"/>
      <c r="G340" s="7"/>
      <c r="H340" s="7"/>
      <c r="I340" s="7"/>
      <c r="J340" s="7"/>
      <c r="K340" s="7"/>
      <c r="L340" s="7"/>
      <c r="M340" s="6" t="str">
        <f t="shared" si="10"/>
        <v/>
      </c>
      <c r="N340" s="6" t="str">
        <f t="shared" si="11"/>
        <v/>
      </c>
    </row>
    <row r="341" spans="1:14" x14ac:dyDescent="0.25">
      <c r="A341" s="7"/>
      <c r="B341" s="7"/>
      <c r="C341" s="6" t="str">
        <f>IF(A341="","",COUNTIFS($A$2:A341,A341,$B$2:B341,B341))</f>
        <v/>
      </c>
      <c r="D341" s="7"/>
      <c r="E341" s="7"/>
      <c r="F341" s="7"/>
      <c r="G341" s="7"/>
      <c r="H341" s="7"/>
      <c r="I341" s="7"/>
      <c r="J341" s="7"/>
      <c r="K341" s="7"/>
      <c r="L341" s="7"/>
      <c r="M341" s="6" t="str">
        <f t="shared" si="10"/>
        <v/>
      </c>
      <c r="N341" s="6" t="str">
        <f t="shared" si="11"/>
        <v/>
      </c>
    </row>
    <row r="342" spans="1:14" x14ac:dyDescent="0.25">
      <c r="A342" s="7"/>
      <c r="B342" s="7"/>
      <c r="C342" s="6" t="str">
        <f>IF(A342="","",COUNTIFS($A$2:A342,A342,$B$2:B342,B342))</f>
        <v/>
      </c>
      <c r="D342" s="7"/>
      <c r="E342" s="7"/>
      <c r="F342" s="7"/>
      <c r="G342" s="7"/>
      <c r="H342" s="7"/>
      <c r="I342" s="7"/>
      <c r="J342" s="7"/>
      <c r="K342" s="7"/>
      <c r="L342" s="7"/>
      <c r="M342" s="6" t="str">
        <f t="shared" si="10"/>
        <v/>
      </c>
      <c r="N342" s="6" t="str">
        <f t="shared" si="11"/>
        <v/>
      </c>
    </row>
    <row r="343" spans="1:14" x14ac:dyDescent="0.25">
      <c r="A343" s="7"/>
      <c r="B343" s="7"/>
      <c r="C343" s="6" t="str">
        <f>IF(A343="","",COUNTIFS($A$2:A343,A343,$B$2:B343,B343))</f>
        <v/>
      </c>
      <c r="D343" s="7"/>
      <c r="E343" s="7"/>
      <c r="F343" s="7"/>
      <c r="G343" s="7"/>
      <c r="H343" s="7"/>
      <c r="I343" s="7"/>
      <c r="J343" s="7"/>
      <c r="K343" s="7"/>
      <c r="L343" s="7"/>
      <c r="M343" s="6" t="str">
        <f t="shared" si="10"/>
        <v/>
      </c>
      <c r="N343" s="6" t="str">
        <f t="shared" si="11"/>
        <v/>
      </c>
    </row>
    <row r="344" spans="1:14" x14ac:dyDescent="0.25">
      <c r="A344" s="7"/>
      <c r="B344" s="7"/>
      <c r="C344" s="6" t="str">
        <f>IF(A344="","",COUNTIFS($A$2:A344,A344,$B$2:B344,B344))</f>
        <v/>
      </c>
      <c r="D344" s="7"/>
      <c r="E344" s="7"/>
      <c r="F344" s="7"/>
      <c r="G344" s="7"/>
      <c r="H344" s="7"/>
      <c r="I344" s="7"/>
      <c r="J344" s="7"/>
      <c r="K344" s="7"/>
      <c r="L344" s="7"/>
      <c r="M344" s="6" t="str">
        <f t="shared" si="10"/>
        <v/>
      </c>
      <c r="N344" s="6" t="str">
        <f t="shared" si="11"/>
        <v/>
      </c>
    </row>
    <row r="345" spans="1:14" x14ac:dyDescent="0.25">
      <c r="A345" s="7"/>
      <c r="B345" s="7"/>
      <c r="C345" s="6" t="str">
        <f>IF(A345="","",COUNTIFS($A$2:A345,A345,$B$2:B345,B345))</f>
        <v/>
      </c>
      <c r="D345" s="7"/>
      <c r="E345" s="7"/>
      <c r="F345" s="7"/>
      <c r="G345" s="7"/>
      <c r="H345" s="7"/>
      <c r="I345" s="7"/>
      <c r="J345" s="7"/>
      <c r="K345" s="7"/>
      <c r="L345" s="7"/>
      <c r="M345" s="6" t="str">
        <f t="shared" si="10"/>
        <v/>
      </c>
      <c r="N345" s="6" t="str">
        <f t="shared" si="11"/>
        <v/>
      </c>
    </row>
    <row r="346" spans="1:14" x14ac:dyDescent="0.25">
      <c r="A346" s="7"/>
      <c r="B346" s="7"/>
      <c r="C346" s="6" t="str">
        <f>IF(A346="","",COUNTIFS($A$2:A346,A346,$B$2:B346,B346))</f>
        <v/>
      </c>
      <c r="D346" s="7"/>
      <c r="E346" s="7"/>
      <c r="F346" s="7"/>
      <c r="G346" s="7"/>
      <c r="H346" s="7"/>
      <c r="I346" s="7"/>
      <c r="J346" s="7"/>
      <c r="K346" s="7"/>
      <c r="L346" s="7"/>
      <c r="M346" s="6" t="str">
        <f t="shared" si="10"/>
        <v/>
      </c>
      <c r="N346" s="6" t="str">
        <f t="shared" si="11"/>
        <v/>
      </c>
    </row>
    <row r="347" spans="1:14" x14ac:dyDescent="0.25">
      <c r="A347" s="7"/>
      <c r="B347" s="7"/>
      <c r="C347" s="6" t="str">
        <f>IF(A347="","",COUNTIFS($A$2:A347,A347,$B$2:B347,B347))</f>
        <v/>
      </c>
      <c r="D347" s="7"/>
      <c r="E347" s="7"/>
      <c r="F347" s="7"/>
      <c r="G347" s="7"/>
      <c r="H347" s="7"/>
      <c r="I347" s="7"/>
      <c r="J347" s="7"/>
      <c r="K347" s="7"/>
      <c r="L347" s="7"/>
      <c r="M347" s="6" t="str">
        <f t="shared" si="10"/>
        <v/>
      </c>
      <c r="N347" s="6" t="str">
        <f t="shared" si="11"/>
        <v/>
      </c>
    </row>
    <row r="348" spans="1:14" x14ac:dyDescent="0.25">
      <c r="A348" s="7"/>
      <c r="B348" s="7"/>
      <c r="C348" s="6" t="str">
        <f>IF(A348="","",COUNTIFS($A$2:A348,A348,$B$2:B348,B348))</f>
        <v/>
      </c>
      <c r="D348" s="7"/>
      <c r="E348" s="7"/>
      <c r="F348" s="7"/>
      <c r="G348" s="7"/>
      <c r="H348" s="7"/>
      <c r="I348" s="7"/>
      <c r="J348" s="7"/>
      <c r="K348" s="7"/>
      <c r="L348" s="7"/>
      <c r="M348" s="6" t="str">
        <f t="shared" si="10"/>
        <v/>
      </c>
      <c r="N348" s="6" t="str">
        <f t="shared" si="11"/>
        <v/>
      </c>
    </row>
    <row r="349" spans="1:14" x14ac:dyDescent="0.25">
      <c r="A349" s="7"/>
      <c r="B349" s="7"/>
      <c r="C349" s="6" t="str">
        <f>IF(A349="","",COUNTIFS($A$2:A349,A349,$B$2:B349,B349))</f>
        <v/>
      </c>
      <c r="D349" s="7"/>
      <c r="E349" s="7"/>
      <c r="F349" s="7"/>
      <c r="G349" s="7"/>
      <c r="H349" s="7"/>
      <c r="I349" s="7"/>
      <c r="J349" s="7"/>
      <c r="K349" s="7"/>
      <c r="L349" s="7"/>
      <c r="M349" s="6" t="str">
        <f t="shared" si="10"/>
        <v/>
      </c>
      <c r="N349" s="6" t="str">
        <f t="shared" si="11"/>
        <v/>
      </c>
    </row>
    <row r="350" spans="1:14" x14ac:dyDescent="0.25">
      <c r="A350" s="7"/>
      <c r="B350" s="7"/>
      <c r="C350" s="6" t="str">
        <f>IF(A350="","",COUNTIFS($A$2:A350,A350,$B$2:B350,B350))</f>
        <v/>
      </c>
      <c r="D350" s="7"/>
      <c r="E350" s="7"/>
      <c r="F350" s="7"/>
      <c r="G350" s="7"/>
      <c r="H350" s="7"/>
      <c r="I350" s="7"/>
      <c r="J350" s="7"/>
      <c r="K350" s="7"/>
      <c r="L350" s="7"/>
      <c r="M350" s="6" t="str">
        <f t="shared" si="10"/>
        <v/>
      </c>
      <c r="N350" s="6" t="str">
        <f t="shared" si="11"/>
        <v/>
      </c>
    </row>
    <row r="351" spans="1:14" x14ac:dyDescent="0.25">
      <c r="A351" s="7"/>
      <c r="B351" s="7"/>
      <c r="C351" s="6" t="str">
        <f>IF(A351="","",COUNTIFS($A$2:A351,A351,$B$2:B351,B351))</f>
        <v/>
      </c>
      <c r="D351" s="7"/>
      <c r="E351" s="7"/>
      <c r="F351" s="7"/>
      <c r="G351" s="7"/>
      <c r="H351" s="7"/>
      <c r="I351" s="7"/>
      <c r="J351" s="7"/>
      <c r="K351" s="7"/>
      <c r="L351" s="7"/>
      <c r="M351" s="6" t="str">
        <f t="shared" si="10"/>
        <v/>
      </c>
      <c r="N351" s="6" t="str">
        <f t="shared" si="11"/>
        <v/>
      </c>
    </row>
    <row r="352" spans="1:14" x14ac:dyDescent="0.25">
      <c r="A352" s="7"/>
      <c r="B352" s="7"/>
      <c r="C352" s="6" t="str">
        <f>IF(A352="","",COUNTIFS($A$2:A352,A352,$B$2:B352,B352))</f>
        <v/>
      </c>
      <c r="D352" s="7"/>
      <c r="E352" s="7"/>
      <c r="F352" s="7"/>
      <c r="G352" s="7"/>
      <c r="H352" s="7"/>
      <c r="I352" s="7"/>
      <c r="J352" s="7"/>
      <c r="K352" s="7"/>
      <c r="L352" s="7"/>
      <c r="M352" s="6" t="str">
        <f t="shared" si="10"/>
        <v/>
      </c>
      <c r="N352" s="6" t="str">
        <f t="shared" si="11"/>
        <v/>
      </c>
    </row>
    <row r="353" spans="1:14" x14ac:dyDescent="0.25">
      <c r="A353" s="7"/>
      <c r="B353" s="7"/>
      <c r="C353" s="6" t="str">
        <f>IF(A353="","",COUNTIFS($A$2:A353,A353,$B$2:B353,B353))</f>
        <v/>
      </c>
      <c r="D353" s="7"/>
      <c r="E353" s="7"/>
      <c r="F353" s="7"/>
      <c r="G353" s="7"/>
      <c r="H353" s="7"/>
      <c r="I353" s="7"/>
      <c r="J353" s="7"/>
      <c r="K353" s="7"/>
      <c r="L353" s="7"/>
      <c r="M353" s="6" t="str">
        <f t="shared" si="10"/>
        <v/>
      </c>
      <c r="N353" s="6" t="str">
        <f t="shared" si="11"/>
        <v/>
      </c>
    </row>
    <row r="354" spans="1:14" x14ac:dyDescent="0.25">
      <c r="A354" s="7"/>
      <c r="B354" s="7"/>
      <c r="C354" s="6" t="str">
        <f>IF(A354="","",COUNTIFS($A$2:A354,A354,$B$2:B354,B354))</f>
        <v/>
      </c>
      <c r="D354" s="7"/>
      <c r="E354" s="7"/>
      <c r="F354" s="7"/>
      <c r="G354" s="7"/>
      <c r="H354" s="7"/>
      <c r="I354" s="7"/>
      <c r="J354" s="7"/>
      <c r="K354" s="7"/>
      <c r="L354" s="7"/>
      <c r="M354" s="6" t="str">
        <f t="shared" si="10"/>
        <v/>
      </c>
      <c r="N354" s="6" t="str">
        <f t="shared" si="11"/>
        <v/>
      </c>
    </row>
    <row r="355" spans="1:14" x14ac:dyDescent="0.25">
      <c r="A355" s="7"/>
      <c r="B355" s="7"/>
      <c r="C355" s="6" t="str">
        <f>IF(A355="","",COUNTIFS($A$2:A355,A355,$B$2:B355,B355))</f>
        <v/>
      </c>
      <c r="D355" s="7"/>
      <c r="E355" s="7"/>
      <c r="F355" s="7"/>
      <c r="G355" s="7"/>
      <c r="H355" s="7"/>
      <c r="I355" s="7"/>
      <c r="J355" s="7"/>
      <c r="K355" s="7"/>
      <c r="L355" s="7"/>
      <c r="M355" s="6" t="str">
        <f t="shared" si="10"/>
        <v/>
      </c>
      <c r="N355" s="6" t="str">
        <f t="shared" si="11"/>
        <v/>
      </c>
    </row>
    <row r="356" spans="1:14" x14ac:dyDescent="0.25">
      <c r="A356" s="7"/>
      <c r="B356" s="7"/>
      <c r="C356" s="6" t="str">
        <f>IF(A356="","",COUNTIFS($A$2:A356,A356,$B$2:B356,B356))</f>
        <v/>
      </c>
      <c r="D356" s="7"/>
      <c r="E356" s="7"/>
      <c r="F356" s="7"/>
      <c r="G356" s="7"/>
      <c r="H356" s="7"/>
      <c r="I356" s="7"/>
      <c r="J356" s="7"/>
      <c r="K356" s="7"/>
      <c r="L356" s="7"/>
      <c r="M356" s="6" t="str">
        <f t="shared" si="10"/>
        <v/>
      </c>
      <c r="N356" s="6" t="str">
        <f t="shared" si="11"/>
        <v/>
      </c>
    </row>
    <row r="357" spans="1:14" x14ac:dyDescent="0.25">
      <c r="A357" s="7"/>
      <c r="B357" s="7"/>
      <c r="C357" s="6" t="str">
        <f>IF(A357="","",COUNTIFS($A$2:A357,A357,$B$2:B357,B357))</f>
        <v/>
      </c>
      <c r="D357" s="7"/>
      <c r="E357" s="7"/>
      <c r="F357" s="7"/>
      <c r="G357" s="7"/>
      <c r="H357" s="7"/>
      <c r="I357" s="7"/>
      <c r="J357" s="7"/>
      <c r="K357" s="7"/>
      <c r="L357" s="7"/>
      <c r="M357" s="6" t="str">
        <f t="shared" si="10"/>
        <v/>
      </c>
      <c r="N357" s="6" t="str">
        <f t="shared" si="11"/>
        <v/>
      </c>
    </row>
    <row r="358" spans="1:14" x14ac:dyDescent="0.25">
      <c r="A358" s="7"/>
      <c r="B358" s="7"/>
      <c r="C358" s="6" t="str">
        <f>IF(A358="","",COUNTIFS($A$2:A358,A358,$B$2:B358,B358))</f>
        <v/>
      </c>
      <c r="D358" s="7"/>
      <c r="E358" s="7"/>
      <c r="F358" s="7"/>
      <c r="G358" s="7"/>
      <c r="H358" s="7"/>
      <c r="I358" s="7"/>
      <c r="J358" s="7"/>
      <c r="K358" s="7"/>
      <c r="L358" s="7"/>
      <c r="M358" s="6" t="str">
        <f t="shared" si="10"/>
        <v/>
      </c>
      <c r="N358" s="6" t="str">
        <f t="shared" si="11"/>
        <v/>
      </c>
    </row>
    <row r="359" spans="1:14" x14ac:dyDescent="0.25">
      <c r="A359" s="7"/>
      <c r="B359" s="7"/>
      <c r="C359" s="6" t="str">
        <f>IF(A359="","",COUNTIFS($A$2:A359,A359,$B$2:B359,B359))</f>
        <v/>
      </c>
      <c r="D359" s="7"/>
      <c r="E359" s="7"/>
      <c r="F359" s="7"/>
      <c r="G359" s="7"/>
      <c r="H359" s="7"/>
      <c r="I359" s="7"/>
      <c r="J359" s="7"/>
      <c r="K359" s="7"/>
      <c r="L359" s="7"/>
      <c r="M359" s="6" t="str">
        <f t="shared" si="10"/>
        <v/>
      </c>
      <c r="N359" s="6" t="str">
        <f t="shared" si="11"/>
        <v/>
      </c>
    </row>
    <row r="360" spans="1:14" x14ac:dyDescent="0.25">
      <c r="A360" s="7"/>
      <c r="B360" s="7"/>
      <c r="C360" s="6" t="str">
        <f>IF(A360="","",COUNTIFS($A$2:A360,A360,$B$2:B360,B360))</f>
        <v/>
      </c>
      <c r="D360" s="7"/>
      <c r="E360" s="7"/>
      <c r="F360" s="7"/>
      <c r="G360" s="7"/>
      <c r="H360" s="7"/>
      <c r="I360" s="7"/>
      <c r="J360" s="7"/>
      <c r="K360" s="7"/>
      <c r="L360" s="7"/>
      <c r="M360" s="6" t="str">
        <f t="shared" si="10"/>
        <v/>
      </c>
      <c r="N360" s="6" t="str">
        <f t="shared" si="11"/>
        <v/>
      </c>
    </row>
    <row r="361" spans="1:14" x14ac:dyDescent="0.25">
      <c r="A361" s="7"/>
      <c r="B361" s="7"/>
      <c r="C361" s="6" t="str">
        <f>IF(A361="","",COUNTIFS($A$2:A361,A361,$B$2:B361,B361))</f>
        <v/>
      </c>
      <c r="D361" s="7"/>
      <c r="E361" s="7"/>
      <c r="F361" s="7"/>
      <c r="G361" s="7"/>
      <c r="H361" s="7"/>
      <c r="I361" s="7"/>
      <c r="J361" s="7"/>
      <c r="K361" s="7"/>
      <c r="L361" s="7"/>
      <c r="M361" s="6" t="str">
        <f t="shared" si="10"/>
        <v/>
      </c>
      <c r="N361" s="6" t="str">
        <f t="shared" si="11"/>
        <v/>
      </c>
    </row>
    <row r="362" spans="1:14" x14ac:dyDescent="0.25">
      <c r="A362" s="7"/>
      <c r="B362" s="7"/>
      <c r="C362" s="6" t="str">
        <f>IF(A362="","",COUNTIFS($A$2:A362,A362,$B$2:B362,B362))</f>
        <v/>
      </c>
      <c r="D362" s="7"/>
      <c r="E362" s="7"/>
      <c r="F362" s="7"/>
      <c r="G362" s="7"/>
      <c r="H362" s="7"/>
      <c r="I362" s="7"/>
      <c r="J362" s="7"/>
      <c r="K362" s="7"/>
      <c r="L362" s="7"/>
      <c r="M362" s="6" t="str">
        <f t="shared" si="10"/>
        <v/>
      </c>
      <c r="N362" s="6" t="str">
        <f t="shared" si="11"/>
        <v/>
      </c>
    </row>
    <row r="363" spans="1:14" x14ac:dyDescent="0.25">
      <c r="A363" s="7"/>
      <c r="B363" s="7"/>
      <c r="C363" s="6" t="str">
        <f>IF(A363="","",COUNTIFS($A$2:A363,A363,$B$2:B363,B363))</f>
        <v/>
      </c>
      <c r="D363" s="7"/>
      <c r="E363" s="7"/>
      <c r="F363" s="7"/>
      <c r="G363" s="7"/>
      <c r="H363" s="7"/>
      <c r="I363" s="7"/>
      <c r="J363" s="7"/>
      <c r="K363" s="7"/>
      <c r="L363" s="7"/>
      <c r="M363" s="6" t="str">
        <f t="shared" si="10"/>
        <v/>
      </c>
      <c r="N363" s="6" t="str">
        <f t="shared" si="11"/>
        <v/>
      </c>
    </row>
    <row r="364" spans="1:14" x14ac:dyDescent="0.25">
      <c r="A364" s="7"/>
      <c r="B364" s="7"/>
      <c r="C364" s="6" t="str">
        <f>IF(A364="","",COUNTIFS($A$2:A364,A364,$B$2:B364,B364))</f>
        <v/>
      </c>
      <c r="D364" s="7"/>
      <c r="E364" s="7"/>
      <c r="F364" s="7"/>
      <c r="G364" s="7"/>
      <c r="H364" s="7"/>
      <c r="I364" s="7"/>
      <c r="J364" s="7"/>
      <c r="K364" s="7"/>
      <c r="L364" s="7"/>
      <c r="M364" s="6" t="str">
        <f t="shared" si="10"/>
        <v/>
      </c>
      <c r="N364" s="6" t="str">
        <f t="shared" si="11"/>
        <v/>
      </c>
    </row>
    <row r="365" spans="1:14" x14ac:dyDescent="0.25">
      <c r="A365" s="7"/>
      <c r="B365" s="7"/>
      <c r="C365" s="6" t="str">
        <f>IF(A365="","",COUNTIFS($A$2:A365,A365,$B$2:B365,B365))</f>
        <v/>
      </c>
      <c r="D365" s="7"/>
      <c r="E365" s="7"/>
      <c r="F365" s="7"/>
      <c r="G365" s="7"/>
      <c r="H365" s="7"/>
      <c r="I365" s="7"/>
      <c r="J365" s="7"/>
      <c r="K365" s="7"/>
      <c r="L365" s="7"/>
      <c r="M365" s="6" t="str">
        <f t="shared" si="10"/>
        <v/>
      </c>
      <c r="N365" s="6" t="str">
        <f t="shared" si="11"/>
        <v/>
      </c>
    </row>
    <row r="366" spans="1:14" x14ac:dyDescent="0.25">
      <c r="A366" s="7"/>
      <c r="B366" s="7"/>
      <c r="C366" s="6" t="str">
        <f>IF(A366="","",COUNTIFS($A$2:A366,A366,$B$2:B366,B366))</f>
        <v/>
      </c>
      <c r="D366" s="7"/>
      <c r="E366" s="7"/>
      <c r="F366" s="7"/>
      <c r="G366" s="7"/>
      <c r="H366" s="7"/>
      <c r="I366" s="7"/>
      <c r="J366" s="7"/>
      <c r="K366" s="7"/>
      <c r="L366" s="7"/>
      <c r="M366" s="6" t="str">
        <f t="shared" si="10"/>
        <v/>
      </c>
      <c r="N366" s="6" t="str">
        <f t="shared" si="11"/>
        <v/>
      </c>
    </row>
    <row r="367" spans="1:14" x14ac:dyDescent="0.25">
      <c r="A367" s="7"/>
      <c r="B367" s="7"/>
      <c r="C367" s="6" t="str">
        <f>IF(A367="","",COUNTIFS($A$2:A367,A367,$B$2:B367,B367))</f>
        <v/>
      </c>
      <c r="D367" s="7"/>
      <c r="E367" s="7"/>
      <c r="F367" s="7"/>
      <c r="G367" s="7"/>
      <c r="H367" s="7"/>
      <c r="I367" s="7"/>
      <c r="J367" s="7"/>
      <c r="K367" s="7"/>
      <c r="L367" s="7"/>
      <c r="M367" s="6" t="str">
        <f t="shared" si="10"/>
        <v/>
      </c>
      <c r="N367" s="6" t="str">
        <f t="shared" si="11"/>
        <v/>
      </c>
    </row>
    <row r="368" spans="1:14" x14ac:dyDescent="0.25">
      <c r="A368" s="7"/>
      <c r="B368" s="7"/>
      <c r="C368" s="6" t="str">
        <f>IF(A368="","",COUNTIFS($A$2:A368,A368,$B$2:B368,B368))</f>
        <v/>
      </c>
      <c r="D368" s="7"/>
      <c r="E368" s="7"/>
      <c r="F368" s="7"/>
      <c r="G368" s="7"/>
      <c r="H368" s="7"/>
      <c r="I368" s="7"/>
      <c r="J368" s="7"/>
      <c r="K368" s="7"/>
      <c r="L368" s="7"/>
      <c r="M368" s="6" t="str">
        <f t="shared" si="10"/>
        <v/>
      </c>
      <c r="N368" s="6" t="str">
        <f t="shared" si="11"/>
        <v/>
      </c>
    </row>
    <row r="369" spans="1:14" x14ac:dyDescent="0.25">
      <c r="A369" s="7"/>
      <c r="B369" s="7"/>
      <c r="C369" s="6" t="str">
        <f>IF(A369="","",COUNTIFS($A$2:A369,A369,$B$2:B369,B369))</f>
        <v/>
      </c>
      <c r="D369" s="7"/>
      <c r="E369" s="7"/>
      <c r="F369" s="7"/>
      <c r="G369" s="7"/>
      <c r="H369" s="7"/>
      <c r="I369" s="7"/>
      <c r="J369" s="7"/>
      <c r="K369" s="7"/>
      <c r="L369" s="7"/>
      <c r="M369" s="6" t="str">
        <f t="shared" si="10"/>
        <v/>
      </c>
      <c r="N369" s="6" t="str">
        <f t="shared" si="11"/>
        <v/>
      </c>
    </row>
    <row r="370" spans="1:14" x14ac:dyDescent="0.25">
      <c r="A370" s="7"/>
      <c r="B370" s="7"/>
      <c r="C370" s="6" t="str">
        <f>IF(A370="","",COUNTIFS($A$2:A370,A370,$B$2:B370,B370))</f>
        <v/>
      </c>
      <c r="D370" s="7"/>
      <c r="E370" s="7"/>
      <c r="F370" s="7"/>
      <c r="G370" s="7"/>
      <c r="H370" s="7"/>
      <c r="I370" s="7"/>
      <c r="J370" s="7"/>
      <c r="K370" s="7"/>
      <c r="L370" s="7"/>
      <c r="M370" s="6" t="str">
        <f t="shared" si="10"/>
        <v/>
      </c>
      <c r="N370" s="6" t="str">
        <f t="shared" si="11"/>
        <v/>
      </c>
    </row>
    <row r="371" spans="1:14" x14ac:dyDescent="0.25">
      <c r="A371" s="7"/>
      <c r="B371" s="7"/>
      <c r="C371" s="6" t="str">
        <f>IF(A371="","",COUNTIFS($A$2:A371,A371,$B$2:B371,B371))</f>
        <v/>
      </c>
      <c r="D371" s="7"/>
      <c r="E371" s="7"/>
      <c r="F371" s="7"/>
      <c r="G371" s="7"/>
      <c r="H371" s="7"/>
      <c r="I371" s="7"/>
      <c r="J371" s="7"/>
      <c r="K371" s="7"/>
      <c r="L371" s="7"/>
      <c r="M371" s="6" t="str">
        <f t="shared" si="10"/>
        <v/>
      </c>
      <c r="N371" s="6" t="str">
        <f t="shared" si="11"/>
        <v/>
      </c>
    </row>
    <row r="372" spans="1:14" x14ac:dyDescent="0.25">
      <c r="A372" s="7"/>
      <c r="B372" s="7"/>
      <c r="C372" s="6" t="str">
        <f>IF(A372="","",COUNTIFS($A$2:A372,A372,$B$2:B372,B372))</f>
        <v/>
      </c>
      <c r="D372" s="7"/>
      <c r="E372" s="7"/>
      <c r="F372" s="7"/>
      <c r="G372" s="7"/>
      <c r="H372" s="7"/>
      <c r="I372" s="7"/>
      <c r="J372" s="7"/>
      <c r="K372" s="7"/>
      <c r="L372" s="7"/>
      <c r="M372" s="6" t="str">
        <f t="shared" si="10"/>
        <v/>
      </c>
      <c r="N372" s="6" t="str">
        <f t="shared" si="11"/>
        <v/>
      </c>
    </row>
    <row r="373" spans="1:14" x14ac:dyDescent="0.25">
      <c r="A373" s="7"/>
      <c r="B373" s="7"/>
      <c r="C373" s="6" t="str">
        <f>IF(A373="","",COUNTIFS($A$2:A373,A373,$B$2:B373,B373))</f>
        <v/>
      </c>
      <c r="D373" s="7"/>
      <c r="E373" s="7"/>
      <c r="F373" s="7"/>
      <c r="G373" s="7"/>
      <c r="H373" s="7"/>
      <c r="I373" s="7"/>
      <c r="J373" s="7"/>
      <c r="K373" s="7"/>
      <c r="L373" s="7"/>
      <c r="M373" s="6" t="str">
        <f t="shared" si="10"/>
        <v/>
      </c>
      <c r="N373" s="6" t="str">
        <f t="shared" si="11"/>
        <v/>
      </c>
    </row>
    <row r="374" spans="1:14" x14ac:dyDescent="0.25">
      <c r="A374" s="7"/>
      <c r="B374" s="7"/>
      <c r="C374" s="6" t="str">
        <f>IF(A374="","",COUNTIFS($A$2:A374,A374,$B$2:B374,B374))</f>
        <v/>
      </c>
      <c r="D374" s="7"/>
      <c r="E374" s="7"/>
      <c r="F374" s="7"/>
      <c r="G374" s="7"/>
      <c r="H374" s="7"/>
      <c r="I374" s="7"/>
      <c r="J374" s="7"/>
      <c r="K374" s="7"/>
      <c r="L374" s="7"/>
      <c r="M374" s="6" t="str">
        <f t="shared" si="10"/>
        <v/>
      </c>
      <c r="N374" s="6" t="str">
        <f t="shared" si="11"/>
        <v/>
      </c>
    </row>
    <row r="375" spans="1:14" x14ac:dyDescent="0.25">
      <c r="A375" s="7"/>
      <c r="B375" s="7"/>
      <c r="C375" s="6" t="str">
        <f>IF(A375="","",COUNTIFS($A$2:A375,A375,$B$2:B375,B375))</f>
        <v/>
      </c>
      <c r="D375" s="7"/>
      <c r="E375" s="7"/>
      <c r="F375" s="7"/>
      <c r="G375" s="7"/>
      <c r="H375" s="7"/>
      <c r="I375" s="7"/>
      <c r="J375" s="7"/>
      <c r="K375" s="7"/>
      <c r="L375" s="7"/>
      <c r="M375" s="6" t="str">
        <f t="shared" si="10"/>
        <v/>
      </c>
      <c r="N375" s="6" t="str">
        <f t="shared" si="11"/>
        <v/>
      </c>
    </row>
    <row r="376" spans="1:14" x14ac:dyDescent="0.25">
      <c r="A376" s="7"/>
      <c r="B376" s="7"/>
      <c r="C376" s="6" t="str">
        <f>IF(A376="","",COUNTIFS($A$2:A376,A376,$B$2:B376,B376))</f>
        <v/>
      </c>
      <c r="D376" s="7"/>
      <c r="E376" s="7"/>
      <c r="F376" s="7"/>
      <c r="G376" s="7"/>
      <c r="H376" s="7"/>
      <c r="I376" s="7"/>
      <c r="J376" s="7"/>
      <c r="K376" s="7"/>
      <c r="L376" s="7"/>
      <c r="M376" s="6" t="str">
        <f t="shared" si="10"/>
        <v/>
      </c>
      <c r="N376" s="6" t="str">
        <f t="shared" si="11"/>
        <v/>
      </c>
    </row>
    <row r="377" spans="1:14" x14ac:dyDescent="0.25">
      <c r="A377" s="7"/>
      <c r="B377" s="7"/>
      <c r="C377" s="6" t="str">
        <f>IF(A377="","",COUNTIFS($A$2:A377,A377,$B$2:B377,B377))</f>
        <v/>
      </c>
      <c r="D377" s="7"/>
      <c r="E377" s="7"/>
      <c r="F377" s="7"/>
      <c r="G377" s="7"/>
      <c r="H377" s="7"/>
      <c r="I377" s="7"/>
      <c r="J377" s="7"/>
      <c r="K377" s="7"/>
      <c r="L377" s="7"/>
      <c r="M377" s="6" t="str">
        <f t="shared" si="10"/>
        <v/>
      </c>
      <c r="N377" s="6" t="str">
        <f t="shared" si="11"/>
        <v/>
      </c>
    </row>
    <row r="378" spans="1:14" x14ac:dyDescent="0.25">
      <c r="A378" s="7"/>
      <c r="B378" s="7"/>
      <c r="C378" s="6" t="str">
        <f>IF(A378="","",COUNTIFS($A$2:A378,A378,$B$2:B378,B378))</f>
        <v/>
      </c>
      <c r="D378" s="7"/>
      <c r="E378" s="7"/>
      <c r="F378" s="7"/>
      <c r="G378" s="7"/>
      <c r="H378" s="7"/>
      <c r="I378" s="7"/>
      <c r="J378" s="7"/>
      <c r="K378" s="7"/>
      <c r="L378" s="7"/>
      <c r="M378" s="6" t="str">
        <f t="shared" si="10"/>
        <v/>
      </c>
      <c r="N378" s="6" t="str">
        <f t="shared" si="11"/>
        <v/>
      </c>
    </row>
    <row r="379" spans="1:14" x14ac:dyDescent="0.25">
      <c r="A379" s="7"/>
      <c r="B379" s="7"/>
      <c r="C379" s="6" t="str">
        <f>IF(A379="","",COUNTIFS($A$2:A379,A379,$B$2:B379,B379))</f>
        <v/>
      </c>
      <c r="D379" s="7"/>
      <c r="E379" s="7"/>
      <c r="F379" s="7"/>
      <c r="G379" s="7"/>
      <c r="H379" s="7"/>
      <c r="I379" s="7"/>
      <c r="J379" s="7"/>
      <c r="K379" s="7"/>
      <c r="L379" s="7"/>
      <c r="M379" s="6" t="str">
        <f t="shared" si="10"/>
        <v/>
      </c>
      <c r="N379" s="6" t="str">
        <f t="shared" si="11"/>
        <v/>
      </c>
    </row>
    <row r="380" spans="1:14" x14ac:dyDescent="0.25">
      <c r="A380" s="7"/>
      <c r="B380" s="7"/>
      <c r="C380" s="6" t="str">
        <f>IF(A380="","",COUNTIFS($A$2:A380,A380,$B$2:B380,B380))</f>
        <v/>
      </c>
      <c r="D380" s="7"/>
      <c r="E380" s="7"/>
      <c r="F380" s="7"/>
      <c r="G380" s="7"/>
      <c r="H380" s="7"/>
      <c r="I380" s="7"/>
      <c r="J380" s="7"/>
      <c r="K380" s="7"/>
      <c r="L380" s="7"/>
      <c r="M380" s="6" t="str">
        <f t="shared" si="10"/>
        <v/>
      </c>
      <c r="N380" s="6" t="str">
        <f t="shared" si="11"/>
        <v/>
      </c>
    </row>
    <row r="381" spans="1:14" x14ac:dyDescent="0.25">
      <c r="A381" s="7"/>
      <c r="B381" s="7"/>
      <c r="C381" s="6" t="str">
        <f>IF(A381="","",COUNTIFS($A$2:A381,A381,$B$2:B381,B381))</f>
        <v/>
      </c>
      <c r="D381" s="7"/>
      <c r="E381" s="7"/>
      <c r="F381" s="7"/>
      <c r="G381" s="7"/>
      <c r="H381" s="7"/>
      <c r="I381" s="7"/>
      <c r="J381" s="7"/>
      <c r="K381" s="7"/>
      <c r="L381" s="7"/>
      <c r="M381" s="6" t="str">
        <f t="shared" si="10"/>
        <v/>
      </c>
      <c r="N381" s="6" t="str">
        <f t="shared" si="11"/>
        <v/>
      </c>
    </row>
    <row r="382" spans="1:14" x14ac:dyDescent="0.25">
      <c r="A382" s="7"/>
      <c r="B382" s="7"/>
      <c r="C382" s="6" t="str">
        <f>IF(A382="","",COUNTIFS($A$2:A382,A382,$B$2:B382,B382))</f>
        <v/>
      </c>
      <c r="D382" s="7"/>
      <c r="E382" s="7"/>
      <c r="F382" s="7"/>
      <c r="G382" s="7"/>
      <c r="H382" s="7"/>
      <c r="I382" s="7"/>
      <c r="J382" s="7"/>
      <c r="K382" s="7"/>
      <c r="L382" s="7"/>
      <c r="M382" s="6" t="str">
        <f t="shared" si="10"/>
        <v/>
      </c>
      <c r="N382" s="6" t="str">
        <f t="shared" si="11"/>
        <v/>
      </c>
    </row>
    <row r="383" spans="1:14" x14ac:dyDescent="0.25">
      <c r="A383" s="7"/>
      <c r="B383" s="7"/>
      <c r="C383" s="6" t="str">
        <f>IF(A383="","",COUNTIFS($A$2:A383,A383,$B$2:B383,B383))</f>
        <v/>
      </c>
      <c r="D383" s="7"/>
      <c r="E383" s="7"/>
      <c r="F383" s="7"/>
      <c r="G383" s="7"/>
      <c r="H383" s="7"/>
      <c r="I383" s="7"/>
      <c r="J383" s="7"/>
      <c r="K383" s="7"/>
      <c r="L383" s="7"/>
      <c r="M383" s="6" t="str">
        <f t="shared" si="10"/>
        <v/>
      </c>
      <c r="N383" s="6" t="str">
        <f t="shared" si="11"/>
        <v/>
      </c>
    </row>
    <row r="384" spans="1:14" x14ac:dyDescent="0.25">
      <c r="A384" s="7"/>
      <c r="B384" s="7"/>
      <c r="C384" s="6" t="str">
        <f>IF(A384="","",COUNTIFS($A$2:A384,A384,$B$2:B384,B384))</f>
        <v/>
      </c>
      <c r="D384" s="7"/>
      <c r="E384" s="7"/>
      <c r="F384" s="7"/>
      <c r="G384" s="7"/>
      <c r="H384" s="7"/>
      <c r="I384" s="7"/>
      <c r="J384" s="7"/>
      <c r="K384" s="7"/>
      <c r="L384" s="7"/>
      <c r="M384" s="6" t="str">
        <f t="shared" si="10"/>
        <v/>
      </c>
      <c r="N384" s="6" t="str">
        <f t="shared" si="11"/>
        <v/>
      </c>
    </row>
    <row r="385" spans="1:14" x14ac:dyDescent="0.25">
      <c r="A385" s="7"/>
      <c r="B385" s="7"/>
      <c r="C385" s="6" t="str">
        <f>IF(A385="","",COUNTIFS($A$2:A385,A385,$B$2:B385,B385))</f>
        <v/>
      </c>
      <c r="D385" s="7"/>
      <c r="E385" s="7"/>
      <c r="F385" s="7"/>
      <c r="G385" s="7"/>
      <c r="H385" s="7"/>
      <c r="I385" s="7"/>
      <c r="J385" s="7"/>
      <c r="K385" s="7"/>
      <c r="L385" s="7"/>
      <c r="M385" s="6" t="str">
        <f t="shared" si="10"/>
        <v/>
      </c>
      <c r="N385" s="6" t="str">
        <f t="shared" si="11"/>
        <v/>
      </c>
    </row>
    <row r="386" spans="1:14" x14ac:dyDescent="0.25">
      <c r="A386" s="7"/>
      <c r="B386" s="7"/>
      <c r="C386" s="6" t="str">
        <f>IF(A386="","",COUNTIFS($A$2:A386,A386,$B$2:B386,B386))</f>
        <v/>
      </c>
      <c r="D386" s="7"/>
      <c r="E386" s="7"/>
      <c r="F386" s="7"/>
      <c r="G386" s="7"/>
      <c r="H386" s="7"/>
      <c r="I386" s="7"/>
      <c r="J386" s="7"/>
      <c r="K386" s="7"/>
      <c r="L386" s="7"/>
      <c r="M386" s="6" t="str">
        <f t="shared" ref="M386:M401" si="12">IF(D386="","",IF(OR(E386="",F386=""),"",IF(TRIM(IF(AND(E386="hecho",F386="INCORRECTA"),"INC ","")&amp;IF(AND(E386="abstencion",F386="INCORRECTA"),"ABS-E ","")&amp;IF(AND(E386="hecho",F386="FUERA_REF",H386="no_resp"),"NO-ABS ","")&amp;IF(AND(E386="hecho",I386="SIN-RESPALDO"),"SIN-R ","")&amp;IF(AND(E386="hecho",I386="CITA-X"),"CITA-X ","")&amp;IF(AND(E386="hecho",I386="SIN-CITA"),"SIN-C ",""))="","-",TRIM(IF(AND(E386="hecho",F386="INCORRECTA"),"INC ","")&amp;IF(AND(E386="abstencion",F386="INCORRECTA"),"ABS-E ","")&amp;IF(AND(E386="hecho",F386="FUERA_REF",H386="no_resp"),"NO-ABS ","")&amp;IF(AND(E386="hecho",I386="SIN-RESPALDO"),"SIN-R ","")&amp;IF(AND(E386="hecho",I386="CITA-X"),"CITA-X ","")&amp;IF(AND(E386="hecho",I386="SIN-CITA"),"SIN-C ","")))))</f>
        <v/>
      </c>
      <c r="N386" s="6" t="str">
        <f t="shared" ref="N386:N401" si="13">IF(D386="","",IF(OR(A386="",B386="",E386="",F386=""),"falta qid, modo, tipo o vs_ref",IF(AND(B386="llm",I386&lt;&gt;""),"respaldo no aplica en modo LLM",IF(AND(E386="abstencion",I386&lt;&gt;""),"una abstención no se califica en citas",IF(AND(B386="rag",E386="hecho",I386=""),"falta respaldo","ok")))))</f>
        <v/>
      </c>
    </row>
    <row r="387" spans="1:14" x14ac:dyDescent="0.25">
      <c r="A387" s="7"/>
      <c r="B387" s="7"/>
      <c r="C387" s="6" t="str">
        <f>IF(A387="","",COUNTIFS($A$2:A387,A387,$B$2:B387,B387))</f>
        <v/>
      </c>
      <c r="D387" s="7"/>
      <c r="E387" s="7"/>
      <c r="F387" s="7"/>
      <c r="G387" s="7"/>
      <c r="H387" s="7"/>
      <c r="I387" s="7"/>
      <c r="J387" s="7"/>
      <c r="K387" s="7"/>
      <c r="L387" s="7"/>
      <c r="M387" s="6" t="str">
        <f t="shared" si="12"/>
        <v/>
      </c>
      <c r="N387" s="6" t="str">
        <f t="shared" si="13"/>
        <v/>
      </c>
    </row>
    <row r="388" spans="1:14" x14ac:dyDescent="0.25">
      <c r="A388" s="7"/>
      <c r="B388" s="7"/>
      <c r="C388" s="6" t="str">
        <f>IF(A388="","",COUNTIFS($A$2:A388,A388,$B$2:B388,B388))</f>
        <v/>
      </c>
      <c r="D388" s="7"/>
      <c r="E388" s="7"/>
      <c r="F388" s="7"/>
      <c r="G388" s="7"/>
      <c r="H388" s="7"/>
      <c r="I388" s="7"/>
      <c r="J388" s="7"/>
      <c r="K388" s="7"/>
      <c r="L388" s="7"/>
      <c r="M388" s="6" t="str">
        <f t="shared" si="12"/>
        <v/>
      </c>
      <c r="N388" s="6" t="str">
        <f t="shared" si="13"/>
        <v/>
      </c>
    </row>
    <row r="389" spans="1:14" x14ac:dyDescent="0.25">
      <c r="A389" s="7"/>
      <c r="B389" s="7"/>
      <c r="C389" s="6" t="str">
        <f>IF(A389="","",COUNTIFS($A$2:A389,A389,$B$2:B389,B389))</f>
        <v/>
      </c>
      <c r="D389" s="7"/>
      <c r="E389" s="7"/>
      <c r="F389" s="7"/>
      <c r="G389" s="7"/>
      <c r="H389" s="7"/>
      <c r="I389" s="7"/>
      <c r="J389" s="7"/>
      <c r="K389" s="7"/>
      <c r="L389" s="7"/>
      <c r="M389" s="6" t="str">
        <f t="shared" si="12"/>
        <v/>
      </c>
      <c r="N389" s="6" t="str">
        <f t="shared" si="13"/>
        <v/>
      </c>
    </row>
    <row r="390" spans="1:14" x14ac:dyDescent="0.25">
      <c r="A390" s="7"/>
      <c r="B390" s="7"/>
      <c r="C390" s="6" t="str">
        <f>IF(A390="","",COUNTIFS($A$2:A390,A390,$B$2:B390,B390))</f>
        <v/>
      </c>
      <c r="D390" s="7"/>
      <c r="E390" s="7"/>
      <c r="F390" s="7"/>
      <c r="G390" s="7"/>
      <c r="H390" s="7"/>
      <c r="I390" s="7"/>
      <c r="J390" s="7"/>
      <c r="K390" s="7"/>
      <c r="L390" s="7"/>
      <c r="M390" s="6" t="str">
        <f t="shared" si="12"/>
        <v/>
      </c>
      <c r="N390" s="6" t="str">
        <f t="shared" si="13"/>
        <v/>
      </c>
    </row>
    <row r="391" spans="1:14" x14ac:dyDescent="0.25">
      <c r="A391" s="7"/>
      <c r="B391" s="7"/>
      <c r="C391" s="6" t="str">
        <f>IF(A391="","",COUNTIFS($A$2:A391,A391,$B$2:B391,B391))</f>
        <v/>
      </c>
      <c r="D391" s="7"/>
      <c r="E391" s="7"/>
      <c r="F391" s="7"/>
      <c r="G391" s="7"/>
      <c r="H391" s="7"/>
      <c r="I391" s="7"/>
      <c r="J391" s="7"/>
      <c r="K391" s="7"/>
      <c r="L391" s="7"/>
      <c r="M391" s="6" t="str">
        <f t="shared" si="12"/>
        <v/>
      </c>
      <c r="N391" s="6" t="str">
        <f t="shared" si="13"/>
        <v/>
      </c>
    </row>
    <row r="392" spans="1:14" x14ac:dyDescent="0.25">
      <c r="A392" s="7"/>
      <c r="B392" s="7"/>
      <c r="C392" s="6" t="str">
        <f>IF(A392="","",COUNTIFS($A$2:A392,A392,$B$2:B392,B392))</f>
        <v/>
      </c>
      <c r="D392" s="7"/>
      <c r="E392" s="7"/>
      <c r="F392" s="7"/>
      <c r="G392" s="7"/>
      <c r="H392" s="7"/>
      <c r="I392" s="7"/>
      <c r="J392" s="7"/>
      <c r="K392" s="7"/>
      <c r="L392" s="7"/>
      <c r="M392" s="6" t="str">
        <f t="shared" si="12"/>
        <v/>
      </c>
      <c r="N392" s="6" t="str">
        <f t="shared" si="13"/>
        <v/>
      </c>
    </row>
    <row r="393" spans="1:14" x14ac:dyDescent="0.25">
      <c r="A393" s="7"/>
      <c r="B393" s="7"/>
      <c r="C393" s="6" t="str">
        <f>IF(A393="","",COUNTIFS($A$2:A393,A393,$B$2:B393,B393))</f>
        <v/>
      </c>
      <c r="D393" s="7"/>
      <c r="E393" s="7"/>
      <c r="F393" s="7"/>
      <c r="G393" s="7"/>
      <c r="H393" s="7"/>
      <c r="I393" s="7"/>
      <c r="J393" s="7"/>
      <c r="K393" s="7"/>
      <c r="L393" s="7"/>
      <c r="M393" s="6" t="str">
        <f t="shared" si="12"/>
        <v/>
      </c>
      <c r="N393" s="6" t="str">
        <f t="shared" si="13"/>
        <v/>
      </c>
    </row>
    <row r="394" spans="1:14" x14ac:dyDescent="0.25">
      <c r="A394" s="7"/>
      <c r="B394" s="7"/>
      <c r="C394" s="6" t="str">
        <f>IF(A394="","",COUNTIFS($A$2:A394,A394,$B$2:B394,B394))</f>
        <v/>
      </c>
      <c r="D394" s="7"/>
      <c r="E394" s="7"/>
      <c r="F394" s="7"/>
      <c r="G394" s="7"/>
      <c r="H394" s="7"/>
      <c r="I394" s="7"/>
      <c r="J394" s="7"/>
      <c r="K394" s="7"/>
      <c r="L394" s="7"/>
      <c r="M394" s="6" t="str">
        <f t="shared" si="12"/>
        <v/>
      </c>
      <c r="N394" s="6" t="str">
        <f t="shared" si="13"/>
        <v/>
      </c>
    </row>
    <row r="395" spans="1:14" x14ac:dyDescent="0.25">
      <c r="A395" s="7"/>
      <c r="B395" s="7"/>
      <c r="C395" s="6" t="str">
        <f>IF(A395="","",COUNTIFS($A$2:A395,A395,$B$2:B395,B395))</f>
        <v/>
      </c>
      <c r="D395" s="7"/>
      <c r="E395" s="7"/>
      <c r="F395" s="7"/>
      <c r="G395" s="7"/>
      <c r="H395" s="7"/>
      <c r="I395" s="7"/>
      <c r="J395" s="7"/>
      <c r="K395" s="7"/>
      <c r="L395" s="7"/>
      <c r="M395" s="6" t="str">
        <f t="shared" si="12"/>
        <v/>
      </c>
      <c r="N395" s="6" t="str">
        <f t="shared" si="13"/>
        <v/>
      </c>
    </row>
    <row r="396" spans="1:14" x14ac:dyDescent="0.25">
      <c r="A396" s="7"/>
      <c r="B396" s="7"/>
      <c r="C396" s="6" t="str">
        <f>IF(A396="","",COUNTIFS($A$2:A396,A396,$B$2:B396,B396))</f>
        <v/>
      </c>
      <c r="D396" s="7"/>
      <c r="E396" s="7"/>
      <c r="F396" s="7"/>
      <c r="G396" s="7"/>
      <c r="H396" s="7"/>
      <c r="I396" s="7"/>
      <c r="J396" s="7"/>
      <c r="K396" s="7"/>
      <c r="L396" s="7"/>
      <c r="M396" s="6" t="str">
        <f t="shared" si="12"/>
        <v/>
      </c>
      <c r="N396" s="6" t="str">
        <f t="shared" si="13"/>
        <v/>
      </c>
    </row>
    <row r="397" spans="1:14" x14ac:dyDescent="0.25">
      <c r="A397" s="7"/>
      <c r="B397" s="7"/>
      <c r="C397" s="6" t="str">
        <f>IF(A397="","",COUNTIFS($A$2:A397,A397,$B$2:B397,B397))</f>
        <v/>
      </c>
      <c r="D397" s="7"/>
      <c r="E397" s="7"/>
      <c r="F397" s="7"/>
      <c r="G397" s="7"/>
      <c r="H397" s="7"/>
      <c r="I397" s="7"/>
      <c r="J397" s="7"/>
      <c r="K397" s="7"/>
      <c r="L397" s="7"/>
      <c r="M397" s="6" t="str">
        <f t="shared" si="12"/>
        <v/>
      </c>
      <c r="N397" s="6" t="str">
        <f t="shared" si="13"/>
        <v/>
      </c>
    </row>
    <row r="398" spans="1:14" x14ac:dyDescent="0.25">
      <c r="A398" s="7"/>
      <c r="B398" s="7"/>
      <c r="C398" s="6" t="str">
        <f>IF(A398="","",COUNTIFS($A$2:A398,A398,$B$2:B398,B398))</f>
        <v/>
      </c>
      <c r="D398" s="7"/>
      <c r="E398" s="7"/>
      <c r="F398" s="7"/>
      <c r="G398" s="7"/>
      <c r="H398" s="7"/>
      <c r="I398" s="7"/>
      <c r="J398" s="7"/>
      <c r="K398" s="7"/>
      <c r="L398" s="7"/>
      <c r="M398" s="6" t="str">
        <f t="shared" si="12"/>
        <v/>
      </c>
      <c r="N398" s="6" t="str">
        <f t="shared" si="13"/>
        <v/>
      </c>
    </row>
    <row r="399" spans="1:14" x14ac:dyDescent="0.25">
      <c r="A399" s="7"/>
      <c r="B399" s="7"/>
      <c r="C399" s="6" t="str">
        <f>IF(A399="","",COUNTIFS($A$2:A399,A399,$B$2:B399,B399))</f>
        <v/>
      </c>
      <c r="D399" s="7"/>
      <c r="E399" s="7"/>
      <c r="F399" s="7"/>
      <c r="G399" s="7"/>
      <c r="H399" s="7"/>
      <c r="I399" s="7"/>
      <c r="J399" s="7"/>
      <c r="K399" s="7"/>
      <c r="L399" s="7"/>
      <c r="M399" s="6" t="str">
        <f t="shared" si="12"/>
        <v/>
      </c>
      <c r="N399" s="6" t="str">
        <f t="shared" si="13"/>
        <v/>
      </c>
    </row>
    <row r="400" spans="1:14" x14ac:dyDescent="0.25">
      <c r="A400" s="7"/>
      <c r="B400" s="7"/>
      <c r="C400" s="6" t="str">
        <f>IF(A400="","",COUNTIFS($A$2:A400,A400,$B$2:B400,B400))</f>
        <v/>
      </c>
      <c r="D400" s="7"/>
      <c r="E400" s="7"/>
      <c r="F400" s="7"/>
      <c r="G400" s="7"/>
      <c r="H400" s="7"/>
      <c r="I400" s="7"/>
      <c r="J400" s="7"/>
      <c r="K400" s="7"/>
      <c r="L400" s="7"/>
      <c r="M400" s="6" t="str">
        <f t="shared" si="12"/>
        <v/>
      </c>
      <c r="N400" s="6" t="str">
        <f t="shared" si="13"/>
        <v/>
      </c>
    </row>
    <row r="401" spans="1:14" x14ac:dyDescent="0.25">
      <c r="A401" s="7"/>
      <c r="B401" s="7"/>
      <c r="C401" s="6" t="str">
        <f>IF(A401="","",COUNTIFS($A$2:A401,A401,$B$2:B401,B401))</f>
        <v/>
      </c>
      <c r="D401" s="7"/>
      <c r="E401" s="7"/>
      <c r="F401" s="7"/>
      <c r="G401" s="7"/>
      <c r="H401" s="7"/>
      <c r="I401" s="7"/>
      <c r="J401" s="7"/>
      <c r="K401" s="7"/>
      <c r="L401" s="7"/>
      <c r="M401" s="6" t="str">
        <f t="shared" si="12"/>
        <v/>
      </c>
      <c r="N401" s="6" t="str">
        <f t="shared" si="13"/>
        <v/>
      </c>
    </row>
  </sheetData>
  <sheetProtection sheet="1" formatColumns="0" formatRows="0" sort="0" autoFilter="0"/>
  <dataValidations count="6">
    <dataValidation type="list" allowBlank="1" showErrorMessage="1" sqref="A2:A401" xr:uid="{00000000-0002-0000-0200-000000000000}">
      <formula1>"p01,p02,p03,p04,p05,p06,p07,p08,p09,p10,p11,p12,p13"</formula1>
    </dataValidation>
    <dataValidation type="list" allowBlank="1" showErrorMessage="1" sqref="B2:B401" xr:uid="{00000000-0002-0000-0200-000001000000}">
      <formula1>"rag,llm"</formula1>
    </dataValidation>
    <dataValidation type="list" allowBlank="1" showErrorMessage="1" sqref="E2:E401" xr:uid="{00000000-0002-0000-0200-000002000000}">
      <formula1>"hecho,abstencion"</formula1>
    </dataValidation>
    <dataValidation type="list" allowBlank="1" showErrorMessage="1" sqref="F2:F401" xr:uid="{00000000-0002-0000-0200-000003000000}">
      <formula1>"CORRECTA,INCORRECTA,FUERA_REF"</formula1>
    </dataValidation>
    <dataValidation type="list" allowBlank="1" showErrorMessage="1" sqref="H2:H401" xr:uid="{00000000-0002-0000-0200-000004000000}">
      <formula1>"ref,no_resp"</formula1>
    </dataValidation>
    <dataValidation type="list" allowBlank="1" showErrorMessage="1" sqref="I2:I401" xr:uid="{00000000-0002-0000-0200-000005000000}">
      <formula1>"SOSTENIDA,CITA-X,SIN-CITA,SIN-RESPALDO"</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34"/>
  <sheetViews>
    <sheetView workbookViewId="0">
      <pane ySplit="1" topLeftCell="A2" activePane="bottomLeft" state="frozen"/>
      <selection pane="bottomLeft" activeCell="D6" sqref="D6"/>
    </sheetView>
  </sheetViews>
  <sheetFormatPr baseColWidth="10" defaultColWidth="9.140625" defaultRowHeight="15" x14ac:dyDescent="0.25"/>
  <cols>
    <col min="1" max="2" width="7" customWidth="1"/>
    <col min="3" max="3" width="62" customWidth="1"/>
    <col min="4" max="7" width="12" customWidth="1"/>
    <col min="8" max="8" width="14" customWidth="1"/>
  </cols>
  <sheetData>
    <row r="1" spans="1:8" ht="33.950000000000003" customHeight="1" x14ac:dyDescent="0.25">
      <c r="A1" s="3" t="s">
        <v>32</v>
      </c>
      <c r="B1" s="3" t="s">
        <v>173</v>
      </c>
      <c r="C1" s="3" t="s">
        <v>228</v>
      </c>
      <c r="D1" s="3" t="s">
        <v>229</v>
      </c>
      <c r="E1" s="3" t="s">
        <v>230</v>
      </c>
      <c r="F1" s="3" t="s">
        <v>231</v>
      </c>
      <c r="G1" s="3" t="s">
        <v>232</v>
      </c>
      <c r="H1" s="3" t="s">
        <v>233</v>
      </c>
    </row>
    <row r="2" spans="1:8" x14ac:dyDescent="0.25">
      <c r="A2" s="5" t="s">
        <v>65</v>
      </c>
      <c r="B2" s="5" t="s">
        <v>175</v>
      </c>
      <c r="C2" s="5" t="s">
        <v>234</v>
      </c>
      <c r="D2" s="5">
        <v>1</v>
      </c>
      <c r="E2" s="7" t="s">
        <v>72</v>
      </c>
      <c r="F2" s="6">
        <f>IF(COUNTIFS(Afirmaciones!$A$2:$A$401,$A2,Afirmaciones!$B$2:$B$401,"rag")=0,"",IF(SUMPRODUCT((Afirmaciones!$A$2:$A$401=$A2)*(Afirmaciones!$F$2:$F$401="CORRECTA")*(Afirmaciones!$H$2:$H$401&lt;&gt;"no_resp")*ISNUMBER(SEARCH(";"&amp;$B2&amp;";",";"&amp;SUBSTITUTE(Afirmaciones!$G$2:$G$401," ","")&amp;";"))*(Afirmaciones!$B$2:$B$401="rag"))&gt;0,1,0))</f>
        <v>0</v>
      </c>
      <c r="G2" s="6">
        <f>IF(COUNTIFS(Afirmaciones!$A$2:$A$401,$A2,Afirmaciones!$B$2:$B$401,"llm")=0,"",IF(SUMPRODUCT((Afirmaciones!$A$2:$A$401=$A2)*(Afirmaciones!$F$2:$F$401="CORRECTA")*(Afirmaciones!$H$2:$H$401&lt;&gt;"no_resp")*ISNUMBER(SEARCH(";"&amp;$B2&amp;";",";"&amp;SUBSTITUTE(Afirmaciones!$G$2:$G$401," ","")&amp;";"))*(Afirmaciones!$B$2:$B$401="llm"))&gt;0,1,0))</f>
        <v>0</v>
      </c>
      <c r="H2" s="6">
        <f>IF(COUNTIFS(Afirmaciones!$A$2:$A$401,$A2,Afirmaciones!$B$2:$B$401,"rag")=0,"",IF(SUMPRODUCT((Afirmaciones!$A$2:$A$401=$A2)*(Afirmaciones!$F$2:$F$401="CORRECTA")*(Afirmaciones!$H$2:$H$401&lt;&gt;"no_resp")*ISNUMBER(SEARCH(";"&amp;$B2&amp;";",";"&amp;SUBSTITUTE(Afirmaciones!$G$2:$G$401," ","")&amp;";"))*(Afirmaciones!$B$2:$B$401="rag")*(Afirmaciones!$I$2:$I$401="SOSTENIDA"))&gt;0,1,0))</f>
        <v>0</v>
      </c>
    </row>
    <row r="3" spans="1:8" x14ac:dyDescent="0.25">
      <c r="A3" s="5" t="s">
        <v>65</v>
      </c>
      <c r="B3" s="5" t="s">
        <v>183</v>
      </c>
      <c r="C3" s="5" t="s">
        <v>235</v>
      </c>
      <c r="D3" s="5">
        <v>1</v>
      </c>
      <c r="E3" s="7" t="s">
        <v>72</v>
      </c>
      <c r="F3" s="6">
        <f>IF(COUNTIFS(Afirmaciones!$A$2:$A$401,$A3,Afirmaciones!$B$2:$B$401,"rag")=0,"",IF(SUMPRODUCT((Afirmaciones!$A$2:$A$401=$A3)*(Afirmaciones!$F$2:$F$401="CORRECTA")*(Afirmaciones!$H$2:$H$401&lt;&gt;"no_resp")*ISNUMBER(SEARCH(";"&amp;$B3&amp;";",";"&amp;SUBSTITUTE(Afirmaciones!$G$2:$G$401," ","")&amp;";"))*(Afirmaciones!$B$2:$B$401="rag"))&gt;0,1,0))</f>
        <v>0</v>
      </c>
      <c r="G3" s="6">
        <f>IF(COUNTIFS(Afirmaciones!$A$2:$A$401,$A3,Afirmaciones!$B$2:$B$401,"llm")=0,"",IF(SUMPRODUCT((Afirmaciones!$A$2:$A$401=$A3)*(Afirmaciones!$F$2:$F$401="CORRECTA")*(Afirmaciones!$H$2:$H$401&lt;&gt;"no_resp")*ISNUMBER(SEARCH(";"&amp;$B3&amp;";",";"&amp;SUBSTITUTE(Afirmaciones!$G$2:$G$401," ","")&amp;";"))*(Afirmaciones!$B$2:$B$401="llm"))&gt;0,1,0))</f>
        <v>1</v>
      </c>
      <c r="H3" s="6">
        <f>IF(COUNTIFS(Afirmaciones!$A$2:$A$401,$A3,Afirmaciones!$B$2:$B$401,"rag")=0,"",IF(SUMPRODUCT((Afirmaciones!$A$2:$A$401=$A3)*(Afirmaciones!$F$2:$F$401="CORRECTA")*(Afirmaciones!$H$2:$H$401&lt;&gt;"no_resp")*ISNUMBER(SEARCH(";"&amp;$B3&amp;";",";"&amp;SUBSTITUTE(Afirmaciones!$G$2:$G$401," ","")&amp;";"))*(Afirmaciones!$B$2:$B$401="rag")*(Afirmaciones!$I$2:$I$401="SOSTENIDA"))&gt;0,1,0))</f>
        <v>0</v>
      </c>
    </row>
    <row r="4" spans="1:8" x14ac:dyDescent="0.25">
      <c r="A4" s="5" t="s">
        <v>65</v>
      </c>
      <c r="B4" s="5" t="s">
        <v>203</v>
      </c>
      <c r="C4" s="5" t="s">
        <v>236</v>
      </c>
      <c r="D4" s="5">
        <v>1</v>
      </c>
      <c r="E4" s="7" t="s">
        <v>72</v>
      </c>
      <c r="F4" s="6">
        <f>IF(COUNTIFS(Afirmaciones!$A$2:$A$401,$A4,Afirmaciones!$B$2:$B$401,"rag")=0,"",IF(SUMPRODUCT((Afirmaciones!$A$2:$A$401=$A4)*(Afirmaciones!$F$2:$F$401="CORRECTA")*(Afirmaciones!$H$2:$H$401&lt;&gt;"no_resp")*ISNUMBER(SEARCH(";"&amp;$B4&amp;";",";"&amp;SUBSTITUTE(Afirmaciones!$G$2:$G$401," ","")&amp;";"))*(Afirmaciones!$B$2:$B$401="rag"))&gt;0,1,0))</f>
        <v>0</v>
      </c>
      <c r="G4" s="6">
        <f>IF(COUNTIFS(Afirmaciones!$A$2:$A$401,$A4,Afirmaciones!$B$2:$B$401,"llm")=0,"",IF(SUMPRODUCT((Afirmaciones!$A$2:$A$401=$A4)*(Afirmaciones!$F$2:$F$401="CORRECTA")*(Afirmaciones!$H$2:$H$401&lt;&gt;"no_resp")*ISNUMBER(SEARCH(";"&amp;$B4&amp;";",";"&amp;SUBSTITUTE(Afirmaciones!$G$2:$G$401," ","")&amp;";"))*(Afirmaciones!$B$2:$B$401="llm"))&gt;0,1,0))</f>
        <v>1</v>
      </c>
      <c r="H4" s="6">
        <f>IF(COUNTIFS(Afirmaciones!$A$2:$A$401,$A4,Afirmaciones!$B$2:$B$401,"rag")=0,"",IF(SUMPRODUCT((Afirmaciones!$A$2:$A$401=$A4)*(Afirmaciones!$F$2:$F$401="CORRECTA")*(Afirmaciones!$H$2:$H$401&lt;&gt;"no_resp")*ISNUMBER(SEARCH(";"&amp;$B4&amp;";",";"&amp;SUBSTITUTE(Afirmaciones!$G$2:$G$401," ","")&amp;";"))*(Afirmaciones!$B$2:$B$401="rag")*(Afirmaciones!$I$2:$I$401="SOSTENIDA"))&gt;0,1,0))</f>
        <v>0</v>
      </c>
    </row>
    <row r="5" spans="1:8" x14ac:dyDescent="0.25">
      <c r="A5" s="5" t="s">
        <v>65</v>
      </c>
      <c r="B5" s="5" t="s">
        <v>237</v>
      </c>
      <c r="C5" s="5" t="s">
        <v>238</v>
      </c>
      <c r="D5" s="5">
        <v>1</v>
      </c>
      <c r="E5" s="7" t="s">
        <v>72</v>
      </c>
      <c r="F5" s="6">
        <f>IF(COUNTIFS(Afirmaciones!$A$2:$A$401,$A5,Afirmaciones!$B$2:$B$401,"rag")=0,"",IF(SUMPRODUCT((Afirmaciones!$A$2:$A$401=$A5)*(Afirmaciones!$F$2:$F$401="CORRECTA")*(Afirmaciones!$H$2:$H$401&lt;&gt;"no_resp")*ISNUMBER(SEARCH(";"&amp;$B5&amp;";",";"&amp;SUBSTITUTE(Afirmaciones!$G$2:$G$401," ","")&amp;";"))*(Afirmaciones!$B$2:$B$401="rag"))&gt;0,1,0))</f>
        <v>0</v>
      </c>
      <c r="G5" s="6">
        <f>IF(COUNTIFS(Afirmaciones!$A$2:$A$401,$A5,Afirmaciones!$B$2:$B$401,"llm")=0,"",IF(SUMPRODUCT((Afirmaciones!$A$2:$A$401=$A5)*(Afirmaciones!$F$2:$F$401="CORRECTA")*(Afirmaciones!$H$2:$H$401&lt;&gt;"no_resp")*ISNUMBER(SEARCH(";"&amp;$B5&amp;";",";"&amp;SUBSTITUTE(Afirmaciones!$G$2:$G$401," ","")&amp;";"))*(Afirmaciones!$B$2:$B$401="llm"))&gt;0,1,0))</f>
        <v>0</v>
      </c>
      <c r="H5" s="6">
        <f>IF(COUNTIFS(Afirmaciones!$A$2:$A$401,$A5,Afirmaciones!$B$2:$B$401,"rag")=0,"",IF(SUMPRODUCT((Afirmaciones!$A$2:$A$401=$A5)*(Afirmaciones!$F$2:$F$401="CORRECTA")*(Afirmaciones!$H$2:$H$401&lt;&gt;"no_resp")*ISNUMBER(SEARCH(";"&amp;$B5&amp;";",";"&amp;SUBSTITUTE(Afirmaciones!$G$2:$G$401," ","")&amp;";"))*(Afirmaciones!$B$2:$B$401="rag")*(Afirmaciones!$I$2:$I$401="SOSTENIDA"))&gt;0,1,0))</f>
        <v>0</v>
      </c>
    </row>
    <row r="6" spans="1:8" x14ac:dyDescent="0.25">
      <c r="A6" s="5" t="s">
        <v>65</v>
      </c>
      <c r="B6" s="5" t="s">
        <v>201</v>
      </c>
      <c r="C6" s="5" t="s">
        <v>239</v>
      </c>
      <c r="D6" s="5">
        <v>3</v>
      </c>
      <c r="E6" s="7" t="s">
        <v>240</v>
      </c>
      <c r="F6" s="6">
        <f>IF(COUNTIFS(Afirmaciones!$A$2:$A$401,$A6,Afirmaciones!$B$2:$B$401,"rag")=0,"",IF(SUMPRODUCT((Afirmaciones!$A$2:$A$401=$A6)*(Afirmaciones!$F$2:$F$401="CORRECTA")*(Afirmaciones!$H$2:$H$401&lt;&gt;"no_resp")*ISNUMBER(SEARCH(";"&amp;$B6&amp;";",";"&amp;SUBSTITUTE(Afirmaciones!$G$2:$G$401," ","")&amp;";"))*(Afirmaciones!$B$2:$B$401="rag"))&gt;0,1,0))</f>
        <v>0</v>
      </c>
      <c r="G6" s="6">
        <f>IF(COUNTIFS(Afirmaciones!$A$2:$A$401,$A6,Afirmaciones!$B$2:$B$401,"llm")=0,"",IF(SUMPRODUCT((Afirmaciones!$A$2:$A$401=$A6)*(Afirmaciones!$F$2:$F$401="CORRECTA")*(Afirmaciones!$H$2:$H$401&lt;&gt;"no_resp")*ISNUMBER(SEARCH(";"&amp;$B6&amp;";",";"&amp;SUBSTITUTE(Afirmaciones!$G$2:$G$401," ","")&amp;";"))*(Afirmaciones!$B$2:$B$401="llm"))&gt;0,1,0))</f>
        <v>0</v>
      </c>
      <c r="H6" s="6">
        <f>IF(COUNTIFS(Afirmaciones!$A$2:$A$401,$A6,Afirmaciones!$B$2:$B$401,"rag")=0,"",IF(SUMPRODUCT((Afirmaciones!$A$2:$A$401=$A6)*(Afirmaciones!$F$2:$F$401="CORRECTA")*(Afirmaciones!$H$2:$H$401&lt;&gt;"no_resp")*ISNUMBER(SEARCH(";"&amp;$B6&amp;";",";"&amp;SUBSTITUTE(Afirmaciones!$G$2:$G$401," ","")&amp;";"))*(Afirmaciones!$B$2:$B$401="rag")*(Afirmaciones!$I$2:$I$401="SOSTENIDA"))&gt;0,1,0))</f>
        <v>0</v>
      </c>
    </row>
    <row r="7" spans="1:8" x14ac:dyDescent="0.25">
      <c r="A7" s="5" t="s">
        <v>80</v>
      </c>
      <c r="B7" s="5" t="s">
        <v>175</v>
      </c>
      <c r="C7" s="5" t="s">
        <v>241</v>
      </c>
      <c r="D7" s="5">
        <v>1</v>
      </c>
      <c r="E7" s="7" t="s">
        <v>78</v>
      </c>
      <c r="F7" s="6" t="str">
        <f>IF(COUNTIFS(Afirmaciones!$A$2:$A$401,$A7,Afirmaciones!$B$2:$B$401,"rag")=0,"",IF(SUMPRODUCT((Afirmaciones!$A$2:$A$401=$A7)*(Afirmaciones!$F$2:$F$401="CORRECTA")*(Afirmaciones!$H$2:$H$401&lt;&gt;"no_resp")*ISNUMBER(SEARCH(";"&amp;$B7&amp;";",";"&amp;SUBSTITUTE(Afirmaciones!$G$2:$G$401," ","")&amp;";"))*(Afirmaciones!$B$2:$B$401="rag"))&gt;0,1,0))</f>
        <v/>
      </c>
      <c r="G7" s="6" t="str">
        <f>IF(COUNTIFS(Afirmaciones!$A$2:$A$401,$A7,Afirmaciones!$B$2:$B$401,"llm")=0,"",IF(SUMPRODUCT((Afirmaciones!$A$2:$A$401=$A7)*(Afirmaciones!$F$2:$F$401="CORRECTA")*(Afirmaciones!$H$2:$H$401&lt;&gt;"no_resp")*ISNUMBER(SEARCH(";"&amp;$B7&amp;";",";"&amp;SUBSTITUTE(Afirmaciones!$G$2:$G$401," ","")&amp;";"))*(Afirmaciones!$B$2:$B$401="llm"))&gt;0,1,0))</f>
        <v/>
      </c>
      <c r="H7" s="6" t="str">
        <f>IF(COUNTIFS(Afirmaciones!$A$2:$A$401,$A7,Afirmaciones!$B$2:$B$401,"rag")=0,"",IF(SUMPRODUCT((Afirmaciones!$A$2:$A$401=$A7)*(Afirmaciones!$F$2:$F$401="CORRECTA")*(Afirmaciones!$H$2:$H$401&lt;&gt;"no_resp")*ISNUMBER(SEARCH(";"&amp;$B7&amp;";",";"&amp;SUBSTITUTE(Afirmaciones!$G$2:$G$401," ","")&amp;";"))*(Afirmaciones!$B$2:$B$401="rag")*(Afirmaciones!$I$2:$I$401="SOSTENIDA"))&gt;0,1,0))</f>
        <v/>
      </c>
    </row>
    <row r="8" spans="1:8" x14ac:dyDescent="0.25">
      <c r="A8" s="5" t="s">
        <v>80</v>
      </c>
      <c r="B8" s="5" t="s">
        <v>183</v>
      </c>
      <c r="C8" s="5" t="s">
        <v>242</v>
      </c>
      <c r="D8" s="5">
        <v>1</v>
      </c>
      <c r="E8" s="7" t="s">
        <v>72</v>
      </c>
      <c r="F8" s="6" t="str">
        <f>IF(COUNTIFS(Afirmaciones!$A$2:$A$401,$A8,Afirmaciones!$B$2:$B$401,"rag")=0,"",IF(SUMPRODUCT((Afirmaciones!$A$2:$A$401=$A8)*(Afirmaciones!$F$2:$F$401="CORRECTA")*(Afirmaciones!$H$2:$H$401&lt;&gt;"no_resp")*ISNUMBER(SEARCH(";"&amp;$B8&amp;";",";"&amp;SUBSTITUTE(Afirmaciones!$G$2:$G$401," ","")&amp;";"))*(Afirmaciones!$B$2:$B$401="rag"))&gt;0,1,0))</f>
        <v/>
      </c>
      <c r="G8" s="6" t="str">
        <f>IF(COUNTIFS(Afirmaciones!$A$2:$A$401,$A8,Afirmaciones!$B$2:$B$401,"llm")=0,"",IF(SUMPRODUCT((Afirmaciones!$A$2:$A$401=$A8)*(Afirmaciones!$F$2:$F$401="CORRECTA")*(Afirmaciones!$H$2:$H$401&lt;&gt;"no_resp")*ISNUMBER(SEARCH(";"&amp;$B8&amp;";",";"&amp;SUBSTITUTE(Afirmaciones!$G$2:$G$401," ","")&amp;";"))*(Afirmaciones!$B$2:$B$401="llm"))&gt;0,1,0))</f>
        <v/>
      </c>
      <c r="H8" s="6" t="str">
        <f>IF(COUNTIFS(Afirmaciones!$A$2:$A$401,$A8,Afirmaciones!$B$2:$B$401,"rag")=0,"",IF(SUMPRODUCT((Afirmaciones!$A$2:$A$401=$A8)*(Afirmaciones!$F$2:$F$401="CORRECTA")*(Afirmaciones!$H$2:$H$401&lt;&gt;"no_resp")*ISNUMBER(SEARCH(";"&amp;$B8&amp;";",";"&amp;SUBSTITUTE(Afirmaciones!$G$2:$G$401," ","")&amp;";"))*(Afirmaciones!$B$2:$B$401="rag")*(Afirmaciones!$I$2:$I$401="SOSTENIDA"))&gt;0,1,0))</f>
        <v/>
      </c>
    </row>
    <row r="9" spans="1:8" x14ac:dyDescent="0.25">
      <c r="A9" s="5" t="s">
        <v>80</v>
      </c>
      <c r="B9" s="5" t="s">
        <v>203</v>
      </c>
      <c r="C9" s="5" t="s">
        <v>243</v>
      </c>
      <c r="D9" s="5">
        <v>1</v>
      </c>
      <c r="E9" s="7" t="s">
        <v>72</v>
      </c>
      <c r="F9" s="6" t="str">
        <f>IF(COUNTIFS(Afirmaciones!$A$2:$A$401,$A9,Afirmaciones!$B$2:$B$401,"rag")=0,"",IF(SUMPRODUCT((Afirmaciones!$A$2:$A$401=$A9)*(Afirmaciones!$F$2:$F$401="CORRECTA")*(Afirmaciones!$H$2:$H$401&lt;&gt;"no_resp")*ISNUMBER(SEARCH(";"&amp;$B9&amp;";",";"&amp;SUBSTITUTE(Afirmaciones!$G$2:$G$401," ","")&amp;";"))*(Afirmaciones!$B$2:$B$401="rag"))&gt;0,1,0))</f>
        <v/>
      </c>
      <c r="G9" s="6" t="str">
        <f>IF(COUNTIFS(Afirmaciones!$A$2:$A$401,$A9,Afirmaciones!$B$2:$B$401,"llm")=0,"",IF(SUMPRODUCT((Afirmaciones!$A$2:$A$401=$A9)*(Afirmaciones!$F$2:$F$401="CORRECTA")*(Afirmaciones!$H$2:$H$401&lt;&gt;"no_resp")*ISNUMBER(SEARCH(";"&amp;$B9&amp;";",";"&amp;SUBSTITUTE(Afirmaciones!$G$2:$G$401," ","")&amp;";"))*(Afirmaciones!$B$2:$B$401="llm"))&gt;0,1,0))</f>
        <v/>
      </c>
      <c r="H9" s="6" t="str">
        <f>IF(COUNTIFS(Afirmaciones!$A$2:$A$401,$A9,Afirmaciones!$B$2:$B$401,"rag")=0,"",IF(SUMPRODUCT((Afirmaciones!$A$2:$A$401=$A9)*(Afirmaciones!$F$2:$F$401="CORRECTA")*(Afirmaciones!$H$2:$H$401&lt;&gt;"no_resp")*ISNUMBER(SEARCH(";"&amp;$B9&amp;";",";"&amp;SUBSTITUTE(Afirmaciones!$G$2:$G$401," ","")&amp;";"))*(Afirmaciones!$B$2:$B$401="rag")*(Afirmaciones!$I$2:$I$401="SOSTENIDA"))&gt;0,1,0))</f>
        <v/>
      </c>
    </row>
    <row r="10" spans="1:8" x14ac:dyDescent="0.25">
      <c r="A10" s="5" t="s">
        <v>80</v>
      </c>
      <c r="B10" s="5" t="s">
        <v>237</v>
      </c>
      <c r="C10" s="5" t="s">
        <v>244</v>
      </c>
      <c r="D10" s="5">
        <v>1</v>
      </c>
      <c r="E10" s="7" t="s">
        <v>72</v>
      </c>
      <c r="F10" s="6" t="str">
        <f>IF(COUNTIFS(Afirmaciones!$A$2:$A$401,$A10,Afirmaciones!$B$2:$B$401,"rag")=0,"",IF(SUMPRODUCT((Afirmaciones!$A$2:$A$401=$A10)*(Afirmaciones!$F$2:$F$401="CORRECTA")*(Afirmaciones!$H$2:$H$401&lt;&gt;"no_resp")*ISNUMBER(SEARCH(";"&amp;$B10&amp;";",";"&amp;SUBSTITUTE(Afirmaciones!$G$2:$G$401," ","")&amp;";"))*(Afirmaciones!$B$2:$B$401="rag"))&gt;0,1,0))</f>
        <v/>
      </c>
      <c r="G10" s="6" t="str">
        <f>IF(COUNTIFS(Afirmaciones!$A$2:$A$401,$A10,Afirmaciones!$B$2:$B$401,"llm")=0,"",IF(SUMPRODUCT((Afirmaciones!$A$2:$A$401=$A10)*(Afirmaciones!$F$2:$F$401="CORRECTA")*(Afirmaciones!$H$2:$H$401&lt;&gt;"no_resp")*ISNUMBER(SEARCH(";"&amp;$B10&amp;";",";"&amp;SUBSTITUTE(Afirmaciones!$G$2:$G$401," ","")&amp;";"))*(Afirmaciones!$B$2:$B$401="llm"))&gt;0,1,0))</f>
        <v/>
      </c>
      <c r="H10" s="6" t="str">
        <f>IF(COUNTIFS(Afirmaciones!$A$2:$A$401,$A10,Afirmaciones!$B$2:$B$401,"rag")=0,"",IF(SUMPRODUCT((Afirmaciones!$A$2:$A$401=$A10)*(Afirmaciones!$F$2:$F$401="CORRECTA")*(Afirmaciones!$H$2:$H$401&lt;&gt;"no_resp")*ISNUMBER(SEARCH(";"&amp;$B10&amp;";",";"&amp;SUBSTITUTE(Afirmaciones!$G$2:$G$401," ","")&amp;";"))*(Afirmaciones!$B$2:$B$401="rag")*(Afirmaciones!$I$2:$I$401="SOSTENIDA"))&gt;0,1,0))</f>
        <v/>
      </c>
    </row>
    <row r="11" spans="1:8" x14ac:dyDescent="0.25">
      <c r="A11" s="5" t="s">
        <v>80</v>
      </c>
      <c r="B11" s="5" t="s">
        <v>201</v>
      </c>
      <c r="C11" s="5" t="s">
        <v>245</v>
      </c>
      <c r="D11" s="5">
        <v>1</v>
      </c>
      <c r="E11" s="7" t="s">
        <v>72</v>
      </c>
      <c r="F11" s="6" t="str">
        <f>IF(COUNTIFS(Afirmaciones!$A$2:$A$401,$A11,Afirmaciones!$B$2:$B$401,"rag")=0,"",IF(SUMPRODUCT((Afirmaciones!$A$2:$A$401=$A11)*(Afirmaciones!$F$2:$F$401="CORRECTA")*(Afirmaciones!$H$2:$H$401&lt;&gt;"no_resp")*ISNUMBER(SEARCH(";"&amp;$B11&amp;";",";"&amp;SUBSTITUTE(Afirmaciones!$G$2:$G$401," ","")&amp;";"))*(Afirmaciones!$B$2:$B$401="rag"))&gt;0,1,0))</f>
        <v/>
      </c>
      <c r="G11" s="6" t="str">
        <f>IF(COUNTIFS(Afirmaciones!$A$2:$A$401,$A11,Afirmaciones!$B$2:$B$401,"llm")=0,"",IF(SUMPRODUCT((Afirmaciones!$A$2:$A$401=$A11)*(Afirmaciones!$F$2:$F$401="CORRECTA")*(Afirmaciones!$H$2:$H$401&lt;&gt;"no_resp")*ISNUMBER(SEARCH(";"&amp;$B11&amp;";",";"&amp;SUBSTITUTE(Afirmaciones!$G$2:$G$401," ","")&amp;";"))*(Afirmaciones!$B$2:$B$401="llm"))&gt;0,1,0))</f>
        <v/>
      </c>
      <c r="H11" s="6" t="str">
        <f>IF(COUNTIFS(Afirmaciones!$A$2:$A$401,$A11,Afirmaciones!$B$2:$B$401,"rag")=0,"",IF(SUMPRODUCT((Afirmaciones!$A$2:$A$401=$A11)*(Afirmaciones!$F$2:$F$401="CORRECTA")*(Afirmaciones!$H$2:$H$401&lt;&gt;"no_resp")*ISNUMBER(SEARCH(";"&amp;$B11&amp;";",";"&amp;SUBSTITUTE(Afirmaciones!$G$2:$G$401," ","")&amp;";"))*(Afirmaciones!$B$2:$B$401="rag")*(Afirmaciones!$I$2:$I$401="SOSTENIDA"))&gt;0,1,0))</f>
        <v/>
      </c>
    </row>
    <row r="12" spans="1:8" x14ac:dyDescent="0.25">
      <c r="A12" s="5" t="s">
        <v>88</v>
      </c>
      <c r="B12" s="5" t="s">
        <v>175</v>
      </c>
      <c r="C12" s="5" t="s">
        <v>246</v>
      </c>
      <c r="D12" s="5">
        <v>2</v>
      </c>
      <c r="E12" s="7" t="s">
        <v>78</v>
      </c>
      <c r="F12" s="6" t="str">
        <f>IF(COUNTIFS(Afirmaciones!$A$2:$A$401,$A12,Afirmaciones!$B$2:$B$401,"rag")=0,"",IF(SUMPRODUCT((Afirmaciones!$A$2:$A$401=$A12)*(Afirmaciones!$F$2:$F$401="CORRECTA")*(Afirmaciones!$H$2:$H$401&lt;&gt;"no_resp")*ISNUMBER(SEARCH(";"&amp;$B12&amp;";",";"&amp;SUBSTITUTE(Afirmaciones!$G$2:$G$401," ","")&amp;";"))*(Afirmaciones!$B$2:$B$401="rag"))&gt;0,1,0))</f>
        <v/>
      </c>
      <c r="G12" s="6" t="str">
        <f>IF(COUNTIFS(Afirmaciones!$A$2:$A$401,$A12,Afirmaciones!$B$2:$B$401,"llm")=0,"",IF(SUMPRODUCT((Afirmaciones!$A$2:$A$401=$A12)*(Afirmaciones!$F$2:$F$401="CORRECTA")*(Afirmaciones!$H$2:$H$401&lt;&gt;"no_resp")*ISNUMBER(SEARCH(";"&amp;$B12&amp;";",";"&amp;SUBSTITUTE(Afirmaciones!$G$2:$G$401," ","")&amp;";"))*(Afirmaciones!$B$2:$B$401="llm"))&gt;0,1,0))</f>
        <v/>
      </c>
      <c r="H12" s="6" t="str">
        <f>IF(COUNTIFS(Afirmaciones!$A$2:$A$401,$A12,Afirmaciones!$B$2:$B$401,"rag")=0,"",IF(SUMPRODUCT((Afirmaciones!$A$2:$A$401=$A12)*(Afirmaciones!$F$2:$F$401="CORRECTA")*(Afirmaciones!$H$2:$H$401&lt;&gt;"no_resp")*ISNUMBER(SEARCH(";"&amp;$B12&amp;";",";"&amp;SUBSTITUTE(Afirmaciones!$G$2:$G$401," ","")&amp;";"))*(Afirmaciones!$B$2:$B$401="rag")*(Afirmaciones!$I$2:$I$401="SOSTENIDA"))&gt;0,1,0))</f>
        <v/>
      </c>
    </row>
    <row r="13" spans="1:8" ht="25.5" x14ac:dyDescent="0.25">
      <c r="A13" s="5" t="s">
        <v>88</v>
      </c>
      <c r="B13" s="5" t="s">
        <v>183</v>
      </c>
      <c r="C13" s="5" t="s">
        <v>247</v>
      </c>
      <c r="D13" s="5">
        <v>1</v>
      </c>
      <c r="E13" s="7" t="s">
        <v>78</v>
      </c>
      <c r="F13" s="6" t="str">
        <f>IF(COUNTIFS(Afirmaciones!$A$2:$A$401,$A13,Afirmaciones!$B$2:$B$401,"rag")=0,"",IF(SUMPRODUCT((Afirmaciones!$A$2:$A$401=$A13)*(Afirmaciones!$F$2:$F$401="CORRECTA")*(Afirmaciones!$H$2:$H$401&lt;&gt;"no_resp")*ISNUMBER(SEARCH(";"&amp;$B13&amp;";",";"&amp;SUBSTITUTE(Afirmaciones!$G$2:$G$401," ","")&amp;";"))*(Afirmaciones!$B$2:$B$401="rag"))&gt;0,1,0))</f>
        <v/>
      </c>
      <c r="G13" s="6" t="str">
        <f>IF(COUNTIFS(Afirmaciones!$A$2:$A$401,$A13,Afirmaciones!$B$2:$B$401,"llm")=0,"",IF(SUMPRODUCT((Afirmaciones!$A$2:$A$401=$A13)*(Afirmaciones!$F$2:$F$401="CORRECTA")*(Afirmaciones!$H$2:$H$401&lt;&gt;"no_resp")*ISNUMBER(SEARCH(";"&amp;$B13&amp;";",";"&amp;SUBSTITUTE(Afirmaciones!$G$2:$G$401," ","")&amp;";"))*(Afirmaciones!$B$2:$B$401="llm"))&gt;0,1,0))</f>
        <v/>
      </c>
      <c r="H13" s="6" t="str">
        <f>IF(COUNTIFS(Afirmaciones!$A$2:$A$401,$A13,Afirmaciones!$B$2:$B$401,"rag")=0,"",IF(SUMPRODUCT((Afirmaciones!$A$2:$A$401=$A13)*(Afirmaciones!$F$2:$F$401="CORRECTA")*(Afirmaciones!$H$2:$H$401&lt;&gt;"no_resp")*ISNUMBER(SEARCH(";"&amp;$B13&amp;";",";"&amp;SUBSTITUTE(Afirmaciones!$G$2:$G$401," ","")&amp;";"))*(Afirmaciones!$B$2:$B$401="rag")*(Afirmaciones!$I$2:$I$401="SOSTENIDA"))&gt;0,1,0))</f>
        <v/>
      </c>
    </row>
    <row r="14" spans="1:8" ht="25.5" x14ac:dyDescent="0.25">
      <c r="A14" s="5" t="s">
        <v>95</v>
      </c>
      <c r="B14" s="5" t="s">
        <v>175</v>
      </c>
      <c r="C14" s="5" t="s">
        <v>248</v>
      </c>
      <c r="D14" s="5">
        <v>1</v>
      </c>
      <c r="E14" s="7" t="s">
        <v>78</v>
      </c>
      <c r="F14" s="6" t="str">
        <f>IF(COUNTIFS(Afirmaciones!$A$2:$A$401,$A14,Afirmaciones!$B$2:$B$401,"rag")=0,"",IF(SUMPRODUCT((Afirmaciones!$A$2:$A$401=$A14)*(Afirmaciones!$F$2:$F$401="CORRECTA")*(Afirmaciones!$H$2:$H$401&lt;&gt;"no_resp")*ISNUMBER(SEARCH(";"&amp;$B14&amp;";",";"&amp;SUBSTITUTE(Afirmaciones!$G$2:$G$401," ","")&amp;";"))*(Afirmaciones!$B$2:$B$401="rag"))&gt;0,1,0))</f>
        <v/>
      </c>
      <c r="G14" s="6" t="str">
        <f>IF(COUNTIFS(Afirmaciones!$A$2:$A$401,$A14,Afirmaciones!$B$2:$B$401,"llm")=0,"",IF(SUMPRODUCT((Afirmaciones!$A$2:$A$401=$A14)*(Afirmaciones!$F$2:$F$401="CORRECTA")*(Afirmaciones!$H$2:$H$401&lt;&gt;"no_resp")*ISNUMBER(SEARCH(";"&amp;$B14&amp;";",";"&amp;SUBSTITUTE(Afirmaciones!$G$2:$G$401," ","")&amp;";"))*(Afirmaciones!$B$2:$B$401="llm"))&gt;0,1,0))</f>
        <v/>
      </c>
      <c r="H14" s="6" t="str">
        <f>IF(COUNTIFS(Afirmaciones!$A$2:$A$401,$A14,Afirmaciones!$B$2:$B$401,"rag")=0,"",IF(SUMPRODUCT((Afirmaciones!$A$2:$A$401=$A14)*(Afirmaciones!$F$2:$F$401="CORRECTA")*(Afirmaciones!$H$2:$H$401&lt;&gt;"no_resp")*ISNUMBER(SEARCH(";"&amp;$B14&amp;";",";"&amp;SUBSTITUTE(Afirmaciones!$G$2:$G$401," ","")&amp;";"))*(Afirmaciones!$B$2:$B$401="rag")*(Afirmaciones!$I$2:$I$401="SOSTENIDA"))&gt;0,1,0))</f>
        <v/>
      </c>
    </row>
    <row r="15" spans="1:8" x14ac:dyDescent="0.25">
      <c r="A15" s="5" t="s">
        <v>95</v>
      </c>
      <c r="B15" s="5" t="s">
        <v>183</v>
      </c>
      <c r="C15" s="5" t="s">
        <v>249</v>
      </c>
      <c r="D15" s="5">
        <v>2</v>
      </c>
      <c r="E15" s="7" t="s">
        <v>78</v>
      </c>
      <c r="F15" s="6" t="str">
        <f>IF(COUNTIFS(Afirmaciones!$A$2:$A$401,$A15,Afirmaciones!$B$2:$B$401,"rag")=0,"",IF(SUMPRODUCT((Afirmaciones!$A$2:$A$401=$A15)*(Afirmaciones!$F$2:$F$401="CORRECTA")*(Afirmaciones!$H$2:$H$401&lt;&gt;"no_resp")*ISNUMBER(SEARCH(";"&amp;$B15&amp;";",";"&amp;SUBSTITUTE(Afirmaciones!$G$2:$G$401," ","")&amp;";"))*(Afirmaciones!$B$2:$B$401="rag"))&gt;0,1,0))</f>
        <v/>
      </c>
      <c r="G15" s="6" t="str">
        <f>IF(COUNTIFS(Afirmaciones!$A$2:$A$401,$A15,Afirmaciones!$B$2:$B$401,"llm")=0,"",IF(SUMPRODUCT((Afirmaciones!$A$2:$A$401=$A15)*(Afirmaciones!$F$2:$F$401="CORRECTA")*(Afirmaciones!$H$2:$H$401&lt;&gt;"no_resp")*ISNUMBER(SEARCH(";"&amp;$B15&amp;";",";"&amp;SUBSTITUTE(Afirmaciones!$G$2:$G$401," ","")&amp;";"))*(Afirmaciones!$B$2:$B$401="llm"))&gt;0,1,0))</f>
        <v/>
      </c>
      <c r="H15" s="6" t="str">
        <f>IF(COUNTIFS(Afirmaciones!$A$2:$A$401,$A15,Afirmaciones!$B$2:$B$401,"rag")=0,"",IF(SUMPRODUCT((Afirmaciones!$A$2:$A$401=$A15)*(Afirmaciones!$F$2:$F$401="CORRECTA")*(Afirmaciones!$H$2:$H$401&lt;&gt;"no_resp")*ISNUMBER(SEARCH(";"&amp;$B15&amp;";",";"&amp;SUBSTITUTE(Afirmaciones!$G$2:$G$401," ","")&amp;";"))*(Afirmaciones!$B$2:$B$401="rag")*(Afirmaciones!$I$2:$I$401="SOSTENIDA"))&gt;0,1,0))</f>
        <v/>
      </c>
    </row>
    <row r="16" spans="1:8" x14ac:dyDescent="0.25">
      <c r="A16" s="5" t="s">
        <v>102</v>
      </c>
      <c r="B16" s="5" t="s">
        <v>175</v>
      </c>
      <c r="C16" s="5" t="s">
        <v>250</v>
      </c>
      <c r="D16" s="5">
        <v>2</v>
      </c>
      <c r="E16" s="7" t="s">
        <v>72</v>
      </c>
      <c r="F16" s="6">
        <f>IF(COUNTIFS(Afirmaciones!$A$2:$A$401,$A16,Afirmaciones!$B$2:$B$401,"rag")=0,"",IF(SUMPRODUCT((Afirmaciones!$A$2:$A$401=$A16)*(Afirmaciones!$F$2:$F$401="CORRECTA")*(Afirmaciones!$H$2:$H$401&lt;&gt;"no_resp")*ISNUMBER(SEARCH(";"&amp;$B16&amp;";",";"&amp;SUBSTITUTE(Afirmaciones!$G$2:$G$401," ","")&amp;";"))*(Afirmaciones!$B$2:$B$401="rag"))&gt;0,1,0))</f>
        <v>1</v>
      </c>
      <c r="G16" s="6">
        <f>IF(COUNTIFS(Afirmaciones!$A$2:$A$401,$A16,Afirmaciones!$B$2:$B$401,"llm")=0,"",IF(SUMPRODUCT((Afirmaciones!$A$2:$A$401=$A16)*(Afirmaciones!$F$2:$F$401="CORRECTA")*(Afirmaciones!$H$2:$H$401&lt;&gt;"no_resp")*ISNUMBER(SEARCH(";"&amp;$B16&amp;";",";"&amp;SUBSTITUTE(Afirmaciones!$G$2:$G$401," ","")&amp;";"))*(Afirmaciones!$B$2:$B$401="llm"))&gt;0,1,0))</f>
        <v>0</v>
      </c>
      <c r="H16" s="6">
        <f>IF(COUNTIFS(Afirmaciones!$A$2:$A$401,$A16,Afirmaciones!$B$2:$B$401,"rag")=0,"",IF(SUMPRODUCT((Afirmaciones!$A$2:$A$401=$A16)*(Afirmaciones!$F$2:$F$401="CORRECTA")*(Afirmaciones!$H$2:$H$401&lt;&gt;"no_resp")*ISNUMBER(SEARCH(";"&amp;$B16&amp;";",";"&amp;SUBSTITUTE(Afirmaciones!$G$2:$G$401," ","")&amp;";"))*(Afirmaciones!$B$2:$B$401="rag")*(Afirmaciones!$I$2:$I$401="SOSTENIDA"))&gt;0,1,0))</f>
        <v>0</v>
      </c>
    </row>
    <row r="17" spans="1:8" x14ac:dyDescent="0.25">
      <c r="A17" s="5" t="s">
        <v>102</v>
      </c>
      <c r="B17" s="5" t="s">
        <v>183</v>
      </c>
      <c r="C17" s="5" t="s">
        <v>182</v>
      </c>
      <c r="D17" s="5">
        <v>2</v>
      </c>
      <c r="E17" s="7" t="s">
        <v>251</v>
      </c>
      <c r="F17" s="6">
        <f>IF(COUNTIFS(Afirmaciones!$A$2:$A$401,$A17,Afirmaciones!$B$2:$B$401,"rag")=0,"",IF(SUMPRODUCT((Afirmaciones!$A$2:$A$401=$A17)*(Afirmaciones!$F$2:$F$401="CORRECTA")*(Afirmaciones!$H$2:$H$401&lt;&gt;"no_resp")*ISNUMBER(SEARCH(";"&amp;$B17&amp;";",";"&amp;SUBSTITUTE(Afirmaciones!$G$2:$G$401," ","")&amp;";"))*(Afirmaciones!$B$2:$B$401="rag"))&gt;0,1,0))</f>
        <v>1</v>
      </c>
      <c r="G17" s="6">
        <f>IF(COUNTIFS(Afirmaciones!$A$2:$A$401,$A17,Afirmaciones!$B$2:$B$401,"llm")=0,"",IF(SUMPRODUCT((Afirmaciones!$A$2:$A$401=$A17)*(Afirmaciones!$F$2:$F$401="CORRECTA")*(Afirmaciones!$H$2:$H$401&lt;&gt;"no_resp")*ISNUMBER(SEARCH(";"&amp;$B17&amp;";",";"&amp;SUBSTITUTE(Afirmaciones!$G$2:$G$401," ","")&amp;";"))*(Afirmaciones!$B$2:$B$401="llm"))&gt;0,1,0))</f>
        <v>0</v>
      </c>
      <c r="H17" s="6">
        <f>IF(COUNTIFS(Afirmaciones!$A$2:$A$401,$A17,Afirmaciones!$B$2:$B$401,"rag")=0,"",IF(SUMPRODUCT((Afirmaciones!$A$2:$A$401=$A17)*(Afirmaciones!$F$2:$F$401="CORRECTA")*(Afirmaciones!$H$2:$H$401&lt;&gt;"no_resp")*ISNUMBER(SEARCH(";"&amp;$B17&amp;";",";"&amp;SUBSTITUTE(Afirmaciones!$G$2:$G$401," ","")&amp;";"))*(Afirmaciones!$B$2:$B$401="rag")*(Afirmaciones!$I$2:$I$401="SOSTENIDA"))&gt;0,1,0))</f>
        <v>1</v>
      </c>
    </row>
    <row r="18" spans="1:8" x14ac:dyDescent="0.25">
      <c r="A18" s="5" t="s">
        <v>102</v>
      </c>
      <c r="B18" s="5" t="s">
        <v>203</v>
      </c>
      <c r="C18" s="5" t="s">
        <v>252</v>
      </c>
      <c r="D18" s="5">
        <v>3</v>
      </c>
      <c r="E18" s="7" t="s">
        <v>251</v>
      </c>
      <c r="F18" s="6">
        <f>IF(COUNTIFS(Afirmaciones!$A$2:$A$401,$A18,Afirmaciones!$B$2:$B$401,"rag")=0,"",IF(SUMPRODUCT((Afirmaciones!$A$2:$A$401=$A18)*(Afirmaciones!$F$2:$F$401="CORRECTA")*(Afirmaciones!$H$2:$H$401&lt;&gt;"no_resp")*ISNUMBER(SEARCH(";"&amp;$B18&amp;";",";"&amp;SUBSTITUTE(Afirmaciones!$G$2:$G$401," ","")&amp;";"))*(Afirmaciones!$B$2:$B$401="rag"))&gt;0,1,0))</f>
        <v>0</v>
      </c>
      <c r="G18" s="6">
        <f>IF(COUNTIFS(Afirmaciones!$A$2:$A$401,$A18,Afirmaciones!$B$2:$B$401,"llm")=0,"",IF(SUMPRODUCT((Afirmaciones!$A$2:$A$401=$A18)*(Afirmaciones!$F$2:$F$401="CORRECTA")*(Afirmaciones!$H$2:$H$401&lt;&gt;"no_resp")*ISNUMBER(SEARCH(";"&amp;$B18&amp;";",";"&amp;SUBSTITUTE(Afirmaciones!$G$2:$G$401," ","")&amp;";"))*(Afirmaciones!$B$2:$B$401="llm"))&gt;0,1,0))</f>
        <v>0</v>
      </c>
      <c r="H18" s="6">
        <f>IF(COUNTIFS(Afirmaciones!$A$2:$A$401,$A18,Afirmaciones!$B$2:$B$401,"rag")=0,"",IF(SUMPRODUCT((Afirmaciones!$A$2:$A$401=$A18)*(Afirmaciones!$F$2:$F$401="CORRECTA")*(Afirmaciones!$H$2:$H$401&lt;&gt;"no_resp")*ISNUMBER(SEARCH(";"&amp;$B18&amp;";",";"&amp;SUBSTITUTE(Afirmaciones!$G$2:$G$401," ","")&amp;";"))*(Afirmaciones!$B$2:$B$401="rag")*(Afirmaciones!$I$2:$I$401="SOSTENIDA"))&gt;0,1,0))</f>
        <v>0</v>
      </c>
    </row>
    <row r="19" spans="1:8" x14ac:dyDescent="0.25">
      <c r="A19" s="5" t="s">
        <v>102</v>
      </c>
      <c r="B19" s="5" t="s">
        <v>237</v>
      </c>
      <c r="C19" s="5" t="s">
        <v>253</v>
      </c>
      <c r="D19" s="5">
        <v>3</v>
      </c>
      <c r="E19" s="7" t="s">
        <v>72</v>
      </c>
      <c r="F19" s="6">
        <f>IF(COUNTIFS(Afirmaciones!$A$2:$A$401,$A19,Afirmaciones!$B$2:$B$401,"rag")=0,"",IF(SUMPRODUCT((Afirmaciones!$A$2:$A$401=$A19)*(Afirmaciones!$F$2:$F$401="CORRECTA")*(Afirmaciones!$H$2:$H$401&lt;&gt;"no_resp")*ISNUMBER(SEARCH(";"&amp;$B19&amp;";",";"&amp;SUBSTITUTE(Afirmaciones!$G$2:$G$401," ","")&amp;";"))*(Afirmaciones!$B$2:$B$401="rag"))&gt;0,1,0))</f>
        <v>0</v>
      </c>
      <c r="G19" s="6">
        <f>IF(COUNTIFS(Afirmaciones!$A$2:$A$401,$A19,Afirmaciones!$B$2:$B$401,"llm")=0,"",IF(SUMPRODUCT((Afirmaciones!$A$2:$A$401=$A19)*(Afirmaciones!$F$2:$F$401="CORRECTA")*(Afirmaciones!$H$2:$H$401&lt;&gt;"no_resp")*ISNUMBER(SEARCH(";"&amp;$B19&amp;";",";"&amp;SUBSTITUTE(Afirmaciones!$G$2:$G$401," ","")&amp;";"))*(Afirmaciones!$B$2:$B$401="llm"))&gt;0,1,0))</f>
        <v>0</v>
      </c>
      <c r="H19" s="6">
        <f>IF(COUNTIFS(Afirmaciones!$A$2:$A$401,$A19,Afirmaciones!$B$2:$B$401,"rag")=0,"",IF(SUMPRODUCT((Afirmaciones!$A$2:$A$401=$A19)*(Afirmaciones!$F$2:$F$401="CORRECTA")*(Afirmaciones!$H$2:$H$401&lt;&gt;"no_resp")*ISNUMBER(SEARCH(";"&amp;$B19&amp;";",";"&amp;SUBSTITUTE(Afirmaciones!$G$2:$G$401," ","")&amp;";"))*(Afirmaciones!$B$2:$B$401="rag")*(Afirmaciones!$I$2:$I$401="SOSTENIDA"))&gt;0,1,0))</f>
        <v>0</v>
      </c>
    </row>
    <row r="20" spans="1:8" x14ac:dyDescent="0.25">
      <c r="A20" s="5" t="s">
        <v>110</v>
      </c>
      <c r="B20" s="5" t="s">
        <v>175</v>
      </c>
      <c r="C20" s="5" t="s">
        <v>254</v>
      </c>
      <c r="D20" s="5">
        <v>7</v>
      </c>
      <c r="E20" s="7" t="s">
        <v>78</v>
      </c>
      <c r="F20" s="6">
        <f>IF(COUNTIFS(Afirmaciones!$A$2:$A$401,$A20,Afirmaciones!$B$2:$B$401,"rag")=0,"",IF(SUMPRODUCT((Afirmaciones!$A$2:$A$401=$A20)*(Afirmaciones!$F$2:$F$401="CORRECTA")*(Afirmaciones!$H$2:$H$401&lt;&gt;"no_resp")*ISNUMBER(SEARCH(";"&amp;$B20&amp;";",";"&amp;SUBSTITUTE(Afirmaciones!$G$2:$G$401," ","")&amp;";"))*(Afirmaciones!$B$2:$B$401="rag"))&gt;0,1,0))</f>
        <v>0</v>
      </c>
      <c r="G20" s="6">
        <f>IF(COUNTIFS(Afirmaciones!$A$2:$A$401,$A20,Afirmaciones!$B$2:$B$401,"llm")=0,"",IF(SUMPRODUCT((Afirmaciones!$A$2:$A$401=$A20)*(Afirmaciones!$F$2:$F$401="CORRECTA")*(Afirmaciones!$H$2:$H$401&lt;&gt;"no_resp")*ISNUMBER(SEARCH(";"&amp;$B20&amp;";",";"&amp;SUBSTITUTE(Afirmaciones!$G$2:$G$401," ","")&amp;";"))*(Afirmaciones!$B$2:$B$401="llm"))&gt;0,1,0))</f>
        <v>0</v>
      </c>
      <c r="H20" s="6">
        <f>IF(COUNTIFS(Afirmaciones!$A$2:$A$401,$A20,Afirmaciones!$B$2:$B$401,"rag")=0,"",IF(SUMPRODUCT((Afirmaciones!$A$2:$A$401=$A20)*(Afirmaciones!$F$2:$F$401="CORRECTA")*(Afirmaciones!$H$2:$H$401&lt;&gt;"no_resp")*ISNUMBER(SEARCH(";"&amp;$B20&amp;";",";"&amp;SUBSTITUTE(Afirmaciones!$G$2:$G$401," ","")&amp;";"))*(Afirmaciones!$B$2:$B$401="rag")*(Afirmaciones!$I$2:$I$401="SOSTENIDA"))&gt;0,1,0))</f>
        <v>0</v>
      </c>
    </row>
    <row r="21" spans="1:8" x14ac:dyDescent="0.25">
      <c r="A21" s="5" t="s">
        <v>110</v>
      </c>
      <c r="B21" s="5" t="s">
        <v>183</v>
      </c>
      <c r="C21" s="5" t="s">
        <v>255</v>
      </c>
      <c r="D21" s="5">
        <v>20</v>
      </c>
      <c r="E21" s="7" t="s">
        <v>78</v>
      </c>
      <c r="F21" s="6">
        <f>IF(COUNTIFS(Afirmaciones!$A$2:$A$401,$A21,Afirmaciones!$B$2:$B$401,"rag")=0,"",IF(SUMPRODUCT((Afirmaciones!$A$2:$A$401=$A21)*(Afirmaciones!$F$2:$F$401="CORRECTA")*(Afirmaciones!$H$2:$H$401&lt;&gt;"no_resp")*ISNUMBER(SEARCH(";"&amp;$B21&amp;";",";"&amp;SUBSTITUTE(Afirmaciones!$G$2:$G$401," ","")&amp;";"))*(Afirmaciones!$B$2:$B$401="rag"))&gt;0,1,0))</f>
        <v>1</v>
      </c>
      <c r="G21" s="6">
        <f>IF(COUNTIFS(Afirmaciones!$A$2:$A$401,$A21,Afirmaciones!$B$2:$B$401,"llm")=0,"",IF(SUMPRODUCT((Afirmaciones!$A$2:$A$401=$A21)*(Afirmaciones!$F$2:$F$401="CORRECTA")*(Afirmaciones!$H$2:$H$401&lt;&gt;"no_resp")*ISNUMBER(SEARCH(";"&amp;$B21&amp;";",";"&amp;SUBSTITUTE(Afirmaciones!$G$2:$G$401," ","")&amp;";"))*(Afirmaciones!$B$2:$B$401="llm"))&gt;0,1,0))</f>
        <v>0</v>
      </c>
      <c r="H21" s="6">
        <f>IF(COUNTIFS(Afirmaciones!$A$2:$A$401,$A21,Afirmaciones!$B$2:$B$401,"rag")=0,"",IF(SUMPRODUCT((Afirmaciones!$A$2:$A$401=$A21)*(Afirmaciones!$F$2:$F$401="CORRECTA")*(Afirmaciones!$H$2:$H$401&lt;&gt;"no_resp")*ISNUMBER(SEARCH(";"&amp;$B21&amp;";",";"&amp;SUBSTITUTE(Afirmaciones!$G$2:$G$401," ","")&amp;";"))*(Afirmaciones!$B$2:$B$401="rag")*(Afirmaciones!$I$2:$I$401="SOSTENIDA"))&gt;0,1,0))</f>
        <v>1</v>
      </c>
    </row>
    <row r="22" spans="1:8" x14ac:dyDescent="0.25">
      <c r="A22" s="5" t="s">
        <v>110</v>
      </c>
      <c r="B22" s="5" t="s">
        <v>203</v>
      </c>
      <c r="C22" s="5" t="s">
        <v>256</v>
      </c>
      <c r="D22" s="5">
        <v>8</v>
      </c>
      <c r="E22" s="7" t="s">
        <v>78</v>
      </c>
      <c r="F22" s="6">
        <f>IF(COUNTIFS(Afirmaciones!$A$2:$A$401,$A22,Afirmaciones!$B$2:$B$401,"rag")=0,"",IF(SUMPRODUCT((Afirmaciones!$A$2:$A$401=$A22)*(Afirmaciones!$F$2:$F$401="CORRECTA")*(Afirmaciones!$H$2:$H$401&lt;&gt;"no_resp")*ISNUMBER(SEARCH(";"&amp;$B22&amp;";",";"&amp;SUBSTITUTE(Afirmaciones!$G$2:$G$401," ","")&amp;";"))*(Afirmaciones!$B$2:$B$401="rag"))&gt;0,1,0))</f>
        <v>1</v>
      </c>
      <c r="G22" s="6">
        <f>IF(COUNTIFS(Afirmaciones!$A$2:$A$401,$A22,Afirmaciones!$B$2:$B$401,"llm")=0,"",IF(SUMPRODUCT((Afirmaciones!$A$2:$A$401=$A22)*(Afirmaciones!$F$2:$F$401="CORRECTA")*(Afirmaciones!$H$2:$H$401&lt;&gt;"no_resp")*ISNUMBER(SEARCH(";"&amp;$B22&amp;";",";"&amp;SUBSTITUTE(Afirmaciones!$G$2:$G$401," ","")&amp;";"))*(Afirmaciones!$B$2:$B$401="llm"))&gt;0,1,0))</f>
        <v>0</v>
      </c>
      <c r="H22" s="6">
        <f>IF(COUNTIFS(Afirmaciones!$A$2:$A$401,$A22,Afirmaciones!$B$2:$B$401,"rag")=0,"",IF(SUMPRODUCT((Afirmaciones!$A$2:$A$401=$A22)*(Afirmaciones!$F$2:$F$401="CORRECTA")*(Afirmaciones!$H$2:$H$401&lt;&gt;"no_resp")*ISNUMBER(SEARCH(";"&amp;$B22&amp;";",";"&amp;SUBSTITUTE(Afirmaciones!$G$2:$G$401," ","")&amp;";"))*(Afirmaciones!$B$2:$B$401="rag")*(Afirmaciones!$I$2:$I$401="SOSTENIDA"))&gt;0,1,0))</f>
        <v>1</v>
      </c>
    </row>
    <row r="23" spans="1:8" ht="25.5" x14ac:dyDescent="0.25">
      <c r="A23" s="5" t="s">
        <v>118</v>
      </c>
      <c r="B23" s="5" t="s">
        <v>175</v>
      </c>
      <c r="C23" s="5" t="s">
        <v>257</v>
      </c>
      <c r="D23" s="5">
        <v>4</v>
      </c>
      <c r="E23" s="7" t="s">
        <v>78</v>
      </c>
      <c r="F23" s="6" t="str">
        <f>IF(COUNTIFS(Afirmaciones!$A$2:$A$401,$A23,Afirmaciones!$B$2:$B$401,"rag")=0,"",IF(SUMPRODUCT((Afirmaciones!$A$2:$A$401=$A23)*(Afirmaciones!$F$2:$F$401="CORRECTA")*(Afirmaciones!$H$2:$H$401&lt;&gt;"no_resp")*ISNUMBER(SEARCH(";"&amp;$B23&amp;";",";"&amp;SUBSTITUTE(Afirmaciones!$G$2:$G$401," ","")&amp;";"))*(Afirmaciones!$B$2:$B$401="rag"))&gt;0,1,0))</f>
        <v/>
      </c>
      <c r="G23" s="6" t="str">
        <f>IF(COUNTIFS(Afirmaciones!$A$2:$A$401,$A23,Afirmaciones!$B$2:$B$401,"llm")=0,"",IF(SUMPRODUCT((Afirmaciones!$A$2:$A$401=$A23)*(Afirmaciones!$F$2:$F$401="CORRECTA")*(Afirmaciones!$H$2:$H$401&lt;&gt;"no_resp")*ISNUMBER(SEARCH(";"&amp;$B23&amp;";",";"&amp;SUBSTITUTE(Afirmaciones!$G$2:$G$401," ","")&amp;";"))*(Afirmaciones!$B$2:$B$401="llm"))&gt;0,1,0))</f>
        <v/>
      </c>
      <c r="H23" s="6" t="str">
        <f>IF(COUNTIFS(Afirmaciones!$A$2:$A$401,$A23,Afirmaciones!$B$2:$B$401,"rag")=0,"",IF(SUMPRODUCT((Afirmaciones!$A$2:$A$401=$A23)*(Afirmaciones!$F$2:$F$401="CORRECTA")*(Afirmaciones!$H$2:$H$401&lt;&gt;"no_resp")*ISNUMBER(SEARCH(";"&amp;$B23&amp;";",";"&amp;SUBSTITUTE(Afirmaciones!$G$2:$G$401," ","")&amp;";"))*(Afirmaciones!$B$2:$B$401="rag")*(Afirmaciones!$I$2:$I$401="SOSTENIDA"))&gt;0,1,0))</f>
        <v/>
      </c>
    </row>
    <row r="24" spans="1:8" x14ac:dyDescent="0.25">
      <c r="A24" s="5" t="s">
        <v>118</v>
      </c>
      <c r="B24" s="5" t="s">
        <v>183</v>
      </c>
      <c r="C24" s="5" t="s">
        <v>258</v>
      </c>
      <c r="D24" s="5">
        <v>1</v>
      </c>
      <c r="E24" s="7" t="s">
        <v>78</v>
      </c>
      <c r="F24" s="6" t="str">
        <f>IF(COUNTIFS(Afirmaciones!$A$2:$A$401,$A24,Afirmaciones!$B$2:$B$401,"rag")=0,"",IF(SUMPRODUCT((Afirmaciones!$A$2:$A$401=$A24)*(Afirmaciones!$F$2:$F$401="CORRECTA")*(Afirmaciones!$H$2:$H$401&lt;&gt;"no_resp")*ISNUMBER(SEARCH(";"&amp;$B24&amp;";",";"&amp;SUBSTITUTE(Afirmaciones!$G$2:$G$401," ","")&amp;";"))*(Afirmaciones!$B$2:$B$401="rag"))&gt;0,1,0))</f>
        <v/>
      </c>
      <c r="G24" s="6" t="str">
        <f>IF(COUNTIFS(Afirmaciones!$A$2:$A$401,$A24,Afirmaciones!$B$2:$B$401,"llm")=0,"",IF(SUMPRODUCT((Afirmaciones!$A$2:$A$401=$A24)*(Afirmaciones!$F$2:$F$401="CORRECTA")*(Afirmaciones!$H$2:$H$401&lt;&gt;"no_resp")*ISNUMBER(SEARCH(";"&amp;$B24&amp;";",";"&amp;SUBSTITUTE(Afirmaciones!$G$2:$G$401," ","")&amp;";"))*(Afirmaciones!$B$2:$B$401="llm"))&gt;0,1,0))</f>
        <v/>
      </c>
      <c r="H24" s="6" t="str">
        <f>IF(COUNTIFS(Afirmaciones!$A$2:$A$401,$A24,Afirmaciones!$B$2:$B$401,"rag")=0,"",IF(SUMPRODUCT((Afirmaciones!$A$2:$A$401=$A24)*(Afirmaciones!$F$2:$F$401="CORRECTA")*(Afirmaciones!$H$2:$H$401&lt;&gt;"no_resp")*ISNUMBER(SEARCH(";"&amp;$B24&amp;";",";"&amp;SUBSTITUTE(Afirmaciones!$G$2:$G$401," ","")&amp;";"))*(Afirmaciones!$B$2:$B$401="rag")*(Afirmaciones!$I$2:$I$401="SOSTENIDA"))&gt;0,1,0))</f>
        <v/>
      </c>
    </row>
    <row r="25" spans="1:8" x14ac:dyDescent="0.25">
      <c r="A25" s="5" t="s">
        <v>118</v>
      </c>
      <c r="B25" s="5" t="s">
        <v>203</v>
      </c>
      <c r="C25" s="5" t="s">
        <v>259</v>
      </c>
      <c r="D25" s="5">
        <v>1</v>
      </c>
      <c r="E25" s="7" t="s">
        <v>78</v>
      </c>
      <c r="F25" s="6" t="str">
        <f>IF(COUNTIFS(Afirmaciones!$A$2:$A$401,$A25,Afirmaciones!$B$2:$B$401,"rag")=0,"",IF(SUMPRODUCT((Afirmaciones!$A$2:$A$401=$A25)*(Afirmaciones!$F$2:$F$401="CORRECTA")*(Afirmaciones!$H$2:$H$401&lt;&gt;"no_resp")*ISNUMBER(SEARCH(";"&amp;$B25&amp;";",";"&amp;SUBSTITUTE(Afirmaciones!$G$2:$G$401," ","")&amp;";"))*(Afirmaciones!$B$2:$B$401="rag"))&gt;0,1,0))</f>
        <v/>
      </c>
      <c r="G25" s="6" t="str">
        <f>IF(COUNTIFS(Afirmaciones!$A$2:$A$401,$A25,Afirmaciones!$B$2:$B$401,"llm")=0,"",IF(SUMPRODUCT((Afirmaciones!$A$2:$A$401=$A25)*(Afirmaciones!$F$2:$F$401="CORRECTA")*(Afirmaciones!$H$2:$H$401&lt;&gt;"no_resp")*ISNUMBER(SEARCH(";"&amp;$B25&amp;";",";"&amp;SUBSTITUTE(Afirmaciones!$G$2:$G$401," ","")&amp;";"))*(Afirmaciones!$B$2:$B$401="llm"))&gt;0,1,0))</f>
        <v/>
      </c>
      <c r="H25" s="6" t="str">
        <f>IF(COUNTIFS(Afirmaciones!$A$2:$A$401,$A25,Afirmaciones!$B$2:$B$401,"rag")=0,"",IF(SUMPRODUCT((Afirmaciones!$A$2:$A$401=$A25)*(Afirmaciones!$F$2:$F$401="CORRECTA")*(Afirmaciones!$H$2:$H$401&lt;&gt;"no_resp")*ISNUMBER(SEARCH(";"&amp;$B25&amp;";",";"&amp;SUBSTITUTE(Afirmaciones!$G$2:$G$401," ","")&amp;";"))*(Afirmaciones!$B$2:$B$401="rag")*(Afirmaciones!$I$2:$I$401="SOSTENIDA"))&gt;0,1,0))</f>
        <v/>
      </c>
    </row>
    <row r="26" spans="1:8" x14ac:dyDescent="0.25">
      <c r="A26" s="5" t="s">
        <v>123</v>
      </c>
      <c r="B26" s="5" t="s">
        <v>175</v>
      </c>
      <c r="C26" s="5" t="s">
        <v>260</v>
      </c>
      <c r="D26" s="5">
        <v>1</v>
      </c>
      <c r="E26" s="7" t="s">
        <v>72</v>
      </c>
      <c r="F26" s="6" t="str">
        <f>IF(COUNTIFS(Afirmaciones!$A$2:$A$401,$A26,Afirmaciones!$B$2:$B$401,"rag")=0,"",IF(SUMPRODUCT((Afirmaciones!$A$2:$A$401=$A26)*(Afirmaciones!$F$2:$F$401="CORRECTA")*(Afirmaciones!$H$2:$H$401&lt;&gt;"no_resp")*ISNUMBER(SEARCH(";"&amp;$B26&amp;";",";"&amp;SUBSTITUTE(Afirmaciones!$G$2:$G$401," ","")&amp;";"))*(Afirmaciones!$B$2:$B$401="rag"))&gt;0,1,0))</f>
        <v/>
      </c>
      <c r="G26" s="6" t="str">
        <f>IF(COUNTIFS(Afirmaciones!$A$2:$A$401,$A26,Afirmaciones!$B$2:$B$401,"llm")=0,"",IF(SUMPRODUCT((Afirmaciones!$A$2:$A$401=$A26)*(Afirmaciones!$F$2:$F$401="CORRECTA")*(Afirmaciones!$H$2:$H$401&lt;&gt;"no_resp")*ISNUMBER(SEARCH(";"&amp;$B26&amp;";",";"&amp;SUBSTITUTE(Afirmaciones!$G$2:$G$401," ","")&amp;";"))*(Afirmaciones!$B$2:$B$401="llm"))&gt;0,1,0))</f>
        <v/>
      </c>
      <c r="H26" s="6" t="str">
        <f>IF(COUNTIFS(Afirmaciones!$A$2:$A$401,$A26,Afirmaciones!$B$2:$B$401,"rag")=0,"",IF(SUMPRODUCT((Afirmaciones!$A$2:$A$401=$A26)*(Afirmaciones!$F$2:$F$401="CORRECTA")*(Afirmaciones!$H$2:$H$401&lt;&gt;"no_resp")*ISNUMBER(SEARCH(";"&amp;$B26&amp;";",";"&amp;SUBSTITUTE(Afirmaciones!$G$2:$G$401," ","")&amp;";"))*(Afirmaciones!$B$2:$B$401="rag")*(Afirmaciones!$I$2:$I$401="SOSTENIDA"))&gt;0,1,0))</f>
        <v/>
      </c>
    </row>
    <row r="27" spans="1:8" x14ac:dyDescent="0.25">
      <c r="A27" s="5" t="s">
        <v>123</v>
      </c>
      <c r="B27" s="5" t="s">
        <v>183</v>
      </c>
      <c r="C27" s="5" t="s">
        <v>261</v>
      </c>
      <c r="D27" s="5">
        <v>1</v>
      </c>
      <c r="E27" s="7" t="s">
        <v>72</v>
      </c>
      <c r="F27" s="6" t="str">
        <f>IF(COUNTIFS(Afirmaciones!$A$2:$A$401,$A27,Afirmaciones!$B$2:$B$401,"rag")=0,"",IF(SUMPRODUCT((Afirmaciones!$A$2:$A$401=$A27)*(Afirmaciones!$F$2:$F$401="CORRECTA")*(Afirmaciones!$H$2:$H$401&lt;&gt;"no_resp")*ISNUMBER(SEARCH(";"&amp;$B27&amp;";",";"&amp;SUBSTITUTE(Afirmaciones!$G$2:$G$401," ","")&amp;";"))*(Afirmaciones!$B$2:$B$401="rag"))&gt;0,1,0))</f>
        <v/>
      </c>
      <c r="G27" s="6" t="str">
        <f>IF(COUNTIFS(Afirmaciones!$A$2:$A$401,$A27,Afirmaciones!$B$2:$B$401,"llm")=0,"",IF(SUMPRODUCT((Afirmaciones!$A$2:$A$401=$A27)*(Afirmaciones!$F$2:$F$401="CORRECTA")*(Afirmaciones!$H$2:$H$401&lt;&gt;"no_resp")*ISNUMBER(SEARCH(";"&amp;$B27&amp;";",";"&amp;SUBSTITUTE(Afirmaciones!$G$2:$G$401," ","")&amp;";"))*(Afirmaciones!$B$2:$B$401="llm"))&gt;0,1,0))</f>
        <v/>
      </c>
      <c r="H27" s="6" t="str">
        <f>IF(COUNTIFS(Afirmaciones!$A$2:$A$401,$A27,Afirmaciones!$B$2:$B$401,"rag")=0,"",IF(SUMPRODUCT((Afirmaciones!$A$2:$A$401=$A27)*(Afirmaciones!$F$2:$F$401="CORRECTA")*(Afirmaciones!$H$2:$H$401&lt;&gt;"no_resp")*ISNUMBER(SEARCH(";"&amp;$B27&amp;";",";"&amp;SUBSTITUTE(Afirmaciones!$G$2:$G$401," ","")&amp;";"))*(Afirmaciones!$B$2:$B$401="rag")*(Afirmaciones!$I$2:$I$401="SOSTENIDA"))&gt;0,1,0))</f>
        <v/>
      </c>
    </row>
    <row r="28" spans="1:8" x14ac:dyDescent="0.25">
      <c r="A28" s="5" t="s">
        <v>123</v>
      </c>
      <c r="B28" s="5" t="s">
        <v>203</v>
      </c>
      <c r="C28" s="5" t="s">
        <v>262</v>
      </c>
      <c r="D28" s="5">
        <v>1</v>
      </c>
      <c r="E28" s="7" t="s">
        <v>72</v>
      </c>
      <c r="F28" s="6" t="str">
        <f>IF(COUNTIFS(Afirmaciones!$A$2:$A$401,$A28,Afirmaciones!$B$2:$B$401,"rag")=0,"",IF(SUMPRODUCT((Afirmaciones!$A$2:$A$401=$A28)*(Afirmaciones!$F$2:$F$401="CORRECTA")*(Afirmaciones!$H$2:$H$401&lt;&gt;"no_resp")*ISNUMBER(SEARCH(";"&amp;$B28&amp;";",";"&amp;SUBSTITUTE(Afirmaciones!$G$2:$G$401," ","")&amp;";"))*(Afirmaciones!$B$2:$B$401="rag"))&gt;0,1,0))</f>
        <v/>
      </c>
      <c r="G28" s="6" t="str">
        <f>IF(COUNTIFS(Afirmaciones!$A$2:$A$401,$A28,Afirmaciones!$B$2:$B$401,"llm")=0,"",IF(SUMPRODUCT((Afirmaciones!$A$2:$A$401=$A28)*(Afirmaciones!$F$2:$F$401="CORRECTA")*(Afirmaciones!$H$2:$H$401&lt;&gt;"no_resp")*ISNUMBER(SEARCH(";"&amp;$B28&amp;";",";"&amp;SUBSTITUTE(Afirmaciones!$G$2:$G$401," ","")&amp;";"))*(Afirmaciones!$B$2:$B$401="llm"))&gt;0,1,0))</f>
        <v/>
      </c>
      <c r="H28" s="6" t="str">
        <f>IF(COUNTIFS(Afirmaciones!$A$2:$A$401,$A28,Afirmaciones!$B$2:$B$401,"rag")=0,"",IF(SUMPRODUCT((Afirmaciones!$A$2:$A$401=$A28)*(Afirmaciones!$F$2:$F$401="CORRECTA")*(Afirmaciones!$H$2:$H$401&lt;&gt;"no_resp")*ISNUMBER(SEARCH(";"&amp;$B28&amp;";",";"&amp;SUBSTITUTE(Afirmaciones!$G$2:$G$401," ","")&amp;";"))*(Afirmaciones!$B$2:$B$401="rag")*(Afirmaciones!$I$2:$I$401="SOSTENIDA"))&gt;0,1,0))</f>
        <v/>
      </c>
    </row>
    <row r="29" spans="1:8" x14ac:dyDescent="0.25">
      <c r="A29" s="5" t="s">
        <v>130</v>
      </c>
      <c r="B29" s="5" t="s">
        <v>175</v>
      </c>
      <c r="C29" s="5" t="s">
        <v>263</v>
      </c>
      <c r="D29" s="5">
        <v>1</v>
      </c>
      <c r="E29" s="7" t="s">
        <v>72</v>
      </c>
      <c r="F29" s="6">
        <f>IF(COUNTIFS(Afirmaciones!$A$2:$A$401,$A29,Afirmaciones!$B$2:$B$401,"rag")=0,"",IF(SUMPRODUCT((Afirmaciones!$A$2:$A$401=$A29)*(Afirmaciones!$F$2:$F$401="CORRECTA")*(Afirmaciones!$H$2:$H$401&lt;&gt;"no_resp")*ISNUMBER(SEARCH(";"&amp;$B29&amp;";",";"&amp;SUBSTITUTE(Afirmaciones!$G$2:$G$401," ","")&amp;";"))*(Afirmaciones!$B$2:$B$401="rag"))&gt;0,1,0))</f>
        <v>0</v>
      </c>
      <c r="G29" s="6">
        <f>IF(COUNTIFS(Afirmaciones!$A$2:$A$401,$A29,Afirmaciones!$B$2:$B$401,"llm")=0,"",IF(SUMPRODUCT((Afirmaciones!$A$2:$A$401=$A29)*(Afirmaciones!$F$2:$F$401="CORRECTA")*(Afirmaciones!$H$2:$H$401&lt;&gt;"no_resp")*ISNUMBER(SEARCH(";"&amp;$B29&amp;";",";"&amp;SUBSTITUTE(Afirmaciones!$G$2:$G$401," ","")&amp;";"))*(Afirmaciones!$B$2:$B$401="llm"))&gt;0,1,0))</f>
        <v>0</v>
      </c>
      <c r="H29" s="6">
        <f>IF(COUNTIFS(Afirmaciones!$A$2:$A$401,$A29,Afirmaciones!$B$2:$B$401,"rag")=0,"",IF(SUMPRODUCT((Afirmaciones!$A$2:$A$401=$A29)*(Afirmaciones!$F$2:$F$401="CORRECTA")*(Afirmaciones!$H$2:$H$401&lt;&gt;"no_resp")*ISNUMBER(SEARCH(";"&amp;$B29&amp;";",";"&amp;SUBSTITUTE(Afirmaciones!$G$2:$G$401," ","")&amp;";"))*(Afirmaciones!$B$2:$B$401="rag")*(Afirmaciones!$I$2:$I$401="SOSTENIDA"))&gt;0,1,0))</f>
        <v>0</v>
      </c>
    </row>
    <row r="30" spans="1:8" x14ac:dyDescent="0.25">
      <c r="A30" s="5" t="s">
        <v>130</v>
      </c>
      <c r="B30" s="5" t="s">
        <v>183</v>
      </c>
      <c r="C30" s="5" t="s">
        <v>264</v>
      </c>
      <c r="D30" s="5">
        <v>1</v>
      </c>
      <c r="E30" s="7" t="s">
        <v>72</v>
      </c>
      <c r="F30" s="6">
        <f>IF(COUNTIFS(Afirmaciones!$A$2:$A$401,$A30,Afirmaciones!$B$2:$B$401,"rag")=0,"",IF(SUMPRODUCT((Afirmaciones!$A$2:$A$401=$A30)*(Afirmaciones!$F$2:$F$401="CORRECTA")*(Afirmaciones!$H$2:$H$401&lt;&gt;"no_resp")*ISNUMBER(SEARCH(";"&amp;$B30&amp;";",";"&amp;SUBSTITUTE(Afirmaciones!$G$2:$G$401," ","")&amp;";"))*(Afirmaciones!$B$2:$B$401="rag"))&gt;0,1,0))</f>
        <v>0</v>
      </c>
      <c r="G30" s="6">
        <f>IF(COUNTIFS(Afirmaciones!$A$2:$A$401,$A30,Afirmaciones!$B$2:$B$401,"llm")=0,"",IF(SUMPRODUCT((Afirmaciones!$A$2:$A$401=$A30)*(Afirmaciones!$F$2:$F$401="CORRECTA")*(Afirmaciones!$H$2:$H$401&lt;&gt;"no_resp")*ISNUMBER(SEARCH(";"&amp;$B30&amp;";",";"&amp;SUBSTITUTE(Afirmaciones!$G$2:$G$401," ","")&amp;";"))*(Afirmaciones!$B$2:$B$401="llm"))&gt;0,1,0))</f>
        <v>0</v>
      </c>
      <c r="H30" s="6">
        <f>IF(COUNTIFS(Afirmaciones!$A$2:$A$401,$A30,Afirmaciones!$B$2:$B$401,"rag")=0,"",IF(SUMPRODUCT((Afirmaciones!$A$2:$A$401=$A30)*(Afirmaciones!$F$2:$F$401="CORRECTA")*(Afirmaciones!$H$2:$H$401&lt;&gt;"no_resp")*ISNUMBER(SEARCH(";"&amp;$B30&amp;";",";"&amp;SUBSTITUTE(Afirmaciones!$G$2:$G$401," ","")&amp;";"))*(Afirmaciones!$B$2:$B$401="rag")*(Afirmaciones!$I$2:$I$401="SOSTENIDA"))&gt;0,1,0))</f>
        <v>0</v>
      </c>
    </row>
    <row r="31" spans="1:8" x14ac:dyDescent="0.25">
      <c r="A31" s="5" t="s">
        <v>130</v>
      </c>
      <c r="B31" s="5" t="s">
        <v>203</v>
      </c>
      <c r="C31" s="5" t="s">
        <v>265</v>
      </c>
      <c r="D31" s="5">
        <v>1</v>
      </c>
      <c r="E31" s="7" t="s">
        <v>72</v>
      </c>
      <c r="F31" s="6">
        <f>IF(COUNTIFS(Afirmaciones!$A$2:$A$401,$A31,Afirmaciones!$B$2:$B$401,"rag")=0,"",IF(SUMPRODUCT((Afirmaciones!$A$2:$A$401=$A31)*(Afirmaciones!$F$2:$F$401="CORRECTA")*(Afirmaciones!$H$2:$H$401&lt;&gt;"no_resp")*ISNUMBER(SEARCH(";"&amp;$B31&amp;";",";"&amp;SUBSTITUTE(Afirmaciones!$G$2:$G$401," ","")&amp;";"))*(Afirmaciones!$B$2:$B$401="rag"))&gt;0,1,0))</f>
        <v>0</v>
      </c>
      <c r="G31" s="6">
        <f>IF(COUNTIFS(Afirmaciones!$A$2:$A$401,$A31,Afirmaciones!$B$2:$B$401,"llm")=0,"",IF(SUMPRODUCT((Afirmaciones!$A$2:$A$401=$A31)*(Afirmaciones!$F$2:$F$401="CORRECTA")*(Afirmaciones!$H$2:$H$401&lt;&gt;"no_resp")*ISNUMBER(SEARCH(";"&amp;$B31&amp;";",";"&amp;SUBSTITUTE(Afirmaciones!$G$2:$G$401," ","")&amp;";"))*(Afirmaciones!$B$2:$B$401="llm"))&gt;0,1,0))</f>
        <v>1</v>
      </c>
      <c r="H31" s="6">
        <f>IF(COUNTIFS(Afirmaciones!$A$2:$A$401,$A31,Afirmaciones!$B$2:$B$401,"rag")=0,"",IF(SUMPRODUCT((Afirmaciones!$A$2:$A$401=$A31)*(Afirmaciones!$F$2:$F$401="CORRECTA")*(Afirmaciones!$H$2:$H$401&lt;&gt;"no_resp")*ISNUMBER(SEARCH(";"&amp;$B31&amp;";",";"&amp;SUBSTITUTE(Afirmaciones!$G$2:$G$401," ","")&amp;";"))*(Afirmaciones!$B$2:$B$401="rag")*(Afirmaciones!$I$2:$I$401="SOSTENIDA"))&gt;0,1,0))</f>
        <v>0</v>
      </c>
    </row>
    <row r="32" spans="1:8" x14ac:dyDescent="0.25">
      <c r="A32" s="5" t="s">
        <v>130</v>
      </c>
      <c r="B32" s="5" t="s">
        <v>237</v>
      </c>
      <c r="C32" s="5" t="s">
        <v>238</v>
      </c>
      <c r="D32" s="5">
        <v>1</v>
      </c>
      <c r="E32" s="7" t="s">
        <v>72</v>
      </c>
      <c r="F32" s="6">
        <f>IF(COUNTIFS(Afirmaciones!$A$2:$A$401,$A32,Afirmaciones!$B$2:$B$401,"rag")=0,"",IF(SUMPRODUCT((Afirmaciones!$A$2:$A$401=$A32)*(Afirmaciones!$F$2:$F$401="CORRECTA")*(Afirmaciones!$H$2:$H$401&lt;&gt;"no_resp")*ISNUMBER(SEARCH(";"&amp;$B32&amp;";",";"&amp;SUBSTITUTE(Afirmaciones!$G$2:$G$401," ","")&amp;";"))*(Afirmaciones!$B$2:$B$401="rag"))&gt;0,1,0))</f>
        <v>0</v>
      </c>
      <c r="G32" s="6">
        <f>IF(COUNTIFS(Afirmaciones!$A$2:$A$401,$A32,Afirmaciones!$B$2:$B$401,"llm")=0,"",IF(SUMPRODUCT((Afirmaciones!$A$2:$A$401=$A32)*(Afirmaciones!$F$2:$F$401="CORRECTA")*(Afirmaciones!$H$2:$H$401&lt;&gt;"no_resp")*ISNUMBER(SEARCH(";"&amp;$B32&amp;";",";"&amp;SUBSTITUTE(Afirmaciones!$G$2:$G$401," ","")&amp;";"))*(Afirmaciones!$B$2:$B$401="llm"))&gt;0,1,0))</f>
        <v>0</v>
      </c>
      <c r="H32" s="6">
        <f>IF(COUNTIFS(Afirmaciones!$A$2:$A$401,$A32,Afirmaciones!$B$2:$B$401,"rag")=0,"",IF(SUMPRODUCT((Afirmaciones!$A$2:$A$401=$A32)*(Afirmaciones!$F$2:$F$401="CORRECTA")*(Afirmaciones!$H$2:$H$401&lt;&gt;"no_resp")*ISNUMBER(SEARCH(";"&amp;$B32&amp;";",";"&amp;SUBSTITUTE(Afirmaciones!$G$2:$G$401," ","")&amp;";"))*(Afirmaciones!$B$2:$B$401="rag")*(Afirmaciones!$I$2:$I$401="SOSTENIDA"))&gt;0,1,0))</f>
        <v>0</v>
      </c>
    </row>
    <row r="33" spans="1:8" x14ac:dyDescent="0.25">
      <c r="A33" s="5" t="s">
        <v>130</v>
      </c>
      <c r="B33" s="5" t="s">
        <v>201</v>
      </c>
      <c r="C33" s="5" t="s">
        <v>266</v>
      </c>
      <c r="D33" s="5">
        <v>2</v>
      </c>
      <c r="E33" s="7" t="s">
        <v>78</v>
      </c>
      <c r="F33" s="6">
        <f>IF(COUNTIFS(Afirmaciones!$A$2:$A$401,$A33,Afirmaciones!$B$2:$B$401,"rag")=0,"",IF(SUMPRODUCT((Afirmaciones!$A$2:$A$401=$A33)*(Afirmaciones!$F$2:$F$401="CORRECTA")*(Afirmaciones!$H$2:$H$401&lt;&gt;"no_resp")*ISNUMBER(SEARCH(";"&amp;$B33&amp;";",";"&amp;SUBSTITUTE(Afirmaciones!$G$2:$G$401," ","")&amp;";"))*(Afirmaciones!$B$2:$B$401="rag"))&gt;0,1,0))</f>
        <v>0</v>
      </c>
      <c r="G33" s="6">
        <f>IF(COUNTIFS(Afirmaciones!$A$2:$A$401,$A33,Afirmaciones!$B$2:$B$401,"llm")=0,"",IF(SUMPRODUCT((Afirmaciones!$A$2:$A$401=$A33)*(Afirmaciones!$F$2:$F$401="CORRECTA")*(Afirmaciones!$H$2:$H$401&lt;&gt;"no_resp")*ISNUMBER(SEARCH(";"&amp;$B33&amp;";",";"&amp;SUBSTITUTE(Afirmaciones!$G$2:$G$401," ","")&amp;";"))*(Afirmaciones!$B$2:$B$401="llm"))&gt;0,1,0))</f>
        <v>1</v>
      </c>
      <c r="H33" s="6">
        <f>IF(COUNTIFS(Afirmaciones!$A$2:$A$401,$A33,Afirmaciones!$B$2:$B$401,"rag")=0,"",IF(SUMPRODUCT((Afirmaciones!$A$2:$A$401=$A33)*(Afirmaciones!$F$2:$F$401="CORRECTA")*(Afirmaciones!$H$2:$H$401&lt;&gt;"no_resp")*ISNUMBER(SEARCH(";"&amp;$B33&amp;";",";"&amp;SUBSTITUTE(Afirmaciones!$G$2:$G$401," ","")&amp;";"))*(Afirmaciones!$B$2:$B$401="rag")*(Afirmaciones!$I$2:$I$401="SOSTENIDA"))&gt;0,1,0))</f>
        <v>0</v>
      </c>
    </row>
    <row r="34" spans="1:8" x14ac:dyDescent="0.25">
      <c r="A34" s="5" t="s">
        <v>130</v>
      </c>
      <c r="B34" s="5" t="s">
        <v>267</v>
      </c>
      <c r="C34" s="5" t="s">
        <v>268</v>
      </c>
      <c r="D34" s="5">
        <v>1</v>
      </c>
      <c r="E34" s="7" t="s">
        <v>78</v>
      </c>
      <c r="F34" s="6">
        <f>IF(COUNTIFS(Afirmaciones!$A$2:$A$401,$A34,Afirmaciones!$B$2:$B$401,"rag")=0,"",IF(SUMPRODUCT((Afirmaciones!$A$2:$A$401=$A34)*(Afirmaciones!$F$2:$F$401="CORRECTA")*(Afirmaciones!$H$2:$H$401&lt;&gt;"no_resp")*ISNUMBER(SEARCH(";"&amp;$B34&amp;";",";"&amp;SUBSTITUTE(Afirmaciones!$G$2:$G$401," ","")&amp;";"))*(Afirmaciones!$B$2:$B$401="rag"))&gt;0,1,0))</f>
        <v>0</v>
      </c>
      <c r="G34" s="6">
        <f>IF(COUNTIFS(Afirmaciones!$A$2:$A$401,$A34,Afirmaciones!$B$2:$B$401,"llm")=0,"",IF(SUMPRODUCT((Afirmaciones!$A$2:$A$401=$A34)*(Afirmaciones!$F$2:$F$401="CORRECTA")*(Afirmaciones!$H$2:$H$401&lt;&gt;"no_resp")*ISNUMBER(SEARCH(";"&amp;$B34&amp;";",";"&amp;SUBSTITUTE(Afirmaciones!$G$2:$G$401," ","")&amp;";"))*(Afirmaciones!$B$2:$B$401="llm"))&gt;0,1,0))</f>
        <v>0</v>
      </c>
      <c r="H34" s="6">
        <f>IF(COUNTIFS(Afirmaciones!$A$2:$A$401,$A34,Afirmaciones!$B$2:$B$401,"rag")=0,"",IF(SUMPRODUCT((Afirmaciones!$A$2:$A$401=$A34)*(Afirmaciones!$F$2:$F$401="CORRECTA")*(Afirmaciones!$H$2:$H$401&lt;&gt;"no_resp")*ISNUMBER(SEARCH(";"&amp;$B34&amp;";",";"&amp;SUBSTITUTE(Afirmaciones!$G$2:$G$401," ","")&amp;";"))*(Afirmaciones!$B$2:$B$401="rag")*(Afirmaciones!$I$2:$I$401="SOSTENIDA"))&gt;0,1,0))</f>
        <v>0</v>
      </c>
    </row>
  </sheetData>
  <sheetProtection sheet="1" formatColumns="0" formatRows="0" sort="0" autoFilter="0"/>
  <dataValidations count="1">
    <dataValidation type="list" allowBlank="1" sqref="E2:E201" xr:uid="{00000000-0002-0000-0300-000000000000}">
      <formula1>"SI,ALT,ALT-P,NO"</formula1>
    </dataValidation>
  </dataValidation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66"/>
  <sheetViews>
    <sheetView workbookViewId="0">
      <pane ySplit="1" topLeftCell="A5" activePane="bottomLeft" state="frozen"/>
      <selection pane="bottomLeft"/>
    </sheetView>
  </sheetViews>
  <sheetFormatPr baseColWidth="10" defaultColWidth="9.140625" defaultRowHeight="15" x14ac:dyDescent="0.25"/>
  <cols>
    <col min="1" max="1" width="7" customWidth="1"/>
    <col min="2" max="2" width="6" customWidth="1"/>
    <col min="3" max="3" width="38" customWidth="1"/>
    <col min="4" max="4" width="11" customWidth="1"/>
    <col min="5" max="6" width="8" customWidth="1"/>
    <col min="7" max="7" width="110" customWidth="1"/>
  </cols>
  <sheetData>
    <row r="1" spans="1:7" ht="33.950000000000003" customHeight="1" x14ac:dyDescent="0.25">
      <c r="A1" s="3" t="s">
        <v>32</v>
      </c>
      <c r="B1" s="3" t="s">
        <v>269</v>
      </c>
      <c r="C1" s="3" t="s">
        <v>270</v>
      </c>
      <c r="D1" s="3" t="s">
        <v>271</v>
      </c>
      <c r="E1" s="3" t="s">
        <v>272</v>
      </c>
      <c r="F1" s="3" t="s">
        <v>273</v>
      </c>
      <c r="G1" s="3" t="s">
        <v>274</v>
      </c>
    </row>
    <row r="2" spans="1:7" ht="120" customHeight="1" x14ac:dyDescent="0.25">
      <c r="A2" s="2" t="s">
        <v>65</v>
      </c>
      <c r="B2" s="2">
        <v>1</v>
      </c>
      <c r="C2" s="2" t="s">
        <v>275</v>
      </c>
      <c r="D2" s="2" t="s">
        <v>276</v>
      </c>
      <c r="E2" s="2" t="s">
        <v>277</v>
      </c>
      <c r="F2" s="2">
        <v>1</v>
      </c>
      <c r="G2" s="2" t="s">
        <v>278</v>
      </c>
    </row>
    <row r="3" spans="1:7" ht="120" customHeight="1" x14ac:dyDescent="0.25">
      <c r="A3" s="2" t="s">
        <v>65</v>
      </c>
      <c r="B3" s="2">
        <v>2</v>
      </c>
      <c r="C3" s="2" t="s">
        <v>279</v>
      </c>
      <c r="D3" s="2" t="s">
        <v>280</v>
      </c>
      <c r="E3" s="2" t="s">
        <v>281</v>
      </c>
      <c r="F3" s="2">
        <v>0.39219999999999999</v>
      </c>
      <c r="G3" s="2" t="s">
        <v>282</v>
      </c>
    </row>
    <row r="4" spans="1:7" ht="120" customHeight="1" x14ac:dyDescent="0.25">
      <c r="A4" s="2" t="s">
        <v>65</v>
      </c>
      <c r="B4" s="2">
        <v>3</v>
      </c>
      <c r="C4" s="2" t="s">
        <v>283</v>
      </c>
      <c r="D4" s="2" t="s">
        <v>284</v>
      </c>
      <c r="E4" s="2" t="s">
        <v>285</v>
      </c>
      <c r="F4" s="2">
        <v>0.33329999999999999</v>
      </c>
      <c r="G4" s="2" t="s">
        <v>286</v>
      </c>
    </row>
    <row r="5" spans="1:7" ht="120" customHeight="1" x14ac:dyDescent="0.25">
      <c r="A5" s="2" t="s">
        <v>65</v>
      </c>
      <c r="B5" s="2">
        <v>4</v>
      </c>
      <c r="C5" s="2" t="s">
        <v>287</v>
      </c>
      <c r="D5" s="2" t="s">
        <v>288</v>
      </c>
      <c r="E5" s="2" t="s">
        <v>289</v>
      </c>
      <c r="F5" s="2">
        <v>0.25559999999999999</v>
      </c>
      <c r="G5" s="2" t="s">
        <v>290</v>
      </c>
    </row>
    <row r="6" spans="1:7" ht="120" customHeight="1" x14ac:dyDescent="0.25">
      <c r="A6" s="2" t="s">
        <v>65</v>
      </c>
      <c r="B6" s="2">
        <v>5</v>
      </c>
      <c r="C6" s="2" t="s">
        <v>291</v>
      </c>
      <c r="D6" s="2" t="s">
        <v>292</v>
      </c>
      <c r="E6" s="2" t="s">
        <v>281</v>
      </c>
      <c r="F6" s="2">
        <v>0.25</v>
      </c>
      <c r="G6" s="2" t="s">
        <v>293</v>
      </c>
    </row>
    <row r="7" spans="1:7" ht="120" customHeight="1" x14ac:dyDescent="0.25">
      <c r="A7" s="2" t="s">
        <v>80</v>
      </c>
      <c r="B7" s="2">
        <v>1</v>
      </c>
      <c r="C7" s="2" t="s">
        <v>294</v>
      </c>
      <c r="D7" s="2" t="s">
        <v>295</v>
      </c>
      <c r="E7" s="2" t="s">
        <v>296</v>
      </c>
      <c r="F7" s="2">
        <v>0.5</v>
      </c>
      <c r="G7" s="2" t="s">
        <v>297</v>
      </c>
    </row>
    <row r="8" spans="1:7" ht="120" customHeight="1" x14ac:dyDescent="0.25">
      <c r="A8" s="2" t="s">
        <v>80</v>
      </c>
      <c r="B8" s="2">
        <v>2</v>
      </c>
      <c r="C8" s="2" t="s">
        <v>298</v>
      </c>
      <c r="D8" s="2" t="s">
        <v>299</v>
      </c>
      <c r="E8" s="2" t="s">
        <v>300</v>
      </c>
      <c r="F8" s="2">
        <v>0.5</v>
      </c>
      <c r="G8" s="2" t="s">
        <v>301</v>
      </c>
    </row>
    <row r="9" spans="1:7" ht="120" customHeight="1" x14ac:dyDescent="0.25">
      <c r="A9" s="2" t="s">
        <v>80</v>
      </c>
      <c r="B9" s="2">
        <v>3</v>
      </c>
      <c r="C9" s="2" t="s">
        <v>302</v>
      </c>
      <c r="D9" s="2" t="s">
        <v>303</v>
      </c>
      <c r="E9" s="2" t="s">
        <v>304</v>
      </c>
      <c r="F9" s="2">
        <v>0.36109999999999998</v>
      </c>
      <c r="G9" s="2" t="s">
        <v>305</v>
      </c>
    </row>
    <row r="10" spans="1:7" ht="120" customHeight="1" x14ac:dyDescent="0.25">
      <c r="A10" s="2" t="s">
        <v>80</v>
      </c>
      <c r="B10" s="2">
        <v>4</v>
      </c>
      <c r="C10" s="2" t="s">
        <v>306</v>
      </c>
      <c r="D10" s="2" t="s">
        <v>307</v>
      </c>
      <c r="E10" s="2" t="s">
        <v>281</v>
      </c>
      <c r="F10" s="2">
        <v>0.33329999999999999</v>
      </c>
      <c r="G10" s="2" t="s">
        <v>308</v>
      </c>
    </row>
    <row r="11" spans="1:7" ht="120" customHeight="1" x14ac:dyDescent="0.25">
      <c r="A11" s="2" t="s">
        <v>80</v>
      </c>
      <c r="B11" s="2">
        <v>5</v>
      </c>
      <c r="C11" s="2" t="s">
        <v>309</v>
      </c>
      <c r="D11" s="2" t="s">
        <v>310</v>
      </c>
      <c r="E11" s="2" t="s">
        <v>311</v>
      </c>
      <c r="F11" s="2">
        <v>0.33329999999999999</v>
      </c>
      <c r="G11" s="2" t="s">
        <v>312</v>
      </c>
    </row>
    <row r="12" spans="1:7" ht="120" customHeight="1" x14ac:dyDescent="0.25">
      <c r="A12" s="2" t="s">
        <v>88</v>
      </c>
      <c r="B12" s="2">
        <v>1</v>
      </c>
      <c r="C12" s="2" t="s">
        <v>313</v>
      </c>
      <c r="D12" s="2" t="s">
        <v>314</v>
      </c>
      <c r="E12" s="2" t="s">
        <v>315</v>
      </c>
      <c r="F12" s="2">
        <v>1</v>
      </c>
      <c r="G12" s="2" t="s">
        <v>316</v>
      </c>
    </row>
    <row r="13" spans="1:7" ht="120" customHeight="1" x14ac:dyDescent="0.25">
      <c r="A13" s="2" t="s">
        <v>88</v>
      </c>
      <c r="B13" s="2">
        <v>2</v>
      </c>
      <c r="C13" s="2" t="s">
        <v>317</v>
      </c>
      <c r="D13" s="2" t="s">
        <v>318</v>
      </c>
      <c r="E13" s="2" t="s">
        <v>304</v>
      </c>
      <c r="F13" s="2">
        <v>0.33329999999999999</v>
      </c>
      <c r="G13" s="2" t="s">
        <v>319</v>
      </c>
    </row>
    <row r="14" spans="1:7" ht="120" customHeight="1" x14ac:dyDescent="0.25">
      <c r="A14" s="2" t="s">
        <v>88</v>
      </c>
      <c r="B14" s="2">
        <v>3</v>
      </c>
      <c r="C14" s="2" t="s">
        <v>320</v>
      </c>
      <c r="D14" s="2" t="s">
        <v>321</v>
      </c>
      <c r="E14" s="2" t="s">
        <v>128</v>
      </c>
      <c r="F14" s="2">
        <v>0.33329999999999999</v>
      </c>
      <c r="G14" s="2" t="s">
        <v>322</v>
      </c>
    </row>
    <row r="15" spans="1:7" ht="120" customHeight="1" x14ac:dyDescent="0.25">
      <c r="A15" s="2" t="s">
        <v>88</v>
      </c>
      <c r="B15" s="2">
        <v>4</v>
      </c>
      <c r="C15" s="2" t="s">
        <v>323</v>
      </c>
      <c r="D15" s="2" t="s">
        <v>324</v>
      </c>
      <c r="E15" s="2" t="s">
        <v>128</v>
      </c>
      <c r="F15" s="2">
        <v>0.25</v>
      </c>
      <c r="G15" s="2" t="s">
        <v>325</v>
      </c>
    </row>
    <row r="16" spans="1:7" ht="120" customHeight="1" x14ac:dyDescent="0.25">
      <c r="A16" s="2" t="s">
        <v>88</v>
      </c>
      <c r="B16" s="2">
        <v>5</v>
      </c>
      <c r="C16" s="2" t="s">
        <v>326</v>
      </c>
      <c r="D16" s="2" t="s">
        <v>327</v>
      </c>
      <c r="E16" s="2" t="s">
        <v>315</v>
      </c>
      <c r="F16" s="2">
        <v>0.25</v>
      </c>
      <c r="G16" s="2" t="s">
        <v>328</v>
      </c>
    </row>
    <row r="17" spans="1:7" ht="120" customHeight="1" x14ac:dyDescent="0.25">
      <c r="A17" s="2" t="s">
        <v>95</v>
      </c>
      <c r="B17" s="2">
        <v>1</v>
      </c>
      <c r="C17" s="2" t="s">
        <v>329</v>
      </c>
      <c r="D17" s="2" t="s">
        <v>330</v>
      </c>
      <c r="E17" s="2" t="s">
        <v>304</v>
      </c>
      <c r="F17" s="2">
        <v>1</v>
      </c>
      <c r="G17" s="2" t="s">
        <v>331</v>
      </c>
    </row>
    <row r="18" spans="1:7" ht="120" customHeight="1" x14ac:dyDescent="0.25">
      <c r="A18" s="2" t="s">
        <v>95</v>
      </c>
      <c r="B18" s="2">
        <v>2</v>
      </c>
      <c r="C18" s="2" t="s">
        <v>332</v>
      </c>
      <c r="D18" s="2" t="s">
        <v>333</v>
      </c>
      <c r="E18" s="2" t="s">
        <v>334</v>
      </c>
      <c r="F18" s="2">
        <v>0.66669999999999996</v>
      </c>
      <c r="G18" s="2" t="s">
        <v>335</v>
      </c>
    </row>
    <row r="19" spans="1:7" ht="120" customHeight="1" x14ac:dyDescent="0.25">
      <c r="A19" s="2" t="s">
        <v>95</v>
      </c>
      <c r="B19" s="2">
        <v>3</v>
      </c>
      <c r="C19" s="2" t="s">
        <v>336</v>
      </c>
      <c r="D19" s="2" t="s">
        <v>337</v>
      </c>
      <c r="E19" s="2" t="s">
        <v>296</v>
      </c>
      <c r="F19" s="2">
        <v>0.3</v>
      </c>
      <c r="G19" s="2" t="s">
        <v>338</v>
      </c>
    </row>
    <row r="20" spans="1:7" ht="120" customHeight="1" x14ac:dyDescent="0.25">
      <c r="A20" s="2" t="s">
        <v>95</v>
      </c>
      <c r="B20" s="2">
        <v>4</v>
      </c>
      <c r="C20" s="2" t="s">
        <v>339</v>
      </c>
      <c r="D20" s="2" t="s">
        <v>340</v>
      </c>
      <c r="E20" s="2" t="s">
        <v>281</v>
      </c>
      <c r="F20" s="2">
        <v>0.2576</v>
      </c>
      <c r="G20" s="2" t="s">
        <v>341</v>
      </c>
    </row>
    <row r="21" spans="1:7" ht="120" customHeight="1" x14ac:dyDescent="0.25">
      <c r="A21" s="2" t="s">
        <v>95</v>
      </c>
      <c r="B21" s="2">
        <v>5</v>
      </c>
      <c r="C21" s="2" t="s">
        <v>342</v>
      </c>
      <c r="D21" s="2" t="s">
        <v>343</v>
      </c>
      <c r="E21" s="2" t="s">
        <v>344</v>
      </c>
      <c r="F21" s="2">
        <v>0.25</v>
      </c>
      <c r="G21" s="2" t="s">
        <v>345</v>
      </c>
    </row>
    <row r="22" spans="1:7" ht="120" customHeight="1" x14ac:dyDescent="0.25">
      <c r="A22" s="2" t="s">
        <v>102</v>
      </c>
      <c r="B22" s="2">
        <v>1</v>
      </c>
      <c r="C22" s="2" t="s">
        <v>346</v>
      </c>
      <c r="D22" s="2" t="s">
        <v>347</v>
      </c>
      <c r="E22" s="2" t="s">
        <v>348</v>
      </c>
      <c r="F22" s="2">
        <v>0.75</v>
      </c>
      <c r="G22" s="2" t="s">
        <v>349</v>
      </c>
    </row>
    <row r="23" spans="1:7" ht="120" customHeight="1" x14ac:dyDescent="0.25">
      <c r="A23" s="2" t="s">
        <v>102</v>
      </c>
      <c r="B23" s="2">
        <v>2</v>
      </c>
      <c r="C23" s="2" t="s">
        <v>350</v>
      </c>
      <c r="D23" s="2" t="s">
        <v>347</v>
      </c>
      <c r="E23" s="2" t="s">
        <v>74</v>
      </c>
      <c r="F23" s="2">
        <v>0.55559999999999998</v>
      </c>
      <c r="G23" s="2" t="s">
        <v>351</v>
      </c>
    </row>
    <row r="24" spans="1:7" ht="120" customHeight="1" x14ac:dyDescent="0.25">
      <c r="A24" s="2" t="s">
        <v>102</v>
      </c>
      <c r="B24" s="2">
        <v>3</v>
      </c>
      <c r="C24" s="2" t="s">
        <v>352</v>
      </c>
      <c r="D24" s="2" t="s">
        <v>353</v>
      </c>
      <c r="E24" s="2" t="s">
        <v>354</v>
      </c>
      <c r="F24" s="2">
        <v>0.44440000000000002</v>
      </c>
      <c r="G24" s="2" t="s">
        <v>355</v>
      </c>
    </row>
    <row r="25" spans="1:7" ht="120" customHeight="1" x14ac:dyDescent="0.25">
      <c r="A25" s="2" t="s">
        <v>102</v>
      </c>
      <c r="B25" s="2">
        <v>4</v>
      </c>
      <c r="C25" s="2" t="s">
        <v>356</v>
      </c>
      <c r="D25" s="2" t="s">
        <v>357</v>
      </c>
      <c r="E25" s="2" t="s">
        <v>281</v>
      </c>
      <c r="F25" s="2">
        <v>0.33329999999999999</v>
      </c>
      <c r="G25" s="2" t="s">
        <v>358</v>
      </c>
    </row>
    <row r="26" spans="1:7" ht="120" customHeight="1" x14ac:dyDescent="0.25">
      <c r="A26" s="2" t="s">
        <v>102</v>
      </c>
      <c r="B26" s="2">
        <v>5</v>
      </c>
      <c r="C26" s="2" t="s">
        <v>359</v>
      </c>
      <c r="D26" s="2" t="s">
        <v>360</v>
      </c>
      <c r="E26" s="2" t="s">
        <v>361</v>
      </c>
      <c r="F26" s="2">
        <v>0.30259999999999998</v>
      </c>
      <c r="G26" s="2" t="s">
        <v>362</v>
      </c>
    </row>
    <row r="27" spans="1:7" ht="120" customHeight="1" x14ac:dyDescent="0.25">
      <c r="A27" s="2" t="s">
        <v>110</v>
      </c>
      <c r="B27" s="2">
        <v>1</v>
      </c>
      <c r="C27" s="2" t="s">
        <v>363</v>
      </c>
      <c r="D27" s="2" t="s">
        <v>364</v>
      </c>
      <c r="E27" s="2" t="s">
        <v>281</v>
      </c>
      <c r="F27" s="2">
        <v>0.5</v>
      </c>
      <c r="G27" s="2" t="s">
        <v>365</v>
      </c>
    </row>
    <row r="28" spans="1:7" ht="120" customHeight="1" x14ac:dyDescent="0.25">
      <c r="A28" s="2" t="s">
        <v>110</v>
      </c>
      <c r="B28" s="2">
        <v>2</v>
      </c>
      <c r="C28" s="2" t="s">
        <v>366</v>
      </c>
      <c r="D28" s="2" t="s">
        <v>284</v>
      </c>
      <c r="E28" s="2" t="s">
        <v>128</v>
      </c>
      <c r="F28" s="2">
        <v>0.5</v>
      </c>
      <c r="G28" s="2" t="s">
        <v>367</v>
      </c>
    </row>
    <row r="29" spans="1:7" ht="120" customHeight="1" x14ac:dyDescent="0.25">
      <c r="A29" s="2" t="s">
        <v>110</v>
      </c>
      <c r="B29" s="2">
        <v>3</v>
      </c>
      <c r="C29" s="2" t="s">
        <v>368</v>
      </c>
      <c r="D29" s="2" t="s">
        <v>369</v>
      </c>
      <c r="E29" s="2" t="s">
        <v>281</v>
      </c>
      <c r="F29" s="2">
        <v>0.38600000000000001</v>
      </c>
      <c r="G29" s="2" t="s">
        <v>370</v>
      </c>
    </row>
    <row r="30" spans="1:7" ht="120" customHeight="1" x14ac:dyDescent="0.25">
      <c r="A30" s="2" t="s">
        <v>110</v>
      </c>
      <c r="B30" s="2">
        <v>4</v>
      </c>
      <c r="C30" s="2" t="s">
        <v>371</v>
      </c>
      <c r="D30" s="2" t="s">
        <v>372</v>
      </c>
      <c r="E30" s="2" t="s">
        <v>311</v>
      </c>
      <c r="F30" s="2">
        <v>0.36670000000000003</v>
      </c>
      <c r="G30" s="2" t="s">
        <v>373</v>
      </c>
    </row>
    <row r="31" spans="1:7" ht="120" customHeight="1" x14ac:dyDescent="0.25">
      <c r="A31" s="2" t="s">
        <v>110</v>
      </c>
      <c r="B31" s="2">
        <v>5</v>
      </c>
      <c r="C31" s="2" t="s">
        <v>374</v>
      </c>
      <c r="D31" s="2" t="s">
        <v>372</v>
      </c>
      <c r="E31" s="2" t="s">
        <v>135</v>
      </c>
      <c r="F31" s="2">
        <v>0.33329999999999999</v>
      </c>
      <c r="G31" s="2" t="s">
        <v>375</v>
      </c>
    </row>
    <row r="32" spans="1:7" ht="120" customHeight="1" x14ac:dyDescent="0.25">
      <c r="A32" s="2" t="s">
        <v>118</v>
      </c>
      <c r="B32" s="2">
        <v>1</v>
      </c>
      <c r="C32" s="2" t="s">
        <v>376</v>
      </c>
      <c r="D32" s="2" t="s">
        <v>377</v>
      </c>
      <c r="E32" s="2" t="s">
        <v>378</v>
      </c>
      <c r="F32" s="2">
        <v>1</v>
      </c>
      <c r="G32" s="2" t="s">
        <v>379</v>
      </c>
    </row>
    <row r="33" spans="1:7" ht="120" customHeight="1" x14ac:dyDescent="0.25">
      <c r="A33" s="2" t="s">
        <v>118</v>
      </c>
      <c r="B33" s="2">
        <v>2</v>
      </c>
      <c r="C33" s="2" t="s">
        <v>380</v>
      </c>
      <c r="D33" s="2" t="s">
        <v>377</v>
      </c>
      <c r="E33" s="2" t="s">
        <v>381</v>
      </c>
      <c r="F33" s="2">
        <v>0.5</v>
      </c>
      <c r="G33" s="2" t="s">
        <v>382</v>
      </c>
    </row>
    <row r="34" spans="1:7" ht="120" customHeight="1" x14ac:dyDescent="0.25">
      <c r="A34" s="2" t="s">
        <v>118</v>
      </c>
      <c r="B34" s="2">
        <v>3</v>
      </c>
      <c r="C34" s="2" t="s">
        <v>383</v>
      </c>
      <c r="D34" s="2" t="s">
        <v>377</v>
      </c>
      <c r="E34" s="2" t="s">
        <v>384</v>
      </c>
      <c r="F34" s="2">
        <v>0.47620000000000001</v>
      </c>
      <c r="G34" s="2" t="s">
        <v>385</v>
      </c>
    </row>
    <row r="35" spans="1:7" ht="120" customHeight="1" x14ac:dyDescent="0.25">
      <c r="A35" s="2" t="s">
        <v>118</v>
      </c>
      <c r="B35" s="2">
        <v>4</v>
      </c>
      <c r="C35" s="2" t="s">
        <v>386</v>
      </c>
      <c r="D35" s="2" t="s">
        <v>387</v>
      </c>
      <c r="E35" s="2" t="s">
        <v>304</v>
      </c>
      <c r="F35" s="2">
        <v>0.41670000000000001</v>
      </c>
      <c r="G35" s="2" t="s">
        <v>388</v>
      </c>
    </row>
    <row r="36" spans="1:7" ht="120" customHeight="1" x14ac:dyDescent="0.25">
      <c r="A36" s="2" t="s">
        <v>118</v>
      </c>
      <c r="B36" s="2">
        <v>5</v>
      </c>
      <c r="C36" s="2" t="s">
        <v>389</v>
      </c>
      <c r="D36" s="2" t="s">
        <v>390</v>
      </c>
      <c r="E36" s="2" t="s">
        <v>391</v>
      </c>
      <c r="F36" s="2">
        <v>0.39290000000000003</v>
      </c>
      <c r="G36" s="2" t="s">
        <v>392</v>
      </c>
    </row>
    <row r="37" spans="1:7" ht="120" customHeight="1" x14ac:dyDescent="0.25">
      <c r="A37" s="2" t="s">
        <v>123</v>
      </c>
      <c r="B37" s="2">
        <v>1</v>
      </c>
      <c r="C37" s="2" t="s">
        <v>383</v>
      </c>
      <c r="D37" s="2" t="s">
        <v>377</v>
      </c>
      <c r="E37" s="2" t="s">
        <v>384</v>
      </c>
      <c r="F37" s="2">
        <v>0.83330000000000004</v>
      </c>
      <c r="G37" s="2" t="s">
        <v>385</v>
      </c>
    </row>
    <row r="38" spans="1:7" ht="120" customHeight="1" x14ac:dyDescent="0.25">
      <c r="A38" s="2" t="s">
        <v>123</v>
      </c>
      <c r="B38" s="2">
        <v>2</v>
      </c>
      <c r="C38" s="2" t="s">
        <v>386</v>
      </c>
      <c r="D38" s="2" t="s">
        <v>387</v>
      </c>
      <c r="E38" s="2" t="s">
        <v>304</v>
      </c>
      <c r="F38" s="2">
        <v>0.83330000000000004</v>
      </c>
      <c r="G38" s="2" t="s">
        <v>388</v>
      </c>
    </row>
    <row r="39" spans="1:7" ht="120" customHeight="1" x14ac:dyDescent="0.25">
      <c r="A39" s="2" t="s">
        <v>123</v>
      </c>
      <c r="B39" s="2">
        <v>3</v>
      </c>
      <c r="C39" s="2" t="s">
        <v>393</v>
      </c>
      <c r="D39" s="2" t="s">
        <v>377</v>
      </c>
      <c r="E39" s="2" t="s">
        <v>394</v>
      </c>
      <c r="F39" s="2">
        <v>0.29089999999999999</v>
      </c>
      <c r="G39" s="2" t="s">
        <v>395</v>
      </c>
    </row>
    <row r="40" spans="1:7" ht="120" customHeight="1" x14ac:dyDescent="0.25">
      <c r="A40" s="2" t="s">
        <v>123</v>
      </c>
      <c r="B40" s="2">
        <v>4</v>
      </c>
      <c r="C40" s="2" t="s">
        <v>396</v>
      </c>
      <c r="D40" s="2" t="s">
        <v>397</v>
      </c>
      <c r="E40" s="2" t="s">
        <v>296</v>
      </c>
      <c r="F40" s="2">
        <v>0.25</v>
      </c>
      <c r="G40" s="2" t="s">
        <v>398</v>
      </c>
    </row>
    <row r="41" spans="1:7" ht="120" customHeight="1" x14ac:dyDescent="0.25">
      <c r="A41" s="2" t="s">
        <v>123</v>
      </c>
      <c r="B41" s="2">
        <v>5</v>
      </c>
      <c r="C41" s="2" t="s">
        <v>399</v>
      </c>
      <c r="D41" s="2" t="s">
        <v>400</v>
      </c>
      <c r="E41" s="2" t="s">
        <v>74</v>
      </c>
      <c r="F41" s="2">
        <v>0.25</v>
      </c>
      <c r="G41" s="2" t="s">
        <v>401</v>
      </c>
    </row>
    <row r="42" spans="1:7" ht="120" customHeight="1" x14ac:dyDescent="0.25">
      <c r="A42" s="2" t="s">
        <v>130</v>
      </c>
      <c r="B42" s="2">
        <v>1</v>
      </c>
      <c r="C42" s="2" t="s">
        <v>402</v>
      </c>
      <c r="D42" s="2" t="s">
        <v>403</v>
      </c>
      <c r="E42" s="2" t="s">
        <v>311</v>
      </c>
      <c r="F42" s="2">
        <v>0.57689999999999997</v>
      </c>
      <c r="G42" s="2" t="s">
        <v>404</v>
      </c>
    </row>
    <row r="43" spans="1:7" ht="120" customHeight="1" x14ac:dyDescent="0.25">
      <c r="A43" s="2" t="s">
        <v>130</v>
      </c>
      <c r="B43" s="2">
        <v>2</v>
      </c>
      <c r="C43" s="2" t="s">
        <v>298</v>
      </c>
      <c r="D43" s="2" t="s">
        <v>299</v>
      </c>
      <c r="E43" s="2" t="s">
        <v>300</v>
      </c>
      <c r="F43" s="2">
        <v>0.5</v>
      </c>
      <c r="G43" s="2" t="s">
        <v>301</v>
      </c>
    </row>
    <row r="44" spans="1:7" ht="120" customHeight="1" x14ac:dyDescent="0.25">
      <c r="A44" s="2" t="s">
        <v>130</v>
      </c>
      <c r="B44" s="2">
        <v>3</v>
      </c>
      <c r="C44" s="2" t="s">
        <v>405</v>
      </c>
      <c r="D44" s="2" t="s">
        <v>299</v>
      </c>
      <c r="E44" s="2" t="s">
        <v>406</v>
      </c>
      <c r="F44" s="2">
        <v>0.35</v>
      </c>
      <c r="G44" s="2" t="s">
        <v>407</v>
      </c>
    </row>
    <row r="45" spans="1:7" ht="120" customHeight="1" x14ac:dyDescent="0.25">
      <c r="A45" s="2" t="s">
        <v>130</v>
      </c>
      <c r="B45" s="2">
        <v>4</v>
      </c>
      <c r="C45" s="2" t="s">
        <v>408</v>
      </c>
      <c r="D45" s="2" t="s">
        <v>409</v>
      </c>
      <c r="E45" s="2" t="s">
        <v>300</v>
      </c>
      <c r="F45" s="2">
        <v>0.33329999999999999</v>
      </c>
      <c r="G45" s="2" t="s">
        <v>410</v>
      </c>
    </row>
    <row r="46" spans="1:7" ht="120" customHeight="1" x14ac:dyDescent="0.25">
      <c r="A46" s="2" t="s">
        <v>130</v>
      </c>
      <c r="B46" s="2">
        <v>5</v>
      </c>
      <c r="C46" s="2" t="s">
        <v>411</v>
      </c>
      <c r="D46" s="2" t="s">
        <v>299</v>
      </c>
      <c r="E46" s="2" t="s">
        <v>344</v>
      </c>
      <c r="F46" s="2">
        <v>0.33329999999999999</v>
      </c>
      <c r="G46" s="2" t="s">
        <v>412</v>
      </c>
    </row>
    <row r="47" spans="1:7" ht="120" customHeight="1" x14ac:dyDescent="0.25">
      <c r="A47" s="2" t="s">
        <v>139</v>
      </c>
      <c r="B47" s="2">
        <v>1</v>
      </c>
      <c r="C47" s="2" t="s">
        <v>413</v>
      </c>
      <c r="D47" s="2" t="s">
        <v>414</v>
      </c>
      <c r="E47" s="2" t="s">
        <v>74</v>
      </c>
      <c r="F47" s="2">
        <v>1</v>
      </c>
      <c r="G47" s="2" t="s">
        <v>415</v>
      </c>
    </row>
    <row r="48" spans="1:7" ht="120" customHeight="1" x14ac:dyDescent="0.25">
      <c r="A48" s="2" t="s">
        <v>139</v>
      </c>
      <c r="B48" s="2">
        <v>2</v>
      </c>
      <c r="C48" s="2" t="s">
        <v>416</v>
      </c>
      <c r="D48" s="2" t="s">
        <v>417</v>
      </c>
      <c r="E48" s="2" t="s">
        <v>304</v>
      </c>
      <c r="F48" s="2">
        <v>0.41670000000000001</v>
      </c>
      <c r="G48" s="2" t="s">
        <v>418</v>
      </c>
    </row>
    <row r="49" spans="1:7" ht="120" customHeight="1" x14ac:dyDescent="0.25">
      <c r="A49" s="2" t="s">
        <v>139</v>
      </c>
      <c r="B49" s="2">
        <v>3</v>
      </c>
      <c r="C49" s="2" t="s">
        <v>419</v>
      </c>
      <c r="D49" s="2" t="s">
        <v>420</v>
      </c>
      <c r="E49" s="2" t="s">
        <v>421</v>
      </c>
      <c r="F49" s="2">
        <v>0.39290000000000003</v>
      </c>
      <c r="G49" s="2" t="s">
        <v>422</v>
      </c>
    </row>
    <row r="50" spans="1:7" ht="120" customHeight="1" x14ac:dyDescent="0.25">
      <c r="A50" s="2" t="s">
        <v>139</v>
      </c>
      <c r="B50" s="2">
        <v>4</v>
      </c>
      <c r="C50" s="2" t="s">
        <v>423</v>
      </c>
      <c r="D50" s="2" t="s">
        <v>424</v>
      </c>
      <c r="E50" s="2" t="s">
        <v>315</v>
      </c>
      <c r="F50" s="2">
        <v>0.38329999999999997</v>
      </c>
      <c r="G50" s="2" t="s">
        <v>425</v>
      </c>
    </row>
    <row r="51" spans="1:7" ht="120" customHeight="1" x14ac:dyDescent="0.25">
      <c r="A51" s="2" t="s">
        <v>139</v>
      </c>
      <c r="B51" s="2">
        <v>5</v>
      </c>
      <c r="C51" s="2" t="s">
        <v>426</v>
      </c>
      <c r="D51" s="2" t="s">
        <v>420</v>
      </c>
      <c r="E51" s="2" t="s">
        <v>427</v>
      </c>
      <c r="F51" s="2">
        <v>0.33329999999999999</v>
      </c>
      <c r="G51" s="2" t="s">
        <v>428</v>
      </c>
    </row>
    <row r="52" spans="1:7" ht="120" customHeight="1" x14ac:dyDescent="0.25">
      <c r="A52" s="2" t="s">
        <v>148</v>
      </c>
      <c r="B52" s="2">
        <v>1</v>
      </c>
      <c r="C52" s="2" t="s">
        <v>429</v>
      </c>
      <c r="D52" s="2" t="s">
        <v>430</v>
      </c>
      <c r="E52" s="2" t="s">
        <v>391</v>
      </c>
      <c r="F52" s="2">
        <v>0.5</v>
      </c>
      <c r="G52" s="2" t="s">
        <v>431</v>
      </c>
    </row>
    <row r="53" spans="1:7" ht="120" customHeight="1" x14ac:dyDescent="0.25">
      <c r="A53" s="2" t="s">
        <v>148</v>
      </c>
      <c r="B53" s="2">
        <v>2</v>
      </c>
      <c r="C53" s="2" t="s">
        <v>432</v>
      </c>
      <c r="D53" s="2" t="s">
        <v>433</v>
      </c>
      <c r="E53" s="2" t="s">
        <v>296</v>
      </c>
      <c r="F53" s="2">
        <v>0.5</v>
      </c>
      <c r="G53" s="2" t="s">
        <v>434</v>
      </c>
    </row>
    <row r="54" spans="1:7" ht="120" customHeight="1" x14ac:dyDescent="0.25">
      <c r="A54" s="2" t="s">
        <v>148</v>
      </c>
      <c r="B54" s="2">
        <v>3</v>
      </c>
      <c r="C54" s="2" t="s">
        <v>435</v>
      </c>
      <c r="D54" s="2" t="s">
        <v>436</v>
      </c>
      <c r="E54" s="2" t="s">
        <v>437</v>
      </c>
      <c r="F54" s="2">
        <v>0.33329999999999999</v>
      </c>
      <c r="G54" s="2" t="s">
        <v>438</v>
      </c>
    </row>
    <row r="55" spans="1:7" ht="120" customHeight="1" x14ac:dyDescent="0.25">
      <c r="A55" s="2" t="s">
        <v>148</v>
      </c>
      <c r="B55" s="2">
        <v>4</v>
      </c>
      <c r="C55" s="2" t="s">
        <v>439</v>
      </c>
      <c r="D55" s="2" t="s">
        <v>440</v>
      </c>
      <c r="E55" s="2" t="s">
        <v>304</v>
      </c>
      <c r="F55" s="2">
        <v>0.33329999999999999</v>
      </c>
      <c r="G55" s="2" t="s">
        <v>441</v>
      </c>
    </row>
    <row r="56" spans="1:7" ht="120" customHeight="1" x14ac:dyDescent="0.25">
      <c r="A56" s="2" t="s">
        <v>148</v>
      </c>
      <c r="B56" s="2">
        <v>5</v>
      </c>
      <c r="C56" s="2" t="s">
        <v>442</v>
      </c>
      <c r="D56" s="2" t="s">
        <v>443</v>
      </c>
      <c r="E56" s="2" t="s">
        <v>281</v>
      </c>
      <c r="F56" s="2">
        <v>0.27139999999999997</v>
      </c>
      <c r="G56" s="2" t="s">
        <v>444</v>
      </c>
    </row>
    <row r="57" spans="1:7" ht="120" customHeight="1" x14ac:dyDescent="0.25">
      <c r="A57" s="2" t="s">
        <v>154</v>
      </c>
      <c r="B57" s="2">
        <v>1</v>
      </c>
      <c r="C57" s="2" t="s">
        <v>445</v>
      </c>
      <c r="D57" s="2" t="s">
        <v>446</v>
      </c>
      <c r="E57" s="2" t="s">
        <v>281</v>
      </c>
      <c r="F57" s="2">
        <v>0.5</v>
      </c>
      <c r="G57" s="2" t="s">
        <v>447</v>
      </c>
    </row>
    <row r="58" spans="1:7" ht="120" customHeight="1" x14ac:dyDescent="0.25">
      <c r="A58" s="2" t="s">
        <v>154</v>
      </c>
      <c r="B58" s="2">
        <v>2</v>
      </c>
      <c r="C58" s="2" t="s">
        <v>448</v>
      </c>
      <c r="D58" s="2" t="s">
        <v>449</v>
      </c>
      <c r="E58" s="2" t="s">
        <v>315</v>
      </c>
      <c r="F58" s="2">
        <v>0.5</v>
      </c>
      <c r="G58" s="2" t="s">
        <v>450</v>
      </c>
    </row>
    <row r="59" spans="1:7" ht="120" customHeight="1" x14ac:dyDescent="0.25">
      <c r="A59" s="2" t="s">
        <v>154</v>
      </c>
      <c r="B59" s="2">
        <v>3</v>
      </c>
      <c r="C59" s="2" t="s">
        <v>451</v>
      </c>
      <c r="D59" s="2" t="s">
        <v>452</v>
      </c>
      <c r="E59" s="2" t="s">
        <v>128</v>
      </c>
      <c r="F59" s="2">
        <v>0.33329999999999999</v>
      </c>
      <c r="G59" s="2" t="s">
        <v>453</v>
      </c>
    </row>
    <row r="60" spans="1:7" ht="120" customHeight="1" x14ac:dyDescent="0.25">
      <c r="A60" s="2" t="s">
        <v>154</v>
      </c>
      <c r="B60" s="2">
        <v>4</v>
      </c>
      <c r="C60" s="2" t="s">
        <v>454</v>
      </c>
      <c r="D60" s="2" t="s">
        <v>455</v>
      </c>
      <c r="E60" s="2" t="s">
        <v>300</v>
      </c>
      <c r="F60" s="2">
        <v>0.33329999999999999</v>
      </c>
      <c r="G60" s="2" t="s">
        <v>456</v>
      </c>
    </row>
    <row r="61" spans="1:7" ht="120" customHeight="1" x14ac:dyDescent="0.25">
      <c r="A61" s="2" t="s">
        <v>154</v>
      </c>
      <c r="B61" s="2">
        <v>5</v>
      </c>
      <c r="C61" s="2" t="s">
        <v>457</v>
      </c>
      <c r="D61" s="2" t="s">
        <v>458</v>
      </c>
      <c r="E61" s="2" t="s">
        <v>128</v>
      </c>
      <c r="F61" s="2">
        <v>0.25</v>
      </c>
      <c r="G61" s="2" t="s">
        <v>459</v>
      </c>
    </row>
    <row r="62" spans="1:7" ht="120" customHeight="1" x14ac:dyDescent="0.25">
      <c r="A62" s="2" t="s">
        <v>159</v>
      </c>
      <c r="B62" s="2">
        <v>1</v>
      </c>
      <c r="C62" s="2" t="s">
        <v>460</v>
      </c>
      <c r="D62" s="2" t="s">
        <v>461</v>
      </c>
      <c r="E62" s="2" t="s">
        <v>285</v>
      </c>
      <c r="F62" s="2">
        <v>0.5</v>
      </c>
      <c r="G62" s="2" t="s">
        <v>462</v>
      </c>
    </row>
    <row r="63" spans="1:7" ht="120" customHeight="1" x14ac:dyDescent="0.25">
      <c r="A63" s="2" t="s">
        <v>159</v>
      </c>
      <c r="B63" s="2">
        <v>2</v>
      </c>
      <c r="C63" s="2" t="s">
        <v>463</v>
      </c>
      <c r="D63" s="2" t="s">
        <v>464</v>
      </c>
      <c r="E63" s="2" t="s">
        <v>74</v>
      </c>
      <c r="F63" s="2">
        <v>0.5</v>
      </c>
      <c r="G63" s="2" t="s">
        <v>465</v>
      </c>
    </row>
    <row r="64" spans="1:7" ht="120" customHeight="1" x14ac:dyDescent="0.25">
      <c r="A64" s="2" t="s">
        <v>159</v>
      </c>
      <c r="B64" s="2">
        <v>3</v>
      </c>
      <c r="C64" s="2" t="s">
        <v>466</v>
      </c>
      <c r="D64" s="2" t="s">
        <v>467</v>
      </c>
      <c r="E64" s="2" t="s">
        <v>128</v>
      </c>
      <c r="F64" s="2">
        <v>0.38329999999999997</v>
      </c>
      <c r="G64" s="2" t="s">
        <v>468</v>
      </c>
    </row>
    <row r="65" spans="1:7" ht="120" customHeight="1" x14ac:dyDescent="0.25">
      <c r="A65" s="2" t="s">
        <v>159</v>
      </c>
      <c r="B65" s="2">
        <v>4</v>
      </c>
      <c r="C65" s="2" t="s">
        <v>469</v>
      </c>
      <c r="D65" s="2" t="s">
        <v>470</v>
      </c>
      <c r="E65" s="2" t="s">
        <v>281</v>
      </c>
      <c r="F65" s="2">
        <v>0.33329999999999999</v>
      </c>
      <c r="G65" s="2" t="s">
        <v>471</v>
      </c>
    </row>
    <row r="66" spans="1:7" ht="120" customHeight="1" x14ac:dyDescent="0.25">
      <c r="A66" s="2" t="s">
        <v>159</v>
      </c>
      <c r="B66" s="2">
        <v>5</v>
      </c>
      <c r="C66" s="2" t="s">
        <v>472</v>
      </c>
      <c r="D66" s="2" t="s">
        <v>473</v>
      </c>
      <c r="E66" s="2" t="s">
        <v>304</v>
      </c>
      <c r="F66" s="2">
        <v>0.29170000000000001</v>
      </c>
      <c r="G66" s="2" t="s">
        <v>474</v>
      </c>
    </row>
  </sheetData>
  <sheetProtection sheet="1" formatColumns="0" formatRows="0" sort="0" autoFilter="0"/>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19"/>
  <sheetViews>
    <sheetView workbookViewId="0"/>
  </sheetViews>
  <sheetFormatPr baseColWidth="10" defaultColWidth="9.140625" defaultRowHeight="15" x14ac:dyDescent="0.25"/>
  <cols>
    <col min="1" max="1" width="58" customWidth="1"/>
    <col min="2" max="3" width="16" customWidth="1"/>
  </cols>
  <sheetData>
    <row r="1" spans="1:3" x14ac:dyDescent="0.25">
      <c r="A1" s="4" t="s">
        <v>475</v>
      </c>
      <c r="B1" s="4" t="s">
        <v>476</v>
      </c>
      <c r="C1" s="4" t="s">
        <v>477</v>
      </c>
    </row>
    <row r="2" spans="1:3" x14ac:dyDescent="0.25">
      <c r="A2" s="9" t="s">
        <v>478</v>
      </c>
      <c r="B2" s="9">
        <f>COUNTIFS(Respuestas!$B$2:$B$200,"rag",Respuestas!$L$2:$L$200,"&gt;0")</f>
        <v>4</v>
      </c>
      <c r="C2" s="9">
        <f>COUNTIFS(Respuestas!$B$2:$B$200,"llm",Respuestas!$L$2:$L$200,"&gt;0")</f>
        <v>4</v>
      </c>
    </row>
    <row r="3" spans="1:3" x14ac:dyDescent="0.25">
      <c r="A3" s="9" t="s">
        <v>479</v>
      </c>
      <c r="B3" s="10">
        <f>IF(SUMIFS(Respuestas!$M$2:$M$200,Respuestas!$B$2:$B$200,"rag",Respuestas!$L$2:$L$200,"&gt;0")=0,"-",SUMIFS(Respuestas!$N$2:$N$200,Respuestas!$B$2:$B$200,"rag",Respuestas!$L$2:$L$200,"&gt;0")/SUMIFS(Respuestas!$M$2:$M$200,Respuestas!$B$2:$B$200,"rag",Respuestas!$L$2:$L$200,"&gt;0"))</f>
        <v>0.22222222222222221</v>
      </c>
      <c r="C3" s="10">
        <f>IF(SUMIFS(Respuestas!$M$2:$M$200,Respuestas!$B$2:$B$200,"llm",Respuestas!$L$2:$L$200,"&gt;0")=0,"-",SUMIFS(Respuestas!$N$2:$N$200,Respuestas!$B$2:$B$200,"llm",Respuestas!$L$2:$L$200,"&gt;0")/SUMIFS(Respuestas!$M$2:$M$200,Respuestas!$B$2:$B$200,"llm",Respuestas!$L$2:$L$200,"&gt;0"))</f>
        <v>0.22222222222222221</v>
      </c>
    </row>
    <row r="4" spans="1:3" x14ac:dyDescent="0.25">
      <c r="A4" s="9" t="s">
        <v>480</v>
      </c>
      <c r="B4" s="10">
        <f>IF(SUMIFS(Respuestas!$W$2:$W$200,Respuestas!$B$2:$B$200,"rag",Respuestas!$L$2:$L$200,"&gt;0")=0,"-",SUMIFS(Respuestas!$P$2:$P$200,Respuestas!$B$2:$B$200,"rag",Respuestas!$L$2:$L$200,"&gt;0")/SUMIFS(Respuestas!$W$2:$W$200,Respuestas!$B$2:$B$200,"rag",Respuestas!$L$2:$L$200,"&gt;0"))</f>
        <v>0</v>
      </c>
      <c r="C4" s="10">
        <f>IF(SUMIFS(Respuestas!$W$2:$W$200,Respuestas!$B$2:$B$200,"llm",Respuestas!$L$2:$L$200,"&gt;0")=0,"-",SUMIFS(Respuestas!$P$2:$P$200,Respuestas!$B$2:$B$200,"llm",Respuestas!$L$2:$L$200,"&gt;0")/SUMIFS(Respuestas!$W$2:$W$200,Respuestas!$B$2:$B$200,"llm",Respuestas!$L$2:$L$200,"&gt;0"))</f>
        <v>0.29411764705882354</v>
      </c>
    </row>
    <row r="5" spans="1:3" x14ac:dyDescent="0.25">
      <c r="A5" s="9" t="s">
        <v>481</v>
      </c>
      <c r="B5" s="9">
        <f>COUNTIFS(Respuestas!$B$2:$B$200,"rag",Respuestas!$Q$2:$Q$200,"&gt;0")</f>
        <v>3</v>
      </c>
      <c r="C5" s="9">
        <f>COUNTIFS(Respuestas!$B$2:$B$200,"llm",Respuestas!$Q$2:$Q$200,"&gt;0")</f>
        <v>0</v>
      </c>
    </row>
    <row r="6" spans="1:3" x14ac:dyDescent="0.25">
      <c r="A6" s="9" t="s">
        <v>482</v>
      </c>
      <c r="B6" s="9">
        <f>COUNTIFS(Respuestas!$B$2:$B$200,"rag",Respuestas!$R$2:$R$200,"&gt;0")</f>
        <v>0</v>
      </c>
      <c r="C6" s="9">
        <f>COUNTIFS(Respuestas!$B$2:$B$200,"llm",Respuestas!$R$2:$R$200,"&gt;0")</f>
        <v>1</v>
      </c>
    </row>
    <row r="7" spans="1:3" x14ac:dyDescent="0.25">
      <c r="A7" s="9" t="s">
        <v>483</v>
      </c>
      <c r="B7" s="10">
        <f>IF(SUMIFS(Respuestas!$W$2:$W$200,Respuestas!$B$2:$B$200,"rag",Respuestas!$L$2:$L$200,"&gt;0")=0,"-",SUMIFS(Respuestas!$X$2:$X$200,Respuestas!$B$2:$B$200,"rag",Respuestas!$L$2:$L$200,"&gt;0")/SUMIFS(Respuestas!$W$2:$W$200,Respuestas!$B$2:$B$200,"rag",Respuestas!$L$2:$L$200,"&gt;0"))</f>
        <v>0.8</v>
      </c>
      <c r="C7" s="10" t="str">
        <f>"N/A"</f>
        <v>N/A</v>
      </c>
    </row>
    <row r="8" spans="1:3" x14ac:dyDescent="0.25">
      <c r="A8" s="9" t="s">
        <v>484</v>
      </c>
      <c r="B8" s="10">
        <f>IF(SUMIFS(Respuestas!$M$2:$M$200,Respuestas!$B$2:$B$200,"rag",Respuestas!$L$2:$L$200,"&gt;0")=0,"-",SUM(Hechos!$H$2:$H$201)/SUMIFS(Respuestas!$M$2:$M$200,Respuestas!$B$2:$B$200,"rag",Respuestas!$L$2:$L$200,"&gt;0"))</f>
        <v>0.16666666666666666</v>
      </c>
      <c r="C8" s="10" t="str">
        <f>"N/A"</f>
        <v>N/A</v>
      </c>
    </row>
    <row r="9" spans="1:3" x14ac:dyDescent="0.25">
      <c r="A9" s="9" t="s">
        <v>485</v>
      </c>
      <c r="B9" s="9">
        <f>SUMIFS(Respuestas!$T$2:$T$200,Respuestas!$B$2:$B$200,"rag")</f>
        <v>1</v>
      </c>
      <c r="C9" s="9" t="str">
        <f>"N/A"</f>
        <v>N/A</v>
      </c>
    </row>
    <row r="10" spans="1:3" x14ac:dyDescent="0.25">
      <c r="A10" s="9" t="s">
        <v>486</v>
      </c>
      <c r="B10" s="9">
        <f>SUMIFS(Respuestas!$U$2:$U$200,Respuestas!$B$2:$B$200,"rag")</f>
        <v>0</v>
      </c>
      <c r="C10" s="9" t="str">
        <f>"N/A"</f>
        <v>N/A</v>
      </c>
    </row>
    <row r="11" spans="1:3" x14ac:dyDescent="0.25">
      <c r="A11" s="9" t="s">
        <v>487</v>
      </c>
      <c r="B11" s="9">
        <f>SUMIFS(Respuestas!$V$2:$V$200,Respuestas!$B$2:$B$200,"rag")</f>
        <v>0</v>
      </c>
      <c r="C11" s="9" t="str">
        <f>"N/A"</f>
        <v>N/A</v>
      </c>
    </row>
    <row r="12" spans="1:3" x14ac:dyDescent="0.25">
      <c r="A12" s="9" t="s">
        <v>488</v>
      </c>
      <c r="B12" s="9">
        <f>SUMIFS(Respuestas!$S$2:$S$200,Respuestas!$B$2:$B$200,"rag")</f>
        <v>1</v>
      </c>
      <c r="C12" s="9">
        <f>SUMIFS(Respuestas!$S$2:$S$200,Respuestas!$B$2:$B$200,"llm")</f>
        <v>6</v>
      </c>
    </row>
    <row r="13" spans="1:3" x14ac:dyDescent="0.25">
      <c r="A13" s="9" t="s">
        <v>489</v>
      </c>
      <c r="B13" s="10">
        <f>IFERROR(AVERAGEIFS(Respuestas!$Y$2:$Y$200,Respuestas!$B$2:$B$200,"rag"),"-")</f>
        <v>0.5</v>
      </c>
      <c r="C13" s="10">
        <f>IFERROR(AVERAGEIFS(Respuestas!$Y$2:$Y$200,Respuestas!$B$2:$B$200,"llm"),"-")</f>
        <v>0.5</v>
      </c>
    </row>
    <row r="14" spans="1:3" x14ac:dyDescent="0.25">
      <c r="A14" s="9" t="s">
        <v>490</v>
      </c>
      <c r="B14" s="10">
        <f>IFERROR(AVERAGEIFS(Respuestas!$Z$2:$Z$200,Respuestas!$B$2:$B$200,"rag"),"-")</f>
        <v>1.6666666666666667</v>
      </c>
      <c r="C14" s="10" t="str">
        <f>"N/A"</f>
        <v>N/A</v>
      </c>
    </row>
    <row r="15" spans="1:3" x14ac:dyDescent="0.25">
      <c r="A15" s="9" t="s">
        <v>491</v>
      </c>
      <c r="B15" s="9">
        <f>COUNTIFS(Respuestas!$B$2:$B$200,"rag",Respuestas!$AA$2:$AA$200,"*CRITICA*")</f>
        <v>3</v>
      </c>
      <c r="C15" s="9">
        <f>COUNTIFS(Respuestas!$B$2:$B$200,"llm",Respuestas!$AA$2:$AA$200,"*CRITICA*")</f>
        <v>4</v>
      </c>
    </row>
    <row r="16" spans="1:3" x14ac:dyDescent="0.25">
      <c r="A16" s="9" t="s">
        <v>492</v>
      </c>
      <c r="B16" s="9">
        <f>COUNTIFS(Respuestas!$B$2:$B$200,"rag",Respuestas!$AA$2:$AA$200,"*RESPALDO*")</f>
        <v>1</v>
      </c>
      <c r="C16" s="9">
        <f>COUNTIFS(Respuestas!$B$2:$B$200,"llm",Respuestas!$AA$2:$AA$200,"*RESPALDO*")</f>
        <v>0</v>
      </c>
    </row>
    <row r="17" spans="1:3" x14ac:dyDescent="0.25">
      <c r="A17" s="9" t="s">
        <v>493</v>
      </c>
      <c r="B17" s="9">
        <f>COUNTIFS(Respuestas!$B$2:$B$200,"rag",Respuestas!$AA$2:$AA$200,"*TRUNC*")</f>
        <v>0</v>
      </c>
      <c r="C17" s="9">
        <f>COUNTIFS(Respuestas!$B$2:$B$200,"llm",Respuestas!$AA$2:$AA$200,"*TRUNC*")</f>
        <v>1</v>
      </c>
    </row>
    <row r="19" spans="1:3" ht="45" customHeight="1" x14ac:dyDescent="0.25">
      <c r="A19" s="2" t="s">
        <v>494</v>
      </c>
    </row>
  </sheetData>
  <sheetProtection sheet="1" formatColumns="0" formatRows="0" sort="0" autoFilter="0"/>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33"/>
  <sheetViews>
    <sheetView workbookViewId="0">
      <selection activeCell="B1" sqref="B1"/>
    </sheetView>
  </sheetViews>
  <sheetFormatPr baseColWidth="10" defaultColWidth="9.140625" defaultRowHeight="15" x14ac:dyDescent="0.25"/>
  <cols>
    <col min="1" max="1" width="34" customWidth="1"/>
    <col min="2" max="2" width="80" customWidth="1"/>
  </cols>
  <sheetData>
    <row r="1" spans="1:2" x14ac:dyDescent="0.25">
      <c r="A1" s="9" t="s">
        <v>495</v>
      </c>
      <c r="B1" s="9" t="s">
        <v>496</v>
      </c>
    </row>
    <row r="2" spans="1:2" x14ac:dyDescent="0.25">
      <c r="A2" s="9" t="s">
        <v>497</v>
      </c>
      <c r="B2" s="9" t="s">
        <v>498</v>
      </c>
    </row>
    <row r="3" spans="1:2" x14ac:dyDescent="0.25">
      <c r="A3" s="9" t="s">
        <v>499</v>
      </c>
      <c r="B3" s="9" t="s">
        <v>500</v>
      </c>
    </row>
    <row r="4" spans="1:2" x14ac:dyDescent="0.25">
      <c r="A4" s="8" t="s">
        <v>501</v>
      </c>
      <c r="B4" s="11"/>
    </row>
    <row r="5" spans="1:2" x14ac:dyDescent="0.25">
      <c r="A5" s="8" t="s">
        <v>502</v>
      </c>
      <c r="B5" s="11"/>
    </row>
    <row r="6" spans="1:2" x14ac:dyDescent="0.25">
      <c r="A6" s="8"/>
      <c r="B6" s="9"/>
    </row>
    <row r="7" spans="1:2" x14ac:dyDescent="0.25">
      <c r="A7" s="8" t="s">
        <v>503</v>
      </c>
      <c r="B7" s="9"/>
    </row>
    <row r="8" spans="1:2" x14ac:dyDescent="0.25">
      <c r="A8" s="9" t="s">
        <v>504</v>
      </c>
      <c r="B8" s="9" t="s">
        <v>505</v>
      </c>
    </row>
    <row r="9" spans="1:2" x14ac:dyDescent="0.25">
      <c r="A9" s="9" t="s">
        <v>506</v>
      </c>
      <c r="B9" s="9" t="s">
        <v>507</v>
      </c>
    </row>
    <row r="10" spans="1:2" x14ac:dyDescent="0.25">
      <c r="A10" s="9" t="s">
        <v>508</v>
      </c>
      <c r="B10" s="9" t="s">
        <v>509</v>
      </c>
    </row>
    <row r="11" spans="1:2" x14ac:dyDescent="0.25">
      <c r="A11" s="9" t="s">
        <v>510</v>
      </c>
      <c r="B11" s="9" t="s">
        <v>511</v>
      </c>
    </row>
    <row r="12" spans="1:2" x14ac:dyDescent="0.25">
      <c r="A12" s="9" t="s">
        <v>512</v>
      </c>
      <c r="B12" s="9" t="s">
        <v>195</v>
      </c>
    </row>
    <row r="13" spans="1:2" x14ac:dyDescent="0.25">
      <c r="A13" s="9" t="s">
        <v>513</v>
      </c>
      <c r="B13" s="9" t="s">
        <v>514</v>
      </c>
    </row>
    <row r="14" spans="1:2" x14ac:dyDescent="0.25">
      <c r="A14" s="9" t="s">
        <v>515</v>
      </c>
      <c r="B14" s="9" t="s">
        <v>516</v>
      </c>
    </row>
    <row r="15" spans="1:2" x14ac:dyDescent="0.25">
      <c r="A15" s="9" t="s">
        <v>517</v>
      </c>
      <c r="B15" s="9" t="s">
        <v>518</v>
      </c>
    </row>
    <row r="16" spans="1:2" x14ac:dyDescent="0.25">
      <c r="A16" s="9" t="s">
        <v>519</v>
      </c>
      <c r="B16" s="9" t="s">
        <v>520</v>
      </c>
    </row>
    <row r="17" spans="1:2" x14ac:dyDescent="0.25">
      <c r="A17" s="9" t="s">
        <v>521</v>
      </c>
      <c r="B17" s="9" t="s">
        <v>522</v>
      </c>
    </row>
    <row r="18" spans="1:2" x14ac:dyDescent="0.25">
      <c r="A18" s="8"/>
      <c r="B18" s="9"/>
    </row>
    <row r="19" spans="1:2" x14ac:dyDescent="0.25">
      <c r="A19" s="8" t="s">
        <v>523</v>
      </c>
      <c r="B19" s="9"/>
    </row>
    <row r="20" spans="1:2" x14ac:dyDescent="0.25">
      <c r="A20" s="9" t="s">
        <v>524</v>
      </c>
      <c r="B20" s="9" t="s">
        <v>525</v>
      </c>
    </row>
    <row r="21" spans="1:2" x14ac:dyDescent="0.25">
      <c r="A21" s="9" t="s">
        <v>526</v>
      </c>
      <c r="B21" s="9" t="s">
        <v>527</v>
      </c>
    </row>
    <row r="22" spans="1:2" x14ac:dyDescent="0.25">
      <c r="A22" s="9" t="s">
        <v>508</v>
      </c>
      <c r="B22" s="9" t="s">
        <v>509</v>
      </c>
    </row>
    <row r="23" spans="1:2" x14ac:dyDescent="0.25">
      <c r="A23" s="9" t="s">
        <v>528</v>
      </c>
      <c r="B23" s="9" t="s">
        <v>529</v>
      </c>
    </row>
    <row r="24" spans="1:2" x14ac:dyDescent="0.25">
      <c r="A24" s="8" t="s">
        <v>530</v>
      </c>
      <c r="B24" s="9"/>
    </row>
    <row r="25" spans="1:2" x14ac:dyDescent="0.25">
      <c r="A25" s="8" t="s">
        <v>531</v>
      </c>
      <c r="B25" s="9"/>
    </row>
    <row r="26" spans="1:2" x14ac:dyDescent="0.25">
      <c r="A26" s="9" t="s">
        <v>532</v>
      </c>
      <c r="B26" s="9" t="s">
        <v>533</v>
      </c>
    </row>
    <row r="27" spans="1:2" x14ac:dyDescent="0.25">
      <c r="A27" s="9" t="s">
        <v>534</v>
      </c>
      <c r="B27" s="9" t="s">
        <v>535</v>
      </c>
    </row>
    <row r="28" spans="1:2" x14ac:dyDescent="0.25">
      <c r="A28" s="9" t="s">
        <v>536</v>
      </c>
      <c r="B28" s="9" t="s">
        <v>537</v>
      </c>
    </row>
    <row r="29" spans="1:2" x14ac:dyDescent="0.25">
      <c r="A29" s="9" t="s">
        <v>538</v>
      </c>
      <c r="B29" s="9" t="s">
        <v>539</v>
      </c>
    </row>
    <row r="30" spans="1:2" x14ac:dyDescent="0.25">
      <c r="A30" s="9" t="s">
        <v>540</v>
      </c>
      <c r="B30" s="9" t="s">
        <v>541</v>
      </c>
    </row>
    <row r="31" spans="1:2" x14ac:dyDescent="0.25">
      <c r="A31" s="9" t="s">
        <v>542</v>
      </c>
      <c r="B31" s="9" t="s">
        <v>520</v>
      </c>
    </row>
    <row r="32" spans="1:2" x14ac:dyDescent="0.25">
      <c r="A32" s="9" t="s">
        <v>543</v>
      </c>
      <c r="B32" s="9" t="s">
        <v>520</v>
      </c>
    </row>
    <row r="33" spans="1:2" x14ac:dyDescent="0.25">
      <c r="A33" s="9" t="s">
        <v>544</v>
      </c>
      <c r="B33" s="9" t="s">
        <v>545</v>
      </c>
    </row>
  </sheetData>
  <sheetProtection sheet="1" formatColumns="0" formatRows="0" sort="0" autoFilter="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7</vt:i4>
      </vt:variant>
    </vt:vector>
  </HeadingPairs>
  <TitlesOfParts>
    <vt:vector size="7" baseType="lpstr">
      <vt:lpstr>Guia</vt:lpstr>
      <vt:lpstr>Respuestas</vt:lpstr>
      <vt:lpstr>Afirmaciones</vt:lpstr>
      <vt:lpstr>Hechos</vt:lpstr>
      <vt:lpstr>Contextos</vt:lpstr>
      <vt:lpstr>Resumen</vt:lpstr>
      <vt:lpstr>Config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Helpdesk csoc4</cp:lastModifiedBy>
  <dcterms:created xsi:type="dcterms:W3CDTF">2026-10-12T17:45:08Z</dcterms:created>
  <dcterms:modified xsi:type="dcterms:W3CDTF">2026-10-14T12:38:17Z</dcterms:modified>
</cp:coreProperties>
</file>