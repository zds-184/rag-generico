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S_USFQ\CAPSTON\RAG\eval\pilot\v2\"/>
    </mc:Choice>
  </mc:AlternateContent>
  <xr:revisionPtr revIDLastSave="0" documentId="13_ncr:1_{E5FE2EE7-6E93-4E7E-88FC-662E08317135}" xr6:coauthVersionLast="47" xr6:coauthVersionMax="47" xr10:uidLastSave="{00000000-0000-0000-0000-000000000000}"/>
  <bookViews>
    <workbookView xWindow="-28920" yWindow="-120" windowWidth="29040" windowHeight="16440" activeTab="6" xr2:uid="{00000000-000D-0000-FFFF-FFFF00000000}"/>
  </bookViews>
  <sheets>
    <sheet name="Guia" sheetId="1" r:id="rId1"/>
    <sheet name="Respuestas" sheetId="2" r:id="rId2"/>
    <sheet name="Afirmaciones" sheetId="3" r:id="rId3"/>
    <sheet name="Hechos" sheetId="4" r:id="rId4"/>
    <sheet name="Contextos" sheetId="5" r:id="rId5"/>
    <sheet name="Resumen" sheetId="6" r:id="rId6"/>
    <sheet name="Config"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6" l="1"/>
  <c r="C11" i="6"/>
  <c r="C10" i="6"/>
  <c r="C9" i="6"/>
  <c r="C8" i="6"/>
  <c r="C7" i="6"/>
  <c r="H34" i="4"/>
  <c r="G34" i="4"/>
  <c r="F34" i="4"/>
  <c r="H33" i="4"/>
  <c r="G33" i="4"/>
  <c r="F33" i="4"/>
  <c r="H32" i="4"/>
  <c r="G32" i="4"/>
  <c r="F32" i="4"/>
  <c r="H31" i="4"/>
  <c r="G31" i="4"/>
  <c r="F31" i="4"/>
  <c r="H30" i="4"/>
  <c r="G30" i="4"/>
  <c r="F30" i="4"/>
  <c r="H29" i="4"/>
  <c r="G29" i="4"/>
  <c r="N19" i="2" s="1"/>
  <c r="F29" i="4"/>
  <c r="N18" i="2" s="1"/>
  <c r="O18" i="2" s="1"/>
  <c r="H28" i="4"/>
  <c r="G28" i="4"/>
  <c r="F28" i="4"/>
  <c r="H27" i="4"/>
  <c r="G27" i="4"/>
  <c r="F27" i="4"/>
  <c r="H26" i="4"/>
  <c r="G26" i="4"/>
  <c r="N17" i="2" s="1"/>
  <c r="F26" i="4"/>
  <c r="N16" i="2" s="1"/>
  <c r="H25" i="4"/>
  <c r="G25" i="4"/>
  <c r="F25" i="4"/>
  <c r="H24" i="4"/>
  <c r="G24" i="4"/>
  <c r="F24" i="4"/>
  <c r="H23" i="4"/>
  <c r="G23" i="4"/>
  <c r="N15" i="2" s="1"/>
  <c r="F23" i="4"/>
  <c r="N14" i="2" s="1"/>
  <c r="O14" i="2" s="1"/>
  <c r="H22" i="4"/>
  <c r="G22" i="4"/>
  <c r="F22" i="4"/>
  <c r="H21" i="4"/>
  <c r="G21" i="4"/>
  <c r="F21" i="4"/>
  <c r="H20" i="4"/>
  <c r="G20" i="4"/>
  <c r="N13" i="2" s="1"/>
  <c r="F20" i="4"/>
  <c r="N12" i="2" s="1"/>
  <c r="H19" i="4"/>
  <c r="G19" i="4"/>
  <c r="F19" i="4"/>
  <c r="H18" i="4"/>
  <c r="G18" i="4"/>
  <c r="F18" i="4"/>
  <c r="H17" i="4"/>
  <c r="G17" i="4"/>
  <c r="F17" i="4"/>
  <c r="H16" i="4"/>
  <c r="G16" i="4"/>
  <c r="N11" i="2" s="1"/>
  <c r="F16" i="4"/>
  <c r="H15" i="4"/>
  <c r="G15" i="4"/>
  <c r="F15" i="4"/>
  <c r="H14" i="4"/>
  <c r="G14" i="4"/>
  <c r="N9" i="2" s="1"/>
  <c r="F14" i="4"/>
  <c r="N8" i="2" s="1"/>
  <c r="O8" i="2" s="1"/>
  <c r="H13" i="4"/>
  <c r="G13" i="4"/>
  <c r="F13" i="4"/>
  <c r="H12" i="4"/>
  <c r="G12" i="4"/>
  <c r="N7" i="2" s="1"/>
  <c r="F12" i="4"/>
  <c r="N6" i="2" s="1"/>
  <c r="H11" i="4"/>
  <c r="G11" i="4"/>
  <c r="F11" i="4"/>
  <c r="H10" i="4"/>
  <c r="G10" i="4"/>
  <c r="F10" i="4"/>
  <c r="H9" i="4"/>
  <c r="G9" i="4"/>
  <c r="F9" i="4"/>
  <c r="H8" i="4"/>
  <c r="G8" i="4"/>
  <c r="F8" i="4"/>
  <c r="H7" i="4"/>
  <c r="G7" i="4"/>
  <c r="N5" i="2" s="1"/>
  <c r="F7" i="4"/>
  <c r="N4" i="2" s="1"/>
  <c r="O4" i="2" s="1"/>
  <c r="H6" i="4"/>
  <c r="G6" i="4"/>
  <c r="F6" i="4"/>
  <c r="H5" i="4"/>
  <c r="G5" i="4"/>
  <c r="F5" i="4"/>
  <c r="H4" i="4"/>
  <c r="G4" i="4"/>
  <c r="F4" i="4"/>
  <c r="H3" i="4"/>
  <c r="G3" i="4"/>
  <c r="F3" i="4"/>
  <c r="H2" i="4"/>
  <c r="G2" i="4"/>
  <c r="N3" i="2" s="1"/>
  <c r="F2" i="4"/>
  <c r="N401" i="3"/>
  <c r="M401" i="3"/>
  <c r="C401" i="3"/>
  <c r="N400" i="3"/>
  <c r="M400" i="3"/>
  <c r="C400" i="3"/>
  <c r="N399" i="3"/>
  <c r="M399" i="3"/>
  <c r="C399" i="3"/>
  <c r="N398" i="3"/>
  <c r="M398" i="3"/>
  <c r="C398" i="3"/>
  <c r="N397" i="3"/>
  <c r="M397" i="3"/>
  <c r="C397" i="3"/>
  <c r="N396" i="3"/>
  <c r="M396" i="3"/>
  <c r="C396" i="3"/>
  <c r="N395" i="3"/>
  <c r="M395" i="3"/>
  <c r="C395" i="3"/>
  <c r="N394" i="3"/>
  <c r="M394" i="3"/>
  <c r="C394" i="3"/>
  <c r="N393" i="3"/>
  <c r="M393" i="3"/>
  <c r="C393" i="3"/>
  <c r="N392" i="3"/>
  <c r="M392" i="3"/>
  <c r="C392" i="3"/>
  <c r="N391" i="3"/>
  <c r="M391" i="3"/>
  <c r="C391" i="3"/>
  <c r="N390" i="3"/>
  <c r="M390" i="3"/>
  <c r="C390" i="3"/>
  <c r="N389" i="3"/>
  <c r="M389" i="3"/>
  <c r="C389" i="3"/>
  <c r="N388" i="3"/>
  <c r="M388" i="3"/>
  <c r="C388" i="3"/>
  <c r="N387" i="3"/>
  <c r="M387" i="3"/>
  <c r="C387" i="3"/>
  <c r="N386" i="3"/>
  <c r="M386" i="3"/>
  <c r="C386" i="3"/>
  <c r="N385" i="3"/>
  <c r="M385" i="3"/>
  <c r="C385" i="3"/>
  <c r="N384" i="3"/>
  <c r="M384" i="3"/>
  <c r="C384" i="3"/>
  <c r="N383" i="3"/>
  <c r="M383" i="3"/>
  <c r="C383" i="3"/>
  <c r="N382" i="3"/>
  <c r="M382" i="3"/>
  <c r="C382" i="3"/>
  <c r="N381" i="3"/>
  <c r="M381" i="3"/>
  <c r="C381" i="3"/>
  <c r="N380" i="3"/>
  <c r="M380" i="3"/>
  <c r="C380" i="3"/>
  <c r="N379" i="3"/>
  <c r="M379" i="3"/>
  <c r="C379" i="3"/>
  <c r="N378" i="3"/>
  <c r="M378" i="3"/>
  <c r="C378" i="3"/>
  <c r="N377" i="3"/>
  <c r="M377" i="3"/>
  <c r="C377" i="3"/>
  <c r="N376" i="3"/>
  <c r="M376" i="3"/>
  <c r="C376" i="3"/>
  <c r="N375" i="3"/>
  <c r="M375" i="3"/>
  <c r="C375" i="3"/>
  <c r="N374" i="3"/>
  <c r="M374" i="3"/>
  <c r="C374" i="3"/>
  <c r="N373" i="3"/>
  <c r="M373" i="3"/>
  <c r="C373" i="3"/>
  <c r="N372" i="3"/>
  <c r="M372" i="3"/>
  <c r="C372" i="3"/>
  <c r="N371" i="3"/>
  <c r="M371" i="3"/>
  <c r="C371" i="3"/>
  <c r="N370" i="3"/>
  <c r="M370" i="3"/>
  <c r="C370" i="3"/>
  <c r="N369" i="3"/>
  <c r="M369" i="3"/>
  <c r="C369" i="3"/>
  <c r="N368" i="3"/>
  <c r="M368" i="3"/>
  <c r="C368" i="3"/>
  <c r="N367" i="3"/>
  <c r="M367" i="3"/>
  <c r="C367" i="3"/>
  <c r="N366" i="3"/>
  <c r="M366" i="3"/>
  <c r="C366" i="3"/>
  <c r="N365" i="3"/>
  <c r="M365" i="3"/>
  <c r="C365" i="3"/>
  <c r="N364" i="3"/>
  <c r="M364" i="3"/>
  <c r="C364" i="3"/>
  <c r="N363" i="3"/>
  <c r="M363" i="3"/>
  <c r="C363" i="3"/>
  <c r="N362" i="3"/>
  <c r="M362" i="3"/>
  <c r="C362" i="3"/>
  <c r="N361" i="3"/>
  <c r="M361" i="3"/>
  <c r="C361" i="3"/>
  <c r="N360" i="3"/>
  <c r="M360" i="3"/>
  <c r="C360" i="3"/>
  <c r="N359" i="3"/>
  <c r="M359" i="3"/>
  <c r="C359" i="3"/>
  <c r="N358" i="3"/>
  <c r="M358" i="3"/>
  <c r="C358" i="3"/>
  <c r="N357" i="3"/>
  <c r="M357" i="3"/>
  <c r="C357" i="3"/>
  <c r="N356" i="3"/>
  <c r="M356" i="3"/>
  <c r="C356" i="3"/>
  <c r="N355" i="3"/>
  <c r="M355" i="3"/>
  <c r="C355" i="3"/>
  <c r="N354" i="3"/>
  <c r="M354" i="3"/>
  <c r="C354" i="3"/>
  <c r="N353" i="3"/>
  <c r="M353" i="3"/>
  <c r="C353" i="3"/>
  <c r="N352" i="3"/>
  <c r="M352" i="3"/>
  <c r="C352" i="3"/>
  <c r="N351" i="3"/>
  <c r="M351" i="3"/>
  <c r="C351" i="3"/>
  <c r="N350" i="3"/>
  <c r="M350" i="3"/>
  <c r="C350" i="3"/>
  <c r="N349" i="3"/>
  <c r="M349" i="3"/>
  <c r="C349" i="3"/>
  <c r="N348" i="3"/>
  <c r="M348" i="3"/>
  <c r="C348" i="3"/>
  <c r="N347" i="3"/>
  <c r="M347" i="3"/>
  <c r="C347" i="3"/>
  <c r="N346" i="3"/>
  <c r="M346" i="3"/>
  <c r="C346" i="3"/>
  <c r="N345" i="3"/>
  <c r="M345" i="3"/>
  <c r="C345" i="3"/>
  <c r="N344" i="3"/>
  <c r="M344" i="3"/>
  <c r="C344" i="3"/>
  <c r="N343" i="3"/>
  <c r="M343" i="3"/>
  <c r="C343" i="3"/>
  <c r="N342" i="3"/>
  <c r="M342" i="3"/>
  <c r="C342" i="3"/>
  <c r="N341" i="3"/>
  <c r="M341" i="3"/>
  <c r="C341" i="3"/>
  <c r="N340" i="3"/>
  <c r="M340" i="3"/>
  <c r="C340" i="3"/>
  <c r="N339" i="3"/>
  <c r="M339" i="3"/>
  <c r="C339" i="3"/>
  <c r="N338" i="3"/>
  <c r="M338" i="3"/>
  <c r="C338" i="3"/>
  <c r="N337" i="3"/>
  <c r="M337" i="3"/>
  <c r="C337" i="3"/>
  <c r="N336" i="3"/>
  <c r="M336" i="3"/>
  <c r="C336" i="3"/>
  <c r="N335" i="3"/>
  <c r="M335" i="3"/>
  <c r="C335" i="3"/>
  <c r="N334" i="3"/>
  <c r="M334" i="3"/>
  <c r="C334" i="3"/>
  <c r="N333" i="3"/>
  <c r="M333" i="3"/>
  <c r="C333" i="3"/>
  <c r="N332" i="3"/>
  <c r="M332" i="3"/>
  <c r="C332" i="3"/>
  <c r="N331" i="3"/>
  <c r="M331" i="3"/>
  <c r="C331" i="3"/>
  <c r="N330" i="3"/>
  <c r="M330" i="3"/>
  <c r="C330" i="3"/>
  <c r="N329" i="3"/>
  <c r="M329" i="3"/>
  <c r="C329" i="3"/>
  <c r="N328" i="3"/>
  <c r="M328" i="3"/>
  <c r="C328" i="3"/>
  <c r="N327" i="3"/>
  <c r="M327" i="3"/>
  <c r="C327" i="3"/>
  <c r="N326" i="3"/>
  <c r="M326" i="3"/>
  <c r="C326" i="3"/>
  <c r="N325" i="3"/>
  <c r="M325" i="3"/>
  <c r="C325" i="3"/>
  <c r="N324" i="3"/>
  <c r="M324" i="3"/>
  <c r="C324" i="3"/>
  <c r="N323" i="3"/>
  <c r="M323" i="3"/>
  <c r="C323" i="3"/>
  <c r="N322" i="3"/>
  <c r="M322" i="3"/>
  <c r="C322" i="3"/>
  <c r="N321" i="3"/>
  <c r="M321" i="3"/>
  <c r="C321" i="3"/>
  <c r="N320" i="3"/>
  <c r="M320" i="3"/>
  <c r="C320" i="3"/>
  <c r="N319" i="3"/>
  <c r="M319" i="3"/>
  <c r="C319" i="3"/>
  <c r="N318" i="3"/>
  <c r="M318" i="3"/>
  <c r="C318" i="3"/>
  <c r="N317" i="3"/>
  <c r="M317" i="3"/>
  <c r="C317" i="3"/>
  <c r="N316" i="3"/>
  <c r="M316" i="3"/>
  <c r="C316" i="3"/>
  <c r="N315" i="3"/>
  <c r="M315" i="3"/>
  <c r="C315" i="3"/>
  <c r="N314" i="3"/>
  <c r="M314" i="3"/>
  <c r="C314" i="3"/>
  <c r="N313" i="3"/>
  <c r="M313" i="3"/>
  <c r="C313" i="3"/>
  <c r="N312" i="3"/>
  <c r="M312" i="3"/>
  <c r="C312" i="3"/>
  <c r="N311" i="3"/>
  <c r="M311" i="3"/>
  <c r="C311" i="3"/>
  <c r="N310" i="3"/>
  <c r="M310" i="3"/>
  <c r="C310" i="3"/>
  <c r="N309" i="3"/>
  <c r="M309" i="3"/>
  <c r="C309" i="3"/>
  <c r="N308" i="3"/>
  <c r="M308" i="3"/>
  <c r="C308" i="3"/>
  <c r="N307" i="3"/>
  <c r="M307" i="3"/>
  <c r="C307" i="3"/>
  <c r="N306" i="3"/>
  <c r="M306" i="3"/>
  <c r="C306" i="3"/>
  <c r="N305" i="3"/>
  <c r="M305" i="3"/>
  <c r="C305" i="3"/>
  <c r="N304" i="3"/>
  <c r="M304" i="3"/>
  <c r="C304" i="3"/>
  <c r="N303" i="3"/>
  <c r="M303" i="3"/>
  <c r="C303" i="3"/>
  <c r="N302" i="3"/>
  <c r="M302" i="3"/>
  <c r="C302" i="3"/>
  <c r="N301" i="3"/>
  <c r="M301" i="3"/>
  <c r="C301" i="3"/>
  <c r="N300" i="3"/>
  <c r="M300" i="3"/>
  <c r="C300" i="3"/>
  <c r="N299" i="3"/>
  <c r="M299" i="3"/>
  <c r="C299" i="3"/>
  <c r="N298" i="3"/>
  <c r="M298" i="3"/>
  <c r="C298" i="3"/>
  <c r="N297" i="3"/>
  <c r="M297" i="3"/>
  <c r="C297" i="3"/>
  <c r="N296" i="3"/>
  <c r="M296" i="3"/>
  <c r="C296" i="3"/>
  <c r="N295" i="3"/>
  <c r="M295" i="3"/>
  <c r="C295" i="3"/>
  <c r="N294" i="3"/>
  <c r="M294" i="3"/>
  <c r="C294" i="3"/>
  <c r="N293" i="3"/>
  <c r="M293" i="3"/>
  <c r="C293" i="3"/>
  <c r="N292" i="3"/>
  <c r="M292" i="3"/>
  <c r="C292" i="3"/>
  <c r="N291" i="3"/>
  <c r="M291" i="3"/>
  <c r="C291" i="3"/>
  <c r="N290" i="3"/>
  <c r="M290" i="3"/>
  <c r="C290" i="3"/>
  <c r="N289" i="3"/>
  <c r="M289" i="3"/>
  <c r="C289" i="3"/>
  <c r="N288" i="3"/>
  <c r="M288" i="3"/>
  <c r="C288" i="3"/>
  <c r="N287" i="3"/>
  <c r="M287" i="3"/>
  <c r="C287" i="3"/>
  <c r="N286" i="3"/>
  <c r="M286" i="3"/>
  <c r="C286" i="3"/>
  <c r="N285" i="3"/>
  <c r="M285" i="3"/>
  <c r="C285" i="3"/>
  <c r="N284" i="3"/>
  <c r="M284" i="3"/>
  <c r="C284" i="3"/>
  <c r="N283" i="3"/>
  <c r="M283" i="3"/>
  <c r="C283" i="3"/>
  <c r="N282" i="3"/>
  <c r="M282" i="3"/>
  <c r="C282" i="3"/>
  <c r="N281" i="3"/>
  <c r="M281" i="3"/>
  <c r="C281" i="3"/>
  <c r="N280" i="3"/>
  <c r="M280" i="3"/>
  <c r="C280" i="3"/>
  <c r="N279" i="3"/>
  <c r="M279" i="3"/>
  <c r="C279" i="3"/>
  <c r="N278" i="3"/>
  <c r="M278" i="3"/>
  <c r="C278" i="3"/>
  <c r="N277" i="3"/>
  <c r="M277" i="3"/>
  <c r="C277" i="3"/>
  <c r="N276" i="3"/>
  <c r="M276" i="3"/>
  <c r="C276" i="3"/>
  <c r="N275" i="3"/>
  <c r="M275" i="3"/>
  <c r="C275" i="3"/>
  <c r="N274" i="3"/>
  <c r="M274" i="3"/>
  <c r="C274" i="3"/>
  <c r="N273" i="3"/>
  <c r="M273" i="3"/>
  <c r="C273" i="3"/>
  <c r="N272" i="3"/>
  <c r="M272" i="3"/>
  <c r="C272" i="3"/>
  <c r="N271" i="3"/>
  <c r="M271" i="3"/>
  <c r="C271" i="3"/>
  <c r="N270" i="3"/>
  <c r="M270" i="3"/>
  <c r="C270" i="3"/>
  <c r="N269" i="3"/>
  <c r="M269" i="3"/>
  <c r="C269" i="3"/>
  <c r="N268" i="3"/>
  <c r="M268" i="3"/>
  <c r="C268" i="3"/>
  <c r="N267" i="3"/>
  <c r="M267" i="3"/>
  <c r="C267" i="3"/>
  <c r="N266" i="3"/>
  <c r="M266" i="3"/>
  <c r="C266" i="3"/>
  <c r="N265" i="3"/>
  <c r="M265" i="3"/>
  <c r="C265" i="3"/>
  <c r="N264" i="3"/>
  <c r="M264" i="3"/>
  <c r="C264" i="3"/>
  <c r="N263" i="3"/>
  <c r="M263" i="3"/>
  <c r="C263" i="3"/>
  <c r="N262" i="3"/>
  <c r="M262" i="3"/>
  <c r="C262" i="3"/>
  <c r="N261" i="3"/>
  <c r="M261" i="3"/>
  <c r="C261" i="3"/>
  <c r="N260" i="3"/>
  <c r="M260" i="3"/>
  <c r="C260" i="3"/>
  <c r="N259" i="3"/>
  <c r="M259" i="3"/>
  <c r="C259" i="3"/>
  <c r="N258" i="3"/>
  <c r="M258" i="3"/>
  <c r="C258" i="3"/>
  <c r="N257" i="3"/>
  <c r="M257" i="3"/>
  <c r="C257" i="3"/>
  <c r="N256" i="3"/>
  <c r="M256" i="3"/>
  <c r="C256" i="3"/>
  <c r="N255" i="3"/>
  <c r="M255" i="3"/>
  <c r="C255" i="3"/>
  <c r="N254" i="3"/>
  <c r="M254" i="3"/>
  <c r="C254" i="3"/>
  <c r="N253" i="3"/>
  <c r="M253" i="3"/>
  <c r="C253" i="3"/>
  <c r="N252" i="3"/>
  <c r="M252" i="3"/>
  <c r="C252" i="3"/>
  <c r="N251" i="3"/>
  <c r="M251" i="3"/>
  <c r="C251" i="3"/>
  <c r="N250" i="3"/>
  <c r="M250" i="3"/>
  <c r="C250" i="3"/>
  <c r="N249" i="3"/>
  <c r="M249" i="3"/>
  <c r="C249" i="3"/>
  <c r="N248" i="3"/>
  <c r="M248" i="3"/>
  <c r="C248" i="3"/>
  <c r="N247" i="3"/>
  <c r="M247" i="3"/>
  <c r="C247" i="3"/>
  <c r="N246" i="3"/>
  <c r="M246" i="3"/>
  <c r="C246" i="3"/>
  <c r="N245" i="3"/>
  <c r="M245" i="3"/>
  <c r="C245" i="3"/>
  <c r="N244" i="3"/>
  <c r="M244" i="3"/>
  <c r="C244" i="3"/>
  <c r="N243" i="3"/>
  <c r="M243" i="3"/>
  <c r="C243" i="3"/>
  <c r="N242" i="3"/>
  <c r="M242" i="3"/>
  <c r="C242" i="3"/>
  <c r="N241" i="3"/>
  <c r="M241" i="3"/>
  <c r="C241" i="3"/>
  <c r="N240" i="3"/>
  <c r="M240" i="3"/>
  <c r="C240" i="3"/>
  <c r="N239" i="3"/>
  <c r="M239" i="3"/>
  <c r="C239" i="3"/>
  <c r="N238" i="3"/>
  <c r="M238" i="3"/>
  <c r="C238" i="3"/>
  <c r="N237" i="3"/>
  <c r="M237" i="3"/>
  <c r="C237" i="3"/>
  <c r="N236" i="3"/>
  <c r="M236" i="3"/>
  <c r="C236" i="3"/>
  <c r="N235" i="3"/>
  <c r="M235" i="3"/>
  <c r="C235" i="3"/>
  <c r="N234" i="3"/>
  <c r="M234" i="3"/>
  <c r="C234" i="3"/>
  <c r="N233" i="3"/>
  <c r="M233" i="3"/>
  <c r="C233" i="3"/>
  <c r="N232" i="3"/>
  <c r="M232" i="3"/>
  <c r="C232" i="3"/>
  <c r="N231" i="3"/>
  <c r="M231" i="3"/>
  <c r="C231" i="3"/>
  <c r="N230" i="3"/>
  <c r="M230" i="3"/>
  <c r="C230" i="3"/>
  <c r="N229" i="3"/>
  <c r="M229" i="3"/>
  <c r="C229" i="3"/>
  <c r="N228" i="3"/>
  <c r="M228" i="3"/>
  <c r="C228" i="3"/>
  <c r="N227" i="3"/>
  <c r="M227" i="3"/>
  <c r="C227" i="3"/>
  <c r="N226" i="3"/>
  <c r="M226" i="3"/>
  <c r="C226" i="3"/>
  <c r="N225" i="3"/>
  <c r="M225" i="3"/>
  <c r="C225" i="3"/>
  <c r="N224" i="3"/>
  <c r="M224" i="3"/>
  <c r="C224" i="3"/>
  <c r="N223" i="3"/>
  <c r="M223" i="3"/>
  <c r="C223" i="3"/>
  <c r="N222" i="3"/>
  <c r="M222" i="3"/>
  <c r="C222" i="3"/>
  <c r="N221" i="3"/>
  <c r="M221" i="3"/>
  <c r="C221" i="3"/>
  <c r="N220" i="3"/>
  <c r="M220" i="3"/>
  <c r="C220" i="3"/>
  <c r="N219" i="3"/>
  <c r="M219" i="3"/>
  <c r="C219" i="3"/>
  <c r="N218" i="3"/>
  <c r="M218" i="3"/>
  <c r="C218" i="3"/>
  <c r="N217" i="3"/>
  <c r="M217" i="3"/>
  <c r="C217" i="3"/>
  <c r="N216" i="3"/>
  <c r="M216" i="3"/>
  <c r="C216" i="3"/>
  <c r="N215" i="3"/>
  <c r="M215" i="3"/>
  <c r="C215" i="3"/>
  <c r="N214" i="3"/>
  <c r="M214" i="3"/>
  <c r="C214" i="3"/>
  <c r="N213" i="3"/>
  <c r="M213" i="3"/>
  <c r="C213" i="3"/>
  <c r="N212" i="3"/>
  <c r="M212" i="3"/>
  <c r="C212" i="3"/>
  <c r="N211" i="3"/>
  <c r="M211" i="3"/>
  <c r="C211" i="3"/>
  <c r="N210" i="3"/>
  <c r="M210" i="3"/>
  <c r="C210" i="3"/>
  <c r="N209" i="3"/>
  <c r="M209" i="3"/>
  <c r="C209" i="3"/>
  <c r="N208" i="3"/>
  <c r="M208" i="3"/>
  <c r="C208" i="3"/>
  <c r="N207" i="3"/>
  <c r="M207" i="3"/>
  <c r="C207" i="3"/>
  <c r="N206" i="3"/>
  <c r="M206" i="3"/>
  <c r="C206" i="3"/>
  <c r="N205" i="3"/>
  <c r="M205" i="3"/>
  <c r="C205" i="3"/>
  <c r="N204" i="3"/>
  <c r="M204" i="3"/>
  <c r="C204" i="3"/>
  <c r="N203" i="3"/>
  <c r="M203" i="3"/>
  <c r="C203" i="3"/>
  <c r="N202" i="3"/>
  <c r="M202" i="3"/>
  <c r="C202" i="3"/>
  <c r="N201" i="3"/>
  <c r="M201" i="3"/>
  <c r="C201" i="3"/>
  <c r="N200" i="3"/>
  <c r="M200" i="3"/>
  <c r="C200" i="3"/>
  <c r="N199" i="3"/>
  <c r="M199" i="3"/>
  <c r="C199" i="3"/>
  <c r="N198" i="3"/>
  <c r="M198" i="3"/>
  <c r="C198" i="3"/>
  <c r="N197" i="3"/>
  <c r="M197" i="3"/>
  <c r="C197" i="3"/>
  <c r="N196" i="3"/>
  <c r="M196" i="3"/>
  <c r="C196" i="3"/>
  <c r="N195" i="3"/>
  <c r="M195" i="3"/>
  <c r="C195" i="3"/>
  <c r="N194" i="3"/>
  <c r="M194" i="3"/>
  <c r="C194" i="3"/>
  <c r="N193" i="3"/>
  <c r="M193" i="3"/>
  <c r="C193" i="3"/>
  <c r="N192" i="3"/>
  <c r="M192" i="3"/>
  <c r="C192" i="3"/>
  <c r="N191" i="3"/>
  <c r="M191" i="3"/>
  <c r="C191" i="3"/>
  <c r="N190" i="3"/>
  <c r="M190" i="3"/>
  <c r="C190" i="3"/>
  <c r="N189" i="3"/>
  <c r="M189" i="3"/>
  <c r="C189" i="3"/>
  <c r="N188" i="3"/>
  <c r="M188" i="3"/>
  <c r="C188" i="3"/>
  <c r="N187" i="3"/>
  <c r="M187" i="3"/>
  <c r="C187" i="3"/>
  <c r="N186" i="3"/>
  <c r="M186" i="3"/>
  <c r="C186" i="3"/>
  <c r="N185" i="3"/>
  <c r="M185" i="3"/>
  <c r="C185" i="3"/>
  <c r="N184" i="3"/>
  <c r="M184" i="3"/>
  <c r="C184" i="3"/>
  <c r="N183" i="3"/>
  <c r="M183" i="3"/>
  <c r="C183" i="3"/>
  <c r="N182" i="3"/>
  <c r="M182" i="3"/>
  <c r="C182" i="3"/>
  <c r="N181" i="3"/>
  <c r="M181" i="3"/>
  <c r="C181" i="3"/>
  <c r="N180" i="3"/>
  <c r="M180" i="3"/>
  <c r="C180" i="3"/>
  <c r="N179" i="3"/>
  <c r="M179" i="3"/>
  <c r="C179" i="3"/>
  <c r="N178" i="3"/>
  <c r="M178" i="3"/>
  <c r="C178" i="3"/>
  <c r="N177" i="3"/>
  <c r="M177" i="3"/>
  <c r="C177" i="3"/>
  <c r="N176" i="3"/>
  <c r="M176" i="3"/>
  <c r="C176" i="3"/>
  <c r="N175" i="3"/>
  <c r="M175" i="3"/>
  <c r="C175" i="3"/>
  <c r="N174" i="3"/>
  <c r="M174" i="3"/>
  <c r="C174" i="3"/>
  <c r="N173" i="3"/>
  <c r="M173" i="3"/>
  <c r="C173" i="3"/>
  <c r="N172" i="3"/>
  <c r="M172" i="3"/>
  <c r="C172" i="3"/>
  <c r="N171" i="3"/>
  <c r="M171" i="3"/>
  <c r="C171" i="3"/>
  <c r="N170" i="3"/>
  <c r="M170" i="3"/>
  <c r="C170" i="3"/>
  <c r="N169" i="3"/>
  <c r="M169" i="3"/>
  <c r="C169" i="3"/>
  <c r="N168" i="3"/>
  <c r="M168" i="3"/>
  <c r="C168" i="3"/>
  <c r="N167" i="3"/>
  <c r="M167" i="3"/>
  <c r="C167" i="3"/>
  <c r="N166" i="3"/>
  <c r="M166" i="3"/>
  <c r="C166" i="3"/>
  <c r="N165" i="3"/>
  <c r="M165" i="3"/>
  <c r="C165" i="3"/>
  <c r="N164" i="3"/>
  <c r="M164" i="3"/>
  <c r="C164" i="3"/>
  <c r="N163" i="3"/>
  <c r="M163" i="3"/>
  <c r="C163" i="3"/>
  <c r="N162" i="3"/>
  <c r="M162" i="3"/>
  <c r="C162" i="3"/>
  <c r="N161" i="3"/>
  <c r="M161" i="3"/>
  <c r="C161" i="3"/>
  <c r="N160" i="3"/>
  <c r="M160" i="3"/>
  <c r="C160" i="3"/>
  <c r="N159" i="3"/>
  <c r="M159" i="3"/>
  <c r="C159" i="3"/>
  <c r="N158" i="3"/>
  <c r="M158" i="3"/>
  <c r="C158" i="3"/>
  <c r="N157" i="3"/>
  <c r="M157" i="3"/>
  <c r="C157" i="3"/>
  <c r="N156" i="3"/>
  <c r="M156" i="3"/>
  <c r="C156" i="3"/>
  <c r="N155" i="3"/>
  <c r="M155" i="3"/>
  <c r="C155" i="3"/>
  <c r="N154" i="3"/>
  <c r="M154" i="3"/>
  <c r="C154" i="3"/>
  <c r="N153" i="3"/>
  <c r="M153" i="3"/>
  <c r="C153" i="3"/>
  <c r="N152" i="3"/>
  <c r="M152" i="3"/>
  <c r="C152" i="3"/>
  <c r="N151" i="3"/>
  <c r="M151" i="3"/>
  <c r="C151" i="3"/>
  <c r="N150" i="3"/>
  <c r="M150" i="3"/>
  <c r="C150" i="3"/>
  <c r="N149" i="3"/>
  <c r="M149" i="3"/>
  <c r="C149" i="3"/>
  <c r="N148" i="3"/>
  <c r="M148" i="3"/>
  <c r="C148" i="3"/>
  <c r="N147" i="3"/>
  <c r="M147" i="3"/>
  <c r="C147" i="3"/>
  <c r="N146" i="3"/>
  <c r="M146" i="3"/>
  <c r="C146" i="3"/>
  <c r="N145" i="3"/>
  <c r="M145" i="3"/>
  <c r="C145" i="3"/>
  <c r="N144" i="3"/>
  <c r="M144" i="3"/>
  <c r="C144" i="3"/>
  <c r="N143" i="3"/>
  <c r="M143" i="3"/>
  <c r="C143" i="3"/>
  <c r="N142" i="3"/>
  <c r="M142" i="3"/>
  <c r="C142" i="3"/>
  <c r="N141" i="3"/>
  <c r="M141" i="3"/>
  <c r="C141" i="3"/>
  <c r="N140" i="3"/>
  <c r="M140" i="3"/>
  <c r="C140" i="3"/>
  <c r="N139" i="3"/>
  <c r="M139" i="3"/>
  <c r="C139" i="3"/>
  <c r="N138" i="3"/>
  <c r="M138" i="3"/>
  <c r="C138" i="3"/>
  <c r="N137" i="3"/>
  <c r="M137" i="3"/>
  <c r="C137" i="3"/>
  <c r="N136" i="3"/>
  <c r="M136" i="3"/>
  <c r="C136" i="3"/>
  <c r="N135" i="3"/>
  <c r="M135" i="3"/>
  <c r="C135" i="3"/>
  <c r="N134" i="3"/>
  <c r="M134" i="3"/>
  <c r="C134" i="3"/>
  <c r="N133" i="3"/>
  <c r="M133" i="3"/>
  <c r="C133" i="3"/>
  <c r="N132" i="3"/>
  <c r="M132" i="3"/>
  <c r="C132" i="3"/>
  <c r="N131" i="3"/>
  <c r="M131" i="3"/>
  <c r="C131" i="3"/>
  <c r="N130" i="3"/>
  <c r="M130" i="3"/>
  <c r="C130" i="3"/>
  <c r="N129" i="3"/>
  <c r="M129" i="3"/>
  <c r="C129" i="3"/>
  <c r="N128" i="3"/>
  <c r="M128" i="3"/>
  <c r="C128" i="3"/>
  <c r="N127" i="3"/>
  <c r="M127" i="3"/>
  <c r="C127" i="3"/>
  <c r="N126" i="3"/>
  <c r="M126" i="3"/>
  <c r="C126" i="3"/>
  <c r="N125" i="3"/>
  <c r="M125" i="3"/>
  <c r="C125" i="3"/>
  <c r="N124" i="3"/>
  <c r="M124" i="3"/>
  <c r="C124" i="3"/>
  <c r="N123" i="3"/>
  <c r="M123" i="3"/>
  <c r="C123" i="3"/>
  <c r="N122" i="3"/>
  <c r="M122" i="3"/>
  <c r="C122" i="3"/>
  <c r="N121" i="3"/>
  <c r="M121" i="3"/>
  <c r="C121" i="3"/>
  <c r="N120" i="3"/>
  <c r="M120" i="3"/>
  <c r="C120" i="3"/>
  <c r="N119" i="3"/>
  <c r="M119" i="3"/>
  <c r="C119" i="3"/>
  <c r="N118" i="3"/>
  <c r="M118" i="3"/>
  <c r="C118" i="3"/>
  <c r="N117" i="3"/>
  <c r="M117" i="3"/>
  <c r="C117" i="3"/>
  <c r="N116" i="3"/>
  <c r="M116" i="3"/>
  <c r="C116" i="3"/>
  <c r="N115" i="3"/>
  <c r="M115" i="3"/>
  <c r="C115" i="3"/>
  <c r="N114" i="3"/>
  <c r="M114" i="3"/>
  <c r="C114" i="3"/>
  <c r="N113" i="3"/>
  <c r="M113" i="3"/>
  <c r="C113" i="3"/>
  <c r="N112" i="3"/>
  <c r="M112" i="3"/>
  <c r="C112" i="3"/>
  <c r="N111" i="3"/>
  <c r="M111" i="3"/>
  <c r="C111" i="3"/>
  <c r="N110" i="3"/>
  <c r="M110" i="3"/>
  <c r="C110" i="3"/>
  <c r="N109" i="3"/>
  <c r="M109" i="3"/>
  <c r="C109" i="3"/>
  <c r="N108" i="3"/>
  <c r="M108" i="3"/>
  <c r="C108" i="3"/>
  <c r="N107" i="3"/>
  <c r="M107" i="3"/>
  <c r="C107" i="3"/>
  <c r="N106" i="3"/>
  <c r="M106" i="3"/>
  <c r="C106" i="3"/>
  <c r="N105" i="3"/>
  <c r="M105" i="3"/>
  <c r="C105" i="3"/>
  <c r="N104" i="3"/>
  <c r="M104" i="3"/>
  <c r="C104" i="3"/>
  <c r="N103" i="3"/>
  <c r="M103" i="3"/>
  <c r="C103" i="3"/>
  <c r="N102" i="3"/>
  <c r="M102" i="3"/>
  <c r="C102" i="3"/>
  <c r="N101" i="3"/>
  <c r="M101" i="3"/>
  <c r="C101" i="3"/>
  <c r="N100" i="3"/>
  <c r="M100" i="3"/>
  <c r="C100" i="3"/>
  <c r="N99" i="3"/>
  <c r="M99" i="3"/>
  <c r="C99" i="3"/>
  <c r="N98" i="3"/>
  <c r="M98" i="3"/>
  <c r="C98" i="3"/>
  <c r="N97" i="3"/>
  <c r="M97" i="3"/>
  <c r="C97" i="3"/>
  <c r="N96" i="3"/>
  <c r="M96" i="3"/>
  <c r="C96" i="3"/>
  <c r="N95" i="3"/>
  <c r="M95" i="3"/>
  <c r="C95" i="3"/>
  <c r="N94" i="3"/>
  <c r="M94" i="3"/>
  <c r="C94" i="3"/>
  <c r="N93" i="3"/>
  <c r="M93" i="3"/>
  <c r="C93" i="3"/>
  <c r="N92" i="3"/>
  <c r="M92" i="3"/>
  <c r="C92" i="3"/>
  <c r="N91" i="3"/>
  <c r="M91" i="3"/>
  <c r="C91" i="3"/>
  <c r="N90" i="3"/>
  <c r="M90" i="3"/>
  <c r="C90" i="3"/>
  <c r="N89" i="3"/>
  <c r="M89" i="3"/>
  <c r="C89" i="3"/>
  <c r="N88" i="3"/>
  <c r="M88" i="3"/>
  <c r="C88" i="3"/>
  <c r="N87" i="3"/>
  <c r="M87" i="3"/>
  <c r="C87" i="3"/>
  <c r="N86" i="3"/>
  <c r="M86" i="3"/>
  <c r="C86" i="3"/>
  <c r="N85" i="3"/>
  <c r="M85" i="3"/>
  <c r="C85" i="3"/>
  <c r="N84" i="3"/>
  <c r="M84" i="3"/>
  <c r="C84" i="3"/>
  <c r="N83" i="3"/>
  <c r="M83" i="3"/>
  <c r="C83" i="3"/>
  <c r="N82" i="3"/>
  <c r="M82" i="3"/>
  <c r="C82" i="3"/>
  <c r="N81" i="3"/>
  <c r="M81" i="3"/>
  <c r="C81" i="3"/>
  <c r="N80" i="3"/>
  <c r="M80" i="3"/>
  <c r="C80" i="3"/>
  <c r="N79" i="3"/>
  <c r="M79" i="3"/>
  <c r="C79" i="3"/>
  <c r="N78" i="3"/>
  <c r="M78" i="3"/>
  <c r="C78" i="3"/>
  <c r="N77" i="3"/>
  <c r="M77" i="3"/>
  <c r="C77" i="3"/>
  <c r="N76" i="3"/>
  <c r="M76" i="3"/>
  <c r="C76" i="3"/>
  <c r="N75" i="3"/>
  <c r="M75" i="3"/>
  <c r="C75" i="3"/>
  <c r="N74" i="3"/>
  <c r="M74" i="3"/>
  <c r="C74" i="3"/>
  <c r="N73" i="3"/>
  <c r="M73" i="3"/>
  <c r="C73" i="3"/>
  <c r="N72" i="3"/>
  <c r="M72" i="3"/>
  <c r="C72" i="3"/>
  <c r="N71" i="3"/>
  <c r="M71" i="3"/>
  <c r="C71" i="3"/>
  <c r="N70" i="3"/>
  <c r="M70" i="3"/>
  <c r="C70" i="3"/>
  <c r="N69" i="3"/>
  <c r="M69" i="3"/>
  <c r="C69" i="3"/>
  <c r="N68" i="3"/>
  <c r="M68" i="3"/>
  <c r="C68" i="3"/>
  <c r="N67" i="3"/>
  <c r="M67" i="3"/>
  <c r="C67" i="3"/>
  <c r="N66" i="3"/>
  <c r="M66" i="3"/>
  <c r="C66" i="3"/>
  <c r="N65" i="3"/>
  <c r="M65" i="3"/>
  <c r="C65" i="3"/>
  <c r="N64" i="3"/>
  <c r="M64" i="3"/>
  <c r="C64" i="3"/>
  <c r="N63" i="3"/>
  <c r="M63" i="3"/>
  <c r="C63" i="3"/>
  <c r="N62" i="3"/>
  <c r="M62" i="3"/>
  <c r="C62" i="3"/>
  <c r="N61" i="3"/>
  <c r="M61" i="3"/>
  <c r="C61" i="3"/>
  <c r="N60" i="3"/>
  <c r="M60" i="3"/>
  <c r="C60" i="3"/>
  <c r="N59" i="3"/>
  <c r="M59" i="3"/>
  <c r="C59" i="3"/>
  <c r="N58" i="3"/>
  <c r="M58" i="3"/>
  <c r="C58" i="3"/>
  <c r="N57" i="3"/>
  <c r="M57" i="3"/>
  <c r="C57" i="3"/>
  <c r="N56" i="3"/>
  <c r="M56" i="3"/>
  <c r="C56" i="3"/>
  <c r="N55" i="3"/>
  <c r="M55" i="3"/>
  <c r="C55" i="3"/>
  <c r="N54" i="3"/>
  <c r="M54" i="3"/>
  <c r="C54" i="3"/>
  <c r="N53" i="3"/>
  <c r="M53" i="3"/>
  <c r="C53" i="3"/>
  <c r="N52" i="3"/>
  <c r="M52" i="3"/>
  <c r="C52" i="3"/>
  <c r="N51" i="3"/>
  <c r="M51" i="3"/>
  <c r="C51" i="3"/>
  <c r="N50" i="3"/>
  <c r="M50" i="3"/>
  <c r="C50" i="3"/>
  <c r="N49" i="3"/>
  <c r="M49" i="3"/>
  <c r="C49" i="3"/>
  <c r="N48" i="3"/>
  <c r="M48" i="3"/>
  <c r="C48" i="3"/>
  <c r="N47" i="3"/>
  <c r="M47" i="3"/>
  <c r="C47" i="3"/>
  <c r="N46" i="3"/>
  <c r="M46" i="3"/>
  <c r="C46" i="3"/>
  <c r="N45" i="3"/>
  <c r="M45" i="3"/>
  <c r="C45" i="3"/>
  <c r="N44" i="3"/>
  <c r="M44" i="3"/>
  <c r="C44" i="3"/>
  <c r="N43" i="3"/>
  <c r="M43" i="3"/>
  <c r="C43" i="3"/>
  <c r="N42" i="3"/>
  <c r="M42" i="3"/>
  <c r="C42" i="3"/>
  <c r="N41" i="3"/>
  <c r="M41" i="3"/>
  <c r="C41" i="3"/>
  <c r="N40" i="3"/>
  <c r="M40" i="3"/>
  <c r="C40" i="3"/>
  <c r="N39" i="3"/>
  <c r="M39" i="3"/>
  <c r="C39" i="3"/>
  <c r="N38" i="3"/>
  <c r="M38" i="3"/>
  <c r="C38" i="3"/>
  <c r="N37" i="3"/>
  <c r="M37" i="3"/>
  <c r="C37" i="3"/>
  <c r="N36" i="3"/>
  <c r="M36" i="3"/>
  <c r="C36" i="3"/>
  <c r="N35" i="3"/>
  <c r="M35" i="3"/>
  <c r="C35" i="3"/>
  <c r="N34" i="3"/>
  <c r="M34" i="3"/>
  <c r="C34" i="3"/>
  <c r="N33" i="3"/>
  <c r="M33" i="3"/>
  <c r="C33" i="3"/>
  <c r="N32" i="3"/>
  <c r="M32" i="3"/>
  <c r="C32" i="3"/>
  <c r="N31" i="3"/>
  <c r="M31" i="3"/>
  <c r="C31" i="3"/>
  <c r="N30" i="3"/>
  <c r="M30" i="3"/>
  <c r="C30" i="3"/>
  <c r="N29" i="3"/>
  <c r="M29" i="3"/>
  <c r="C29" i="3"/>
  <c r="N28" i="3"/>
  <c r="M28" i="3"/>
  <c r="C28" i="3"/>
  <c r="N27" i="3"/>
  <c r="M27" i="3"/>
  <c r="C27" i="3"/>
  <c r="N26" i="3"/>
  <c r="M26" i="3"/>
  <c r="C26" i="3"/>
  <c r="N25" i="3"/>
  <c r="M25" i="3"/>
  <c r="C25" i="3"/>
  <c r="N24" i="3"/>
  <c r="M24" i="3"/>
  <c r="C24" i="3"/>
  <c r="N23" i="3"/>
  <c r="M23" i="3"/>
  <c r="C23" i="3"/>
  <c r="N22" i="3"/>
  <c r="M22" i="3"/>
  <c r="C22" i="3"/>
  <c r="N21" i="3"/>
  <c r="M21" i="3"/>
  <c r="C21" i="3"/>
  <c r="N20" i="3"/>
  <c r="M20" i="3"/>
  <c r="C20" i="3"/>
  <c r="N19" i="3"/>
  <c r="M19" i="3"/>
  <c r="C19" i="3"/>
  <c r="N18" i="3"/>
  <c r="M18" i="3"/>
  <c r="C18" i="3"/>
  <c r="N17" i="3"/>
  <c r="M17" i="3"/>
  <c r="C17" i="3"/>
  <c r="N16" i="3"/>
  <c r="M16" i="3"/>
  <c r="C16" i="3"/>
  <c r="N15" i="3"/>
  <c r="M15" i="3"/>
  <c r="C15" i="3"/>
  <c r="N14" i="3"/>
  <c r="M14" i="3"/>
  <c r="C14" i="3"/>
  <c r="N13" i="3"/>
  <c r="M13" i="3"/>
  <c r="C13" i="3"/>
  <c r="N12" i="3"/>
  <c r="M12" i="3"/>
  <c r="C12" i="3"/>
  <c r="N11" i="3"/>
  <c r="M11" i="3"/>
  <c r="C11" i="3"/>
  <c r="N10" i="3"/>
  <c r="M10" i="3"/>
  <c r="C10" i="3"/>
  <c r="N9" i="3"/>
  <c r="M9" i="3"/>
  <c r="C9" i="3"/>
  <c r="N8" i="3"/>
  <c r="M8" i="3"/>
  <c r="C8" i="3"/>
  <c r="N7" i="3"/>
  <c r="M7" i="3"/>
  <c r="C7" i="3"/>
  <c r="N6" i="3"/>
  <c r="M6" i="3"/>
  <c r="C6" i="3"/>
  <c r="N5" i="3"/>
  <c r="M5" i="3"/>
  <c r="C5" i="3"/>
  <c r="N4" i="3"/>
  <c r="M4" i="3"/>
  <c r="C4" i="3"/>
  <c r="N3" i="3"/>
  <c r="M3" i="3"/>
  <c r="C3" i="3"/>
  <c r="N2" i="3"/>
  <c r="M2" i="3"/>
  <c r="C2" i="3"/>
  <c r="AF27" i="2"/>
  <c r="X27" i="2"/>
  <c r="W27" i="2"/>
  <c r="V27" i="2"/>
  <c r="U27" i="2"/>
  <c r="T27" i="2"/>
  <c r="S27" i="2"/>
  <c r="R27" i="2"/>
  <c r="Q27" i="2"/>
  <c r="P27" i="2"/>
  <c r="N27" i="2"/>
  <c r="AG27" i="2" s="1"/>
  <c r="M27" i="2"/>
  <c r="O27" i="2" s="1"/>
  <c r="L27" i="2"/>
  <c r="X26" i="2"/>
  <c r="W26" i="2"/>
  <c r="V26" i="2"/>
  <c r="U26" i="2"/>
  <c r="T26" i="2"/>
  <c r="S26" i="2"/>
  <c r="R26" i="2"/>
  <c r="Q26" i="2"/>
  <c r="P26" i="2"/>
  <c r="N26" i="2"/>
  <c r="M26" i="2"/>
  <c r="O26" i="2" s="1"/>
  <c r="L26" i="2"/>
  <c r="AF25" i="2"/>
  <c r="X25" i="2"/>
  <c r="W25" i="2"/>
  <c r="V25" i="2"/>
  <c r="U25" i="2"/>
  <c r="T25" i="2"/>
  <c r="S25" i="2"/>
  <c r="R25" i="2"/>
  <c r="Q25" i="2"/>
  <c r="P25" i="2"/>
  <c r="N25" i="2"/>
  <c r="M25" i="2"/>
  <c r="L25" i="2"/>
  <c r="X24" i="2"/>
  <c r="W24" i="2"/>
  <c r="V24" i="2"/>
  <c r="U24" i="2"/>
  <c r="T24" i="2"/>
  <c r="S24" i="2"/>
  <c r="R24" i="2"/>
  <c r="Q24" i="2"/>
  <c r="P24" i="2"/>
  <c r="N24" i="2"/>
  <c r="M24" i="2"/>
  <c r="O24" i="2" s="1"/>
  <c r="L24" i="2"/>
  <c r="AF23" i="2"/>
  <c r="X23" i="2"/>
  <c r="W23" i="2"/>
  <c r="V23" i="2"/>
  <c r="U23" i="2"/>
  <c r="T23" i="2"/>
  <c r="S23" i="2"/>
  <c r="R23" i="2"/>
  <c r="Q23" i="2"/>
  <c r="P23" i="2"/>
  <c r="N23" i="2"/>
  <c r="M23" i="2"/>
  <c r="L23" i="2"/>
  <c r="X22" i="2"/>
  <c r="W22" i="2"/>
  <c r="V22" i="2"/>
  <c r="U22" i="2"/>
  <c r="T22" i="2"/>
  <c r="S22" i="2"/>
  <c r="R22" i="2"/>
  <c r="Q22" i="2"/>
  <c r="P22" i="2"/>
  <c r="N22" i="2"/>
  <c r="M22" i="2"/>
  <c r="O22" i="2" s="1"/>
  <c r="L22" i="2"/>
  <c r="AF21" i="2"/>
  <c r="X21" i="2"/>
  <c r="W21" i="2"/>
  <c r="V21" i="2"/>
  <c r="U21" i="2"/>
  <c r="T21" i="2"/>
  <c r="S21" i="2"/>
  <c r="R21" i="2"/>
  <c r="Q21" i="2"/>
  <c r="P21" i="2"/>
  <c r="N21" i="2"/>
  <c r="M21" i="2"/>
  <c r="L21" i="2"/>
  <c r="X20" i="2"/>
  <c r="W20" i="2"/>
  <c r="V20" i="2"/>
  <c r="U20" i="2"/>
  <c r="T20" i="2"/>
  <c r="S20" i="2"/>
  <c r="R20" i="2"/>
  <c r="Q20" i="2"/>
  <c r="P20" i="2"/>
  <c r="N20" i="2"/>
  <c r="M20" i="2"/>
  <c r="O20" i="2" s="1"/>
  <c r="L20" i="2"/>
  <c r="AF19" i="2"/>
  <c r="X19" i="2"/>
  <c r="W19" i="2"/>
  <c r="V19" i="2"/>
  <c r="U19" i="2"/>
  <c r="T19" i="2"/>
  <c r="S19" i="2"/>
  <c r="R19" i="2"/>
  <c r="Q19" i="2"/>
  <c r="P19" i="2"/>
  <c r="M19" i="2"/>
  <c r="L19" i="2"/>
  <c r="X18" i="2"/>
  <c r="W18" i="2"/>
  <c r="V18" i="2"/>
  <c r="U18" i="2"/>
  <c r="T18" i="2"/>
  <c r="S18" i="2"/>
  <c r="R18" i="2"/>
  <c r="Q18" i="2"/>
  <c r="P18" i="2"/>
  <c r="M18" i="2"/>
  <c r="L18" i="2"/>
  <c r="AF17" i="2"/>
  <c r="X17" i="2"/>
  <c r="W17" i="2"/>
  <c r="V17" i="2"/>
  <c r="U17" i="2"/>
  <c r="T17" i="2"/>
  <c r="S17" i="2"/>
  <c r="R17" i="2"/>
  <c r="Q17" i="2"/>
  <c r="P17" i="2"/>
  <c r="M17" i="2"/>
  <c r="L17" i="2"/>
  <c r="X16" i="2"/>
  <c r="W16" i="2"/>
  <c r="V16" i="2"/>
  <c r="U16" i="2"/>
  <c r="T16" i="2"/>
  <c r="S16" i="2"/>
  <c r="R16" i="2"/>
  <c r="Q16" i="2"/>
  <c r="P16" i="2"/>
  <c r="M16" i="2"/>
  <c r="L16" i="2"/>
  <c r="AF15" i="2"/>
  <c r="X15" i="2"/>
  <c r="W15" i="2"/>
  <c r="V15" i="2"/>
  <c r="U15" i="2"/>
  <c r="T15" i="2"/>
  <c r="S15" i="2"/>
  <c r="R15" i="2"/>
  <c r="Q15" i="2"/>
  <c r="P15" i="2"/>
  <c r="M15" i="2"/>
  <c r="L15" i="2"/>
  <c r="X14" i="2"/>
  <c r="W14" i="2"/>
  <c r="V14" i="2"/>
  <c r="U14" i="2"/>
  <c r="T14" i="2"/>
  <c r="S14" i="2"/>
  <c r="R14" i="2"/>
  <c r="Q14" i="2"/>
  <c r="P14" i="2"/>
  <c r="M14" i="2"/>
  <c r="L14" i="2"/>
  <c r="AF13" i="2"/>
  <c r="X13" i="2"/>
  <c r="W13" i="2"/>
  <c r="V13" i="2"/>
  <c r="U13" i="2"/>
  <c r="T13" i="2"/>
  <c r="S13" i="2"/>
  <c r="R13" i="2"/>
  <c r="Q13" i="2"/>
  <c r="P13" i="2"/>
  <c r="M13" i="2"/>
  <c r="L13" i="2"/>
  <c r="X12" i="2"/>
  <c r="W12" i="2"/>
  <c r="V12" i="2"/>
  <c r="U12" i="2"/>
  <c r="T12" i="2"/>
  <c r="S12" i="2"/>
  <c r="R12" i="2"/>
  <c r="Q12" i="2"/>
  <c r="P12" i="2"/>
  <c r="M12" i="2"/>
  <c r="L12" i="2"/>
  <c r="AF11" i="2"/>
  <c r="X11" i="2"/>
  <c r="W11" i="2"/>
  <c r="V11" i="2"/>
  <c r="U11" i="2"/>
  <c r="T11" i="2"/>
  <c r="S11" i="2"/>
  <c r="R11" i="2"/>
  <c r="Q11" i="2"/>
  <c r="P11" i="2"/>
  <c r="M11" i="2"/>
  <c r="L11" i="2"/>
  <c r="X10" i="2"/>
  <c r="W10" i="2"/>
  <c r="V10" i="2"/>
  <c r="U10" i="2"/>
  <c r="T10" i="2"/>
  <c r="S10" i="2"/>
  <c r="R10" i="2"/>
  <c r="Q10" i="2"/>
  <c r="P10" i="2"/>
  <c r="M10" i="2"/>
  <c r="L10" i="2"/>
  <c r="AF9" i="2"/>
  <c r="X9" i="2"/>
  <c r="W9" i="2"/>
  <c r="V9" i="2"/>
  <c r="U9" i="2"/>
  <c r="T9" i="2"/>
  <c r="S9" i="2"/>
  <c r="R9" i="2"/>
  <c r="Q9" i="2"/>
  <c r="P9" i="2"/>
  <c r="M9" i="2"/>
  <c r="L9" i="2"/>
  <c r="X8" i="2"/>
  <c r="W8" i="2"/>
  <c r="V8" i="2"/>
  <c r="U8" i="2"/>
  <c r="T8" i="2"/>
  <c r="S8" i="2"/>
  <c r="R8" i="2"/>
  <c r="Q8" i="2"/>
  <c r="P8" i="2"/>
  <c r="M8" i="2"/>
  <c r="L8" i="2"/>
  <c r="AF7" i="2"/>
  <c r="X7" i="2"/>
  <c r="W7" i="2"/>
  <c r="V7" i="2"/>
  <c r="U7" i="2"/>
  <c r="T7" i="2"/>
  <c r="S7" i="2"/>
  <c r="R7" i="2"/>
  <c r="Q7" i="2"/>
  <c r="P7" i="2"/>
  <c r="M7" i="2"/>
  <c r="L7" i="2"/>
  <c r="X6" i="2"/>
  <c r="W6" i="2"/>
  <c r="V6" i="2"/>
  <c r="U6" i="2"/>
  <c r="T6" i="2"/>
  <c r="S6" i="2"/>
  <c r="R6" i="2"/>
  <c r="Q6" i="2"/>
  <c r="P6" i="2"/>
  <c r="M6" i="2"/>
  <c r="L6" i="2"/>
  <c r="AF5" i="2"/>
  <c r="X5" i="2"/>
  <c r="W5" i="2"/>
  <c r="V5" i="2"/>
  <c r="U5" i="2"/>
  <c r="T5" i="2"/>
  <c r="S5" i="2"/>
  <c r="R5" i="2"/>
  <c r="Q5" i="2"/>
  <c r="P5" i="2"/>
  <c r="M5" i="2"/>
  <c r="L5" i="2"/>
  <c r="X4" i="2"/>
  <c r="W4" i="2"/>
  <c r="V4" i="2"/>
  <c r="U4" i="2"/>
  <c r="T4" i="2"/>
  <c r="S4" i="2"/>
  <c r="R4" i="2"/>
  <c r="Q4" i="2"/>
  <c r="P4" i="2"/>
  <c r="M4" i="2"/>
  <c r="L4" i="2"/>
  <c r="AF3" i="2"/>
  <c r="X3" i="2"/>
  <c r="W3" i="2"/>
  <c r="V3" i="2"/>
  <c r="U3" i="2"/>
  <c r="T3" i="2"/>
  <c r="S3" i="2"/>
  <c r="C12" i="6" s="1"/>
  <c r="R3" i="2"/>
  <c r="C6" i="6" s="1"/>
  <c r="Q3" i="2"/>
  <c r="C5" i="6" s="1"/>
  <c r="P3" i="2"/>
  <c r="M3" i="2"/>
  <c r="L3" i="2"/>
  <c r="X2" i="2"/>
  <c r="W2" i="2"/>
  <c r="V2" i="2"/>
  <c r="U2" i="2"/>
  <c r="B10" i="6" s="1"/>
  <c r="T2" i="2"/>
  <c r="B9" i="6" s="1"/>
  <c r="S2" i="2"/>
  <c r="B12" i="6" s="1"/>
  <c r="R2" i="2"/>
  <c r="B6" i="6" s="1"/>
  <c r="Q2" i="2"/>
  <c r="B5" i="6" s="1"/>
  <c r="P2" i="2"/>
  <c r="M2" i="2"/>
  <c r="L2" i="2"/>
  <c r="N10" i="2" l="1"/>
  <c r="O10" i="2" s="1"/>
  <c r="B11" i="6"/>
  <c r="AD27" i="2"/>
  <c r="O16" i="2"/>
  <c r="O12" i="2"/>
  <c r="O6" i="2"/>
  <c r="AF8" i="2"/>
  <c r="AF2" i="2"/>
  <c r="AF18" i="2"/>
  <c r="AG16" i="2"/>
  <c r="AF14" i="2"/>
  <c r="AF12" i="2"/>
  <c r="AG10" i="2"/>
  <c r="AG8" i="2"/>
  <c r="AG6" i="2"/>
  <c r="N2" i="2"/>
  <c r="AG22" i="2"/>
  <c r="AF20" i="2"/>
  <c r="AG18" i="2"/>
  <c r="AF16" i="2"/>
  <c r="AG14" i="2"/>
  <c r="AF10" i="2"/>
  <c r="AB10" i="2" s="1"/>
  <c r="AC10" i="2" s="1"/>
  <c r="AF22" i="2"/>
  <c r="AG20" i="2"/>
  <c r="AF6" i="2"/>
  <c r="AG12" i="2"/>
  <c r="AG2" i="2"/>
  <c r="Y27" i="2"/>
  <c r="AB27" i="2"/>
  <c r="AC27" i="2" s="1"/>
  <c r="AE27" i="2"/>
  <c r="AA27" i="2"/>
  <c r="Z27" i="2"/>
  <c r="AD6" i="2"/>
  <c r="AE6" i="2"/>
  <c r="AG26" i="2"/>
  <c r="AF26" i="2"/>
  <c r="AF4" i="2"/>
  <c r="AG4" i="2"/>
  <c r="AG24" i="2"/>
  <c r="AF24" i="2"/>
  <c r="AA26" i="2"/>
  <c r="AE26" i="2"/>
  <c r="AB26" i="2"/>
  <c r="AC26" i="2" s="1"/>
  <c r="AD26" i="2"/>
  <c r="Y26" i="2"/>
  <c r="Z26" i="2"/>
  <c r="O25" i="2"/>
  <c r="AG25" i="2"/>
  <c r="Y25" i="2"/>
  <c r="Z25" i="2"/>
  <c r="AA25" i="2"/>
  <c r="AB25" i="2"/>
  <c r="AC25" i="2" s="1"/>
  <c r="AD25" i="2"/>
  <c r="AE25" i="2"/>
  <c r="AE24" i="2"/>
  <c r="AD24" i="2"/>
  <c r="AB24" i="2"/>
  <c r="AC24" i="2" s="1"/>
  <c r="Y24" i="2"/>
  <c r="Z24" i="2"/>
  <c r="AA24" i="2"/>
  <c r="AG23" i="2"/>
  <c r="O23" i="2"/>
  <c r="AA23" i="2"/>
  <c r="Y23" i="2"/>
  <c r="AE23" i="2"/>
  <c r="Z23" i="2"/>
  <c r="AB23" i="2"/>
  <c r="AC23" i="2" s="1"/>
  <c r="AD23" i="2"/>
  <c r="Z22" i="2"/>
  <c r="AA22" i="2"/>
  <c r="Y22" i="2"/>
  <c r="AE22" i="2"/>
  <c r="AD22" i="2"/>
  <c r="AB22" i="2"/>
  <c r="AC22" i="2" s="1"/>
  <c r="O21" i="2"/>
  <c r="AG21" i="2"/>
  <c r="Y21" i="2"/>
  <c r="AA21" i="2"/>
  <c r="AE21" i="2"/>
  <c r="Z21" i="2"/>
  <c r="AB21" i="2"/>
  <c r="AC21" i="2" s="1"/>
  <c r="AD21" i="2"/>
  <c r="AE20" i="2"/>
  <c r="AB20" i="2"/>
  <c r="AC20" i="2" s="1"/>
  <c r="Y20" i="2"/>
  <c r="AA20" i="2"/>
  <c r="Z20" i="2"/>
  <c r="AD20" i="2"/>
  <c r="AG19" i="2"/>
  <c r="O19" i="2"/>
  <c r="AD19" i="2"/>
  <c r="AB19" i="2"/>
  <c r="AC19" i="2" s="1"/>
  <c r="Z19" i="2"/>
  <c r="AA19" i="2"/>
  <c r="Y19" i="2"/>
  <c r="AE19" i="2"/>
  <c r="Z18" i="2"/>
  <c r="AE18" i="2"/>
  <c r="AD18" i="2"/>
  <c r="AA18" i="2"/>
  <c r="Y18" i="2"/>
  <c r="O17" i="2"/>
  <c r="AG17" i="2"/>
  <c r="AD17" i="2"/>
  <c r="AE17" i="2"/>
  <c r="Y17" i="2"/>
  <c r="Z17" i="2"/>
  <c r="AA17" i="2"/>
  <c r="AB17" i="2"/>
  <c r="AC17" i="2" s="1"/>
  <c r="AD16" i="2"/>
  <c r="AB16" i="2"/>
  <c r="AC16" i="2" s="1"/>
  <c r="AA16" i="2"/>
  <c r="Y16" i="2"/>
  <c r="Z16" i="2"/>
  <c r="AE16" i="2"/>
  <c r="O15" i="2"/>
  <c r="AG15" i="2"/>
  <c r="AA15" i="2"/>
  <c r="AE15" i="2"/>
  <c r="AB15" i="2"/>
  <c r="AC15" i="2" s="1"/>
  <c r="AD15" i="2"/>
  <c r="Y15" i="2"/>
  <c r="Z15" i="2"/>
  <c r="Y14" i="2"/>
  <c r="AE14" i="2"/>
  <c r="AA14" i="2"/>
  <c r="Z14" i="2"/>
  <c r="AB14" i="2"/>
  <c r="AC14" i="2" s="1"/>
  <c r="AD14" i="2"/>
  <c r="AG13" i="2"/>
  <c r="O13" i="2"/>
  <c r="AA13" i="2"/>
  <c r="AD13" i="2"/>
  <c r="AB13" i="2"/>
  <c r="AC13" i="2" s="1"/>
  <c r="AE13" i="2"/>
  <c r="Z13" i="2"/>
  <c r="Y13" i="2"/>
  <c r="AA12" i="2"/>
  <c r="Z12" i="2"/>
  <c r="Y12" i="2"/>
  <c r="AE12" i="2"/>
  <c r="AD12" i="2"/>
  <c r="AG11" i="2"/>
  <c r="O11" i="2"/>
  <c r="AA11" i="2"/>
  <c r="Y11" i="2"/>
  <c r="AD11" i="2"/>
  <c r="Z11" i="2"/>
  <c r="AE11" i="2"/>
  <c r="AB11" i="2"/>
  <c r="AC11" i="2" s="1"/>
  <c r="Z10" i="2"/>
  <c r="AD10" i="2"/>
  <c r="AE10" i="2"/>
  <c r="AA10" i="2"/>
  <c r="Y10" i="2"/>
  <c r="O9" i="2"/>
  <c r="AG9" i="2"/>
  <c r="Z9" i="2"/>
  <c r="Y9" i="2"/>
  <c r="AA9" i="2"/>
  <c r="AB9" i="2"/>
  <c r="AC9" i="2" s="1"/>
  <c r="AD9" i="2"/>
  <c r="AE9" i="2"/>
  <c r="Z8" i="2"/>
  <c r="AE8" i="2"/>
  <c r="Y8" i="2"/>
  <c r="AB8" i="2"/>
  <c r="AC8" i="2" s="1"/>
  <c r="AA8" i="2"/>
  <c r="AD8" i="2"/>
  <c r="AG7" i="2"/>
  <c r="O7" i="2"/>
  <c r="Y7" i="2"/>
  <c r="AB7" i="2"/>
  <c r="AC7" i="2" s="1"/>
  <c r="Z7" i="2"/>
  <c r="AE7" i="2"/>
  <c r="AD7" i="2"/>
  <c r="AA7" i="2"/>
  <c r="Z6" i="2"/>
  <c r="Y6" i="2"/>
  <c r="AA6" i="2"/>
  <c r="AB6" i="2"/>
  <c r="AC6" i="2" s="1"/>
  <c r="AG5" i="2"/>
  <c r="O5" i="2"/>
  <c r="AE5" i="2"/>
  <c r="Y5" i="2"/>
  <c r="Z5" i="2"/>
  <c r="AA5" i="2"/>
  <c r="AB5" i="2"/>
  <c r="AC5" i="2" s="1"/>
  <c r="AD5" i="2"/>
  <c r="Y4" i="2"/>
  <c r="AE4" i="2"/>
  <c r="AD4" i="2"/>
  <c r="AB4" i="2"/>
  <c r="AC4" i="2" s="1"/>
  <c r="AA4" i="2"/>
  <c r="Z4" i="2"/>
  <c r="AG3" i="2"/>
  <c r="O3" i="2"/>
  <c r="C4" i="6"/>
  <c r="C3" i="6"/>
  <c r="AD3" i="2"/>
  <c r="AB3" i="2"/>
  <c r="AC3" i="2" s="1"/>
  <c r="AA3" i="2"/>
  <c r="Z3" i="2"/>
  <c r="Y3" i="2"/>
  <c r="C2" i="6"/>
  <c r="AE3" i="2"/>
  <c r="B7" i="6"/>
  <c r="AE2" i="2"/>
  <c r="AD2" i="2"/>
  <c r="AA2" i="2"/>
  <c r="Z2" i="2"/>
  <c r="B2" i="6"/>
  <c r="B4" i="6"/>
  <c r="B8" i="6"/>
  <c r="AB18" i="2" l="1"/>
  <c r="AC18" i="2" s="1"/>
  <c r="AB12" i="2"/>
  <c r="AC12" i="2" s="1"/>
  <c r="AB2" i="2"/>
  <c r="AC2" i="2" s="1"/>
  <c r="O2" i="2"/>
  <c r="Y2" i="2"/>
  <c r="B3" i="6"/>
  <c r="C15" i="6"/>
  <c r="C16" i="6"/>
  <c r="C17" i="6"/>
  <c r="B15" i="6"/>
  <c r="B16" i="6"/>
  <c r="B17" i="6"/>
  <c r="B13" i="6"/>
  <c r="C13" i="6"/>
  <c r="B14" i="6"/>
</calcChain>
</file>

<file path=xl/sharedStrings.xml><?xml version="1.0" encoding="utf-8"?>
<sst xmlns="http://schemas.openxmlformats.org/spreadsheetml/2006/main" count="1063" uniqueCount="529">
  <si>
    <t>Para qué sirve</t>
  </si>
  <si>
    <t>Calificar cada respuesta POR AFIRMACIÓN (hoja Afirmaciones). N2, N3, códigos, alertas y diagnóstico se calculan solos en Respuestas. Reglas completas: protocol_v2.md §3-§5.</t>
  </si>
  <si>
    <t>Colores</t>
  </si>
  <si>
    <t>Amarillo = lo escribes o eliges tú. Verde = automático (no editable). Gris = dato de la pregunta/corrida.</t>
  </si>
  <si>
    <t>Flujo</t>
  </si>
  <si>
    <t>1) En Respuestas, lee pregunta, referencia y respuesta del sistema (en RAG, los fragmentos están en Contextos). 2) En Afirmaciones, una fila por afirmación (máx. ~6): qid, modo, texto, tipo, vs_ref, hecho_ref, zona, respaldo, cita_n, fragmento_sostiene. 3) Revisa la columna 'chequeo'. 4) Revisa 'llegó' en Hechos (sobre todo ALT-P). 5) Lee N2/N3/alertas/diagnóstico en Respuestas.</t>
  </si>
  <si>
    <t>tipo</t>
  </si>
  <si>
    <t>hecho = afirma algo. abstencion = dice que el contexto o el modelo no tiene la información ('los pasajes no dicen...'). Afirmar que ATT&amp;CK no documenta algo ('ATT&amp;CK no lista...') es un HECHO y puede ser INCORRECTA.</t>
  </si>
  <si>
    <t>vs_ref</t>
  </si>
  <si>
    <t>CORRECTA = coincide con la referencia (en una abstención: se abstiene donde debía). INCORRECTA = contradice la referencia (en una abstención: niega algo que la referencia sí contiene). FUERA_REF = ni confirma ni contradice la referencia.</t>
  </si>
  <si>
    <t>hecho_ref</t>
  </si>
  <si>
    <t>H# de la hoja Hechos que cubre una afirmación CORRECTA; varios separados por ';' (ej. H2;H3). En INCORRECTA/abstención es opcional (nota).</t>
  </si>
  <si>
    <t>zona</t>
  </si>
  <si>
    <t>ref (por defecto) o no_resp si responde a la parte NO respondible. Un hecho FUERA_REF en no_resp genera NO-ABS.</t>
  </si>
  <si>
    <t>respaldo (solo RAG, solo hecho)</t>
  </si>
  <si>
    <t>SOSTENIDA = tiene cita [n] y ese fragmento expresa la relación. CITA-X = cita pero ese fragmento no la sostiene. SIN-CITA = sin cita, pero algún fragmento recibido la sostiene. SIN-RESPALDO = ningún fragmento recibido la sostiene (tenga o no cita). Dos nombres en la misma lista no sostienen 'A usa B'.</t>
  </si>
  <si>
    <t>llegó (hoja Hechos)</t>
  </si>
  <si>
    <t>Prellenado desde evidence_check.py: SI = llegó un fragmento gold; ALT = llegó evidencia alternativa; ALT-P = solo evidencia parcial (cuenta como NO salvo que la cambies a ALT y lo justifiques en comentario); NO = no llegó. Verifica leyendo Contextos.</t>
  </si>
  <si>
    <t>Códigos</t>
  </si>
  <si>
    <t>INC, ABS-E, NO-ABS, SIN-R, CITA-X, SIN-C se derivan de las columnas. Omisiones = hechos de la referencia sin cubrir (cubierto = 0).</t>
  </si>
  <si>
    <t>N2</t>
  </si>
  <si>
    <t>H=0: 2 si no hay NO-ABS, si no 0. H&gt;0: 2 si cubre todos y no hay INC/ABS-E/NO-ABS; 0 si no cubre ninguno; 1 en los demás casos. Sin topes.</t>
  </si>
  <si>
    <t>N3</t>
  </si>
  <si>
    <t>Solo RAG, sobre afirmaciones de hecho: 2 todas sostenidas; 0 ninguna; 1 parcial; N/A sin afirmaciones de hecho.</t>
  </si>
  <si>
    <t>Alertas</t>
  </si>
  <si>
    <t>CRITICA = hay INC, ABS-E o NO-ABS. RESPALDO = hay SIN-R o CITA-X. TRUNC = respuesta truncada por el límite de tokens. No cambian N2 ni N3.</t>
  </si>
  <si>
    <t>Diagnóstico</t>
  </si>
  <si>
    <t>Lista: E0 (NO-ABS) · E1 (hecho sin cubrir cuya evidencia no llegó) · E2 (hecho sin cubrir cuya evidencia sí llegó; o INC/ABS-E con todo lo demás llegado) · E3 (SIN-R, CITA-X o SIN-C). OK si no hay ninguno. Modo LLM: solo E0 y E2.</t>
  </si>
  <si>
    <t>Protección</t>
  </si>
  <si>
    <t>Las hojas están protegidas SIN contraseña para evitar editar fórmulas por accidente (Revisar &gt; Desproteger hoja). Este archivo nunca se sobrescribe desde el script: guarda copias de seguridad de tus calificaciones.</t>
  </si>
  <si>
    <t>Verificación</t>
  </si>
  <si>
    <t>Las fórmulas se evaluaron con un motor independiente (librería Python 'formulas') sobre calificacion_v2_DEMO.xlsx, que trae las 27 afirmaciones de los ejemplos: N2, N3, alertas y diagnóstico de las 8 respuestas coinciden con la columna 'esperado' de Respuestas. No se han abierto todavía en Excel; si algo no calcula en tu Excel, avísalo.</t>
  </si>
  <si>
    <t>qid</t>
  </si>
  <si>
    <t>modo</t>
  </si>
  <si>
    <t>idioma</t>
  </si>
  <si>
    <t>N0 corpus</t>
  </si>
  <si>
    <t>pregunta</t>
  </si>
  <si>
    <t>respuesta de referencia</t>
  </si>
  <si>
    <t>parte NO respondible</t>
  </si>
  <si>
    <t>RESPUESTA DEL SISTEMA</t>
  </si>
  <si>
    <t>truncada</t>
  </si>
  <si>
    <t>N1 (auto)</t>
  </si>
  <si>
    <t>hechos llegaron (auto)</t>
  </si>
  <si>
    <t>n afirm.</t>
  </si>
  <si>
    <t>hechos H</t>
  </si>
  <si>
    <t>cubiertos C</t>
  </si>
  <si>
    <t>cobertura</t>
  </si>
  <si>
    <t>INC</t>
  </si>
  <si>
    <t>ABS-E</t>
  </si>
  <si>
    <t>NO-ABS</t>
  </si>
  <si>
    <t>FUERA_REF</t>
  </si>
  <si>
    <t>SIN-R</t>
  </si>
  <si>
    <t>CITA-X</t>
  </si>
  <si>
    <t>SIN-C</t>
  </si>
  <si>
    <t>afirm. de hecho</t>
  </si>
  <si>
    <t>de hecho sostenidas</t>
  </si>
  <si>
    <t>alertas</t>
  </si>
  <si>
    <t>diagnóstico (lista)</t>
  </si>
  <si>
    <t>primer eslabón</t>
  </si>
  <si>
    <t>precisión citas</t>
  </si>
  <si>
    <t>cobertura citas</t>
  </si>
  <si>
    <t>aux E1</t>
  </si>
  <si>
    <t>aux E2</t>
  </si>
  <si>
    <t>comentario</t>
  </si>
  <si>
    <t>p01</t>
  </si>
  <si>
    <t>rag</t>
  </si>
  <si>
    <t>ES</t>
  </si>
  <si>
    <t>completa</t>
  </si>
  <si>
    <t>¿Qué mitigaciones propone ATT&amp;CK para la sub-técnica T1059.001 PowerShell y en qué consiste cada una?</t>
  </si>
  <si>
    <t>ATT&amp;CK lista cinco mitigaciones para T1059.001: M1038 Execution Prevention (control de aplicaciones y PowerShell Constrained Language Mode), M1045 Code Signing (política de ejecución sólo de scripts firmados), M1026 Privileged Account Management (restringir la ejecución a administradores; JEA para limitar comandos), M1049 Antivirus/Antimalware (cuarentena automática de archivos sospechosos) y M1042 Disable or Remove Feature or Program (eliminar PowerShell donde no se necesite y deshabilitar/restringir WinRM).</t>
  </si>
  <si>
    <t>No se proporciona información en los contextos pasados sobre mitigaciones específicas para la sub-técnica T1059.001 PowerShell. Por lo tanto, no se puede responder a la pregunta con base en los datos ofrecidos.</t>
  </si>
  <si>
    <t>NO</t>
  </si>
  <si>
    <t>NINGUNA</t>
  </si>
  <si>
    <t>0/5</t>
  </si>
  <si>
    <t>llm</t>
  </si>
  <si>
    <t>La sub-técnica **T1059.001** de ATT&amp;CK se refiere a **"Command and Scripting Interpreter"** con el enfoque específico de **PowerShell** (uso de PowerShell para ejecutar comandos y scripts). Aunque ATT&amp;CK no proporciona una lista detallada de "mitigaciones" en el sentido de soluciones técnicas específicas para cada sub-técnica, sí ofrece **recomendaciones de mitigación** basadas en buenas prácticas de seguridad y en el contexto de detección y prevención.
A continuación, se presentan las **mitigaciones propuestas o recomendadas** para T1059.001 (PowerShell), junto con una explicación de cada una:
---
### 1. **Restricción de ejecución de PowerShell**
- **Qué consiste**: Limitar el uso de PowerShell a entornos de ejecución seguros (por ejemplo, solo en modo "Restricted" o "RemoteSigned") y evitar que se ejecute scripts no firmados.
- **Por qué ayuda**: El modo "Restricted" bloquea la ejecución de scripts, lo que impide que un atacante ejecute código malicioso a través de PowerShell.
- **Ejemplo**: Configurar el registro de Windows para que PowerShell solo permita comandos interactivos y no scripts.
---
### 2. **Uso de firmas digitales y validación de scripts**
- **Qué consiste**: Requerir que los scripts PowerShell estén firmados por un certificado de firma válida antes de que se ejecuten.
- **Por qué ayuda**: Los scripts firmados son más fáciles de verificar y reducen el riesgo de ejecutar código malicioso.
- **Ejemplo**: Configurar el sistema para que solo se permita la ejecución de scripts firmados (usando el parámetro `-ExecutionPolicy` en PowerShell).
---
### 3. **Monitoreo y auditoría de comandos PowerShell**
- **Qué consiste**: Implementar herramientas de detección que monitoren los comandos ejecutados en PowerShell (por ejemplo, registros de eventos del sistema).
- **Por qué ayuda**: Permite detectar comportamientos sospechosos, como comandos que no son típicos de uso normal.
- **Ejemplo**: Usar herramientas como **Windows Event Logs (Event ID 4688)** o **SIEM** (como Splunk, QRadar) para analizar comandos ejecutados.
---
### 或 4. **Detección de comportamientos anómalos**
- **Qué consiste**: Aplicar análisis de comportamiento para detectar actividades inusuales, como la ejecución de comandos en horarios fuera de lo normal o en entornos no autorizados.
- **Por qué ayuda**: Aunque el atacante pueda ejecutar PowerShell, su comportamiento puede ser detectado como anómalo.
- **Ejemplo**: Detección de comandos como `Invoke-Expression`, `IEX`, o `System.Net.WebClient` que se usan comúnmente en ataques.
---
### 5. **Control de acceso y políticas de grupo (Group Policy)**
- **Qué consiste**: Aplicar políticas de grupo que limiten el acceso a PowerShell y a los permisos de ejecución.
- **Por qué ayuda**: Reduce el riesgo de que usuarios no autorizados o maliciosos puedan ejecutar PowerShell.
- **Ejemplo**: Configurar políticas de grupo para que solo los usuarios autorizados puedan ejecutar PowerShell.
---
### 6. **Uso de alternativas seguras a PowerShell**
- **Qué consiste**: En entornos críticos, usar herramientas más seguras como **Windows Command Prompt**, **batch files**, o **PowerShell con ejecución restringida**.
- **Por qué ayuda**: Reduce la superficie de ataque al evitar el uso de PowerShell en entornos sensibles.
---
### Nota importante:
ATT&amp;CK no proporciona una lista oficial de "mitigaciones" como un documento técnico detallado. Las mencionadas anteriormente son **recomendaciones basadas en buenas prácticas de seguridad** y en el marco de la estrategia de mitigación de la sub-técnica T1059.001.
---
✅ **Resumen**:
| Mitigación | Descripción |
|----------|-------------|
| Restricción de ejecución | Usar modos seguros (ej. Restricted) en PowerShell |
| Firmas digitales | Requerir firmas válidas para scripts |
| Monitoreo de eventos | Auditar comandos ejecutados en PowerShell</t>
  </si>
  <si>
    <t>SI</t>
  </si>
  <si>
    <t>p02</t>
  </si>
  <si>
    <t>EN</t>
  </si>
  <si>
    <t>According to ATT&amp;CK, which tactic does Phishing (T1566) belong to and what are its four sub-techniques?</t>
  </si>
  <si>
    <t>Phishing belongs to the Initial Access tactic. Its four sub-techniques are T1566.001 Spearphishing Attachment, T1566.002 Spearphishing Link, T1566.003 Spearphishing via Service and T1566.004 Spearphishing Voice.</t>
  </si>
  <si>
    <t>According to ATT&amp;CK, Phishing (T1566) belongs to the tactic **Initial Access** [4].
The context does not list four sub-techniques of T1566. It mentions the following sub-techniques:
- T1566.004 - Spearphishing Voice [3]
- T1566.001 - Social Media Accounts [1]
- T1566.002 - Email Accounts [1]
- T1566.003 - Cloud Accounts [1]
However, only three of these are explicitly listed as sub-techniques of T1566 in the provided context. There is no mention of a fourth sub-technique.
Therefore, based on the provided context, Phishing (T1566) belongs to the **Initial Access** tactic, and its sub-techniques are:
- T1566.001 Social Media Accounts  
- T1566.002 Email Accounts  
- T1566.003 Cloud Accounts  
- T1566.004 Spearphishing Voice  
[1][3][4]</t>
  </si>
  <si>
    <t>PARTE</t>
  </si>
  <si>
    <t>1/5</t>
  </si>
  <si>
    <t>Phishing (T1566) belongs to the **Tactic: Initial Access** in the MITRE ATT&amp;CK framework.
However, it's important to clarify: **T1566 is not a tactic** — it is a **technique**. The correct categorization is:
- **Tactic**: Initial Access  
- **Technique**: T1566 – Phishing
T1566 – Phishing is a technique under the **Initial Access** tactic.
Regarding sub-techniques of T1566 (Phishing), MITRE ATT&amp;CK does **not** define four distinct sub-techniques under T1566. Instead, T1566 is a single technique with various **sub-techniques** (or forms) that describe different types of phishing, such as:
- T1566.001 – Spear Phishing Email  
- T1566.002 – Phishing Website  
- T1566.003 – Phishing SMS (Smishing)  
- T1566.004 – Phishing via Voice (Vishing)
Thus, the four sub-techniques of T1566 are:
- T1566.001 – Spear Phishing Email  
- T1566.002 – Phishing Website  
- T1566.003 – Phishing SMS (Smishing)  
- T1566.004 – Phishing via Voice (Vishing)
✅ Final Answer:
According to ATT&amp;CK, Phishing (T1566) belongs to the **Initial Access** tactic. Its four sub-techniques are:
- T1566.001 – Spear Phishing Email  
- T1566.002 – Phishing Website  
- T1566.003 – Phishing SMS (Smishing)  
- T1566.004 – Phishing via Voice (Vishing)</t>
  </si>
  <si>
    <t>p03</t>
  </si>
  <si>
    <t>¿Qué es la táctica Persistencia (TA0003) en ATT&amp;CK y qué busca conseguir el adversario con ella?</t>
  </si>
  <si>
    <t>Persistencia es la táctica en la que el adversario intenta mantener su punto de apoyo (foothold). Agrupa técnicas para conservar el acceso a los sistemas a pesar de reinicios, cambios de credenciales u otras interrupciones; incluye cualquier acceso, acción o cambio de configuración que le permita mantener ese acceso, como reemplazar o secuestrar código legítimo o añadir código de arranque.</t>
  </si>
  <si>
    <t>La táctica Persistencia (TA0003) en ATT&amp;CK consiste en técnicas que los adversarios utilizan para mantener su acceso a los sistemas a pesar de reinicios, cambios de credenciales o interrupciones que podrían cortar su acceso [1]. Esta táctica busca que el adversario mantenga su presencia en los sistemas tras eventos que podrían eliminar su acceso, como reinicios o cambios de credenciales [1].</t>
  </si>
  <si>
    <t>TODA</t>
  </si>
  <si>
    <t>2/2</t>
  </si>
  <si>
    <t>La táctica Persistencia (TA0003) en el marco MITRE ATT&amp;CK se refiere a la capacidad de un atacante para mantener acceso a un sistema o red tras la inicialización de una amenaza. Este objetivo permite que el atacante se mantenga activo en el entorno durante períodos prolongados, incluso después de que se hayan aplicado medidas de seguridad o se hayan detectado actividades inusuales.
El adversario busca conseguir que su acceso a la infraestructura sea **persistente**, es decir, que no se pierda al reiniciar el sistema o al aplicar controles de seguridad. Esto permite que el atacante realice actividades de recolección de datos, ejecución de comandos, propagación a otros sistemas o monitoreo continuo sin que se detecte inmediatamente.
Algunos ejemplos de técnicas asociadas a esta táctica incluyen:
- T1059.001 (Comandos y scripts maliciosos)
- T1059.002 (Ejecución de scripts)
- T1059.003 (Ejecución de comandos)
- T1059.004 (Ejecución de comandos a través de servicios)
- T1059.005 (Ejecución de comandos a través de servicios de red)
En resumen, la táctica Persistencia (TA0003) busca **mantener un acceso continuo y sin interrupción** al sistema objetivo, lo que facilita la ejecución de ataques más complejos y prolongados.</t>
  </si>
  <si>
    <t>p04</t>
  </si>
  <si>
    <t>parcial</t>
  </si>
  <si>
    <t>Según ATT&amp;CK, ¿qué es Cobalt Strike (S0154) y de qué otras herramientas conocidas aprovecha capacidades? ¿Cuánto cuesta su licencia anual?</t>
  </si>
  <si>
    <t>Cobalt Strike es una herramienta comercial de acceso remoto con todas las funciones, que se presenta como 'software de simulación de adversarios' para ejecutar ataques dirigidos y emular las acciones post-explotación de actores avanzados; sus capacidades interactivas cubren toda la gama de tácticas ATT&amp;CK en un único sistema integrado. Además de sus propias capacidades, aprovecha las de otras herramientas conocidas como Metasploit y Mimikatz (S0002).</t>
  </si>
  <si>
    <t>El precio de la licencia no está en el corpus (ATT&amp;CK no registra precios; la única aparición de 'price' en el corpus es en el software CoinTicker, sin relación).</t>
  </si>
  <si>
    <t>Según ATT&amp;CK, Cobalt Strike (S0154) es un software de tipo malware, perteneciente al dominio de ataque empresarial, que se describe como "una herramienta de acceso remoto comercial, completa, diseñada para ejecutar ataques dirigidos y emular las acciones de post-explotación de actores de amenazas avanzadas". [1]
Cobalt Strike aprovecha las capacidades de otras herramientas conocidas, como Metasploit y Mimikatz. [1]
No se proporciona información en los contextos sobre el costo anual de la licencia de Cobalt Strike. [1][2][3][4][5]
Por lo tanto, no se puede determinar cuánto cuesta su licencia anual basándose en los datos proporcionados.</t>
  </si>
  <si>
    <t>Cobalt Strike (S0154) es una herramienta de red de seguridad y de ataque que permite a los investigadores y profesionales de ciberseguridad realizar pruebas de penetración y análisis de vulnerabilidades en entornos de red. Según el MITRE ATT&amp;CK, S0154 se clasifica como una herramienta de "iniciación de sesión" (initial access) y se utiliza principalmente para simular ataques de red, como la ejecución remota de comandos en sistemas.
Cobalt Strike aprovecha capacidades de otras herramientas conocidas, como:
- **Metasploit**: para la ejecución de payloads y la gestión de sesiones.
- **PowerShell**: para la ejecución de comandos en sistemas Windows.
- **Meterpreter**: un módulo de Metasploit que permite la ejecución remota de comandos y la gestión de sesiones en sistemas operativos.
Sin embargo, es importante aclarar que **Cobalt Strike no es una herramienta de ataque comercial que se venda con una licencia anual**. Es una herramienta de investigación y pruebas de penetración que se ofrece como software de uso académico y profesional, y **no tiene un costo oficial de licencia anual** como producto comercializado en el mercado.
En su sitio oficial, Cobalt Strike está disponible para uso en entornos de pruebas y educación, y **no se cobra una licencia anual**. Su uso está regulado por las políticas de uso de la herramienta, y se recomienda su uso solo en entornos autorizados y bajo supervisión.
👉 **Respuesta final**:  
Cobalt Strike (S0150) es una herramienta de pruebas de penetración que simula ataques de red y aprovecha capacidades de herramientas como Metasploit y PowerShell. **No tiene una licencia anual y no se cobra un costo oficial** para su uso en entornos educativos o de investigación.</t>
  </si>
  <si>
    <t>p05</t>
  </si>
  <si>
    <t>Según ATT&amp;CK, ¿APT29 (G0016) utiliza Mimikatz? Y en caso afirmativo, ¿qué técnicas relacionadas con tickets Kerberos implementa esa herramienta?</t>
  </si>
  <si>
    <t>Sí: S0002 Mimikatz aparece en la lista de software usado por APT29 (y G0016 APT29 aparece en la lista 'Used by' de Mimikatz). Entre las técnicas de Mimikatz relacionadas con tickets Kerberos están T1550.003 Pass the Ticket, T1558.001 Golden Ticket y T1558.002 Silver Ticket.</t>
  </si>
  <si>
    <t>Sí, según ATT&amp;CK, APT29 (G0016) utiliza Mimikatz.  
En el contexto se indica que:  
- G0016 APT29 (grupo) ha utilizado ataques de Kerberos para el movimiento lateral [1].  
- S0002 Mimikatz (software) tiene el módulo &lt;code&gt;KERBEROS::PTT&lt;/code&gt; que implementa los tres pasos necesarios para extraer la contraseña del cuenta krbtgt y crear o usar tickets de Kerberos [1].  
Por lo tanto, Mimikatz implementa la técnica **T1550.003 - Pass the Ticket**, que es una técnica relacionada con tickets de Kerberos.  
**Respuesta final:**  
Sí, APT29 (G0016) utiliza Mimikatz, y la técnica relacionada con tickets de Kerberos que implementa esa herramienta es **T1550.003 - Pass the Ticket** [1].</t>
  </si>
  <si>
    <t>2/4</t>
  </si>
  <si>
    <t>No, según el marco MITRE ATT&amp;CK, el grupo APT29 (identificado como G0016) no se ha documentado como usuario directo de Mimikatz. Aunque APT29 ha sido asociado con técnicas de acceso a sistemas mediante el uso de tickets Kerberos (como T1547.001 - "Exploitation of Kerberos"), estas acciones se realizan mediante herramientas o métodos específicos de ataque, no necesariamente mediante Mimikatz.
Además, Mimikatz es una herramienta de análisis de seguridad que permite la extracción de credenciales almacenadas en memoria (como los tickets Kerberos), y aunque puede ser utilizada por atacantes para obtener acceso a sistemas, su uso no está directamente vinculado a APT29 en fuentes oficiales del MITRE ATT&amp;CK.
En cuanto a técnicas relacionadas con tickets Kerberos que podría implementar APT29:
- **T1547.001 - Exploitation of Kerberos**: Este es el principal sub-técnico relacionado con el uso de tickets Kerberos para obtener acceso a sistemas. APT29 ha sido asociado con este comportamiento, especialmente en ataques que aprovechan vulnerabilidades en el protocolo Kerberos (por ejemplo, en el uso de tickets de tiempo de vida o en la reutilización de tickets).
Por lo tanto:
✅ APT29 (G0016) **no utiliza directamente Mimikatz**.  
✅ APT29 **sí implementa técnicas relacionadas con el uso de tickets Kerberos**, principalmente **T1547.001**.
**Respuesta final:**  
No, APT29 (G0016) no utiliza Mimikatz. Sin embargo, sí implementa la técnica T1547.001 - Exploitation of Kerberos.</t>
  </si>
  <si>
    <t>p06</t>
  </si>
  <si>
    <t>¿Qué sub-técnicas de intérpretes de comandos (T1059.*) usa Lazarus Group (G0032) según ATT&amp;CK, y qué ataques ha realizado este grupo contra Ecuador?</t>
  </si>
  <si>
    <t>ATT&amp;CK atribuye a Lazarus Group tres sub-técnicas de T1059: T1059.001 PowerShell, T1059.003 Windows Command Shell y T1059.005 Visual Basic.</t>
  </si>
  <si>
    <t>Ataques contra Ecuador: el documento de G0032 no menciona Ecuador (la única aparición de 'Ecuador' en todo el corpus está en T1480 Execution Guardrails, sin relación con Lazarus).</t>
  </si>
  <si>
    <t>No se proporciona información en los contextos sobre qué sub-técnicas de intérpretes de comandos (T1059.*) usa el Lazarus Group (G0032) o sobre ataques específicos que haya realizado contra Ecuador. Aunque se menciona que el Lazarus Group utiliza técnicas como T1059.003 Windows Command Shell y T1059.005 Visual Basic en el contexto de software como AuditCred y TYPEFRAME [1][3], no se especifica explícitamente el uso de sub-técnicas de T1059.* en general, ni se menciona cualquier actividad contra Ecuador.
Además, no hay ninguna referencia en los contextos a ataques realizados por el Lazarus Group contra Ecuador.
Por lo tanto, **no se puede responder con certeza** a la pregunta basándose únicamente en los contextos proporcionados.
**Respuesta: No se puede determinar a partir de los contextos proporcionados.**</t>
  </si>
  <si>
    <t>3/3</t>
  </si>
  <si>
    <t>No se ha documentado oficialmente en el MITRE ATT&amp;CK que el grupo Lazarus (G0032) haya utilizado específicamente sub-técnicas de intérpretes de comandos (T1059.*) como parte de sus actividades conocidas, ni se ha registrado un ataque directo contra Ecuador atribuido a este grupo en fuentes oficiales del MITRE ATT&amp;CK.
Además, el MITRE ATT&amp;CK no proporciona una lista detallada de sub-técnicas (como T1059.001, T1059.002, etc.) que el grupo Lazarus haya utilizado en operaciones específicas, ni hay evidencia verificada de que el grupo haya atacado a Ecuador.
Por lo tanto, **no se puede afirmar con certeza** que Lazarus haya usado sub-técnicas de intérpretes de comandos (T1059.*) o que haya realizado ataques contra Ecuador según el MITRE ATT&amp;CK.
**Respuesta final:**  
No hay evidencia oficial en el MITRE ATT&amp;CK de que el grupo Lazarus (G0032) haya utilizado sub-técnicas de intérpretes de comandos (T1059.*) o haya realizado ataques contra Ecuador.</t>
  </si>
  <si>
    <t>p07</t>
  </si>
  <si>
    <t>According to ATT&amp;CK, how has APT28 (G0007) carried out password spraying (T1110.003)?</t>
  </si>
  <si>
    <t>ATT&amp;CK records that during the APT28 Nearest Neighbor Campaign (C0051) APT28 performed password-spray attacks against public-facing services to validate credentials; that APT28 used brute-force/password-spray tooling which, in password-spraying mode, made approximately four authentication attempts per hour per targeted account over several days or weeks; and that APT28 also used a Kubernetes cluster to conduct distributed, large-scale password spray attacks.</t>
  </si>
  <si>
    <t>APT28 (G0007) has carried out password spraying (T1110.003) by using a brute-force/password-spray tooling that operated in two modes: in password-spraying mode, it conducted approximately four authentication attempts per hour per targeted account over the course of several days or weeks. Additionally, APT28 has used a Kubernetes cluster to conduct distributed, large-scale password spray attacks. During the APT28 Nearest Neighbor Campaign (C0051), APT28 performed password-spray attacks against public-facing services to validate credentials [1][2].</t>
  </si>
  <si>
    <t>As of now, there is no publicly documented or verified evidence in the MITRE ATT&amp;CK framework that APT28 (G0007) has specifically carried out password spraying (T1110.003) in a manner that is explicitly attributed or detailed within the ATT&amp;CK knowledge base.
While APT28 is known to use credential harvesting and phishing techniques, and password spraying is a common technique used in credential access (T1110.003), the ATT&amp;CK framework does not provide a specific, confirmed instance of APT28 executing password spraying as a tactic or technique.
Therefore, based on available ATT&amp;CK data, **there is no confirmed or documented instance of APT28 (G0007) carrying out password spraying (T1110.003)**.
Note: The MITRE ATT&amp;CK framework describes techniques and behaviors observed in cyberattacks, but it does not assign specific attribution to individual threat actors in all cases—especially for less publicly documented or unverified activities. Attribution remains a complex and often uncertain process.
Answer: There is no confirmed or documented instance in the MITRE ATT&amp;CK framework of APT28 (G0007) carrying out password spraying (T1110.003).</t>
  </si>
  <si>
    <t>p08</t>
  </si>
  <si>
    <t>¿Qué mitigaciones recomienda ATT&amp;CK contra Password Spraying (T1110.003) y qué porcentaje de las intrusiones registradas en 2025 comenzó con esta técnica?</t>
  </si>
  <si>
    <t>ATT&amp;CK recomienda tres mitigaciones: M1027 Password Policies (seguir las guías NIST al definir políticas de contraseñas), M1032 Multi-factor Authentication (usar MFA, también en servicios expuestos a Internet) y M1036 Account Use Policies (bloqueo de cuenta tras cierto número de intentos fallidos, con cuidado de no provocar denegación de servicio; políticas de acceso condicional para bloquear logins desde dispositivos no conformes o fuera de rangos IP de la organización; bloquear autenticaciones desde servicios de anonimización/proxies).</t>
  </si>
  <si>
    <t>El porcentaje de intrusiones de 2025 no existe en el corpus: ATT&amp;CK no contiene estadísticas de incidencia.</t>
  </si>
  <si>
    <t>No se proporciona información en los contextos sobre mitigaciones contra Password Spraying (T1110.003) ni sobre el porcentaje de intrusiones registradas en 2025 que comenzaron con esta técnica. Por lo tanto, no se puede responder a la pregunta con base en los datos ofrecidos.
[1][2][3][4][5] — ninguno de estos pasajes menciona mitigaciones específicas para T1110.003 ni proporciona datos sobre intrusiones en 2025.</t>
  </si>
  <si>
    <t>0/3</t>
  </si>
  <si>
    <t>No se proporciona información oficial en el MITRE ATT&amp;CK sobre mitigaciones específicas para la técnica de Password Spraying (T1110.003), ni se tiene datos disponibles sobre el porcentaje de intrusiones registradas en 2025 que comenzaron con esta técnica.  
El MITRE ATT&amp;CK no publica estadísticas anuales sobre el número o porcentaje de intrusiones que comenzaron con una técnica específica en un año futuro como 2025, ya que es un conjunto de conocimiento de amenazas y no un repositorio de datos de incidentes históricos o proyectados.  
Por lo tanto, **no se puede afirmar un porcentaje de intrusiones en 2025 que comenzaron con Password Spraying**, y **no se recomiendan mitigaciones específicas en el MITRE ATT&amp;CK para esta técnica** en el contexto de datos de 2025.  
Las mitigaciones recomendadas para Password Spraying (T1110.003) en general, basadas en buenas prácticas de seguridad, incluyen:  
- Uso de políticas de contraseñas fuertes y complejas.  
- Implementación de autenticación multifactor (MFA).  
- Configuración de alertas para intentos de acceso múltiples con credenciales.  
- Uso de herramientas de detección de comportamiento anómalo.  
- Educación del personal sobre riesgos de ataques de "spraying".  
Sin embargo, estas no son mitigaciones directamente especificadas por el MITRE ATT&amp;CK para T1110.003.  
✅ Respuesta final:  
**No se proporcionan mitigaciones específicas en el MITRE ATT&amp;CK para Password Spraying (T1110.003), y no se tiene datos sobre el porcentaje de intrusiones registradas en 2025 que comenzaron con esta técnica.**</t>
  </si>
  <si>
    <t>p09</t>
  </si>
  <si>
    <t>Which mitigations does ATT&amp;CK list for Phishing (T1566), and which commercial email security product does MITRE recommend to implement them?</t>
  </si>
  <si>
    <t>ATT&amp;CK lists six mitigations for Phishing: M1031 Network Intrusion Prevention (systems that scan and remove malicious attachments or links), M1021 Restrict Web-Based Content (block risky attachment types such as .scr, .exe, .pif, .cpl), M1017 User Training (train users to recognise social engineering and phishing), M1049 Antivirus/Antimalware (automatic quarantine of suspicious files), M1054 Software Configuration (anti-spoofing and email authentication: SPF, DKIM, DMARC) and M1047 Audit (audits/scans of systems, permissions and configurations).</t>
  </si>
  <si>
    <t>MITRE ATT&amp;CK does not recommend commercial vendors or products; no such recommendation exists in the corpus.</t>
  </si>
  <si>
    <t>The provided context passages do not list any mitigations for Phishing (T1566) nor do they specify any commercial email security product that MITRE recommends to implement them. While the passages mention email authentication mechanisms such as SPF, DKIM, and DMARC as part of filtering and validation, they do not explicitly state these as mitigations for T1566 or identify a specific commercial product to implement them [5]. Therefore, based on the given context, no mitigations or recommended commercial products are specified.
Answer: None of the mitigations or commercial email security products are listed in the provided context.</t>
  </si>
  <si>
    <t>2/6</t>
  </si>
  <si>
    <t>MITRE ATT&amp;CK does not list specific mitigations for Phishing (T1566) in the traditional sense of "mitigations" like firewall rules or endpoint protections. Instead, ATT&amp;CK provides a structured framework of tactics, techniques, and sub-techniques that adversaries use—such as phishing (T1566)—and recommends detection and prevention strategies based on real-world threat intelligence.
For Phishing (T1566), ATT&amp;CK recommends the following **detection and mitigation approaches**:
- **Email content filtering** to detect suspicious or malicious content.
- **Domain-based message authentication, reporting, and conformance (DMARC)** to prevent spoofed emails.
- **Sender Policy Framework (SPF)** and **DomainKeys Identified Mail (DKIM)** to verify sender authenticity.
- **User education and awareness programs** to reduce human susceptibility to phishing.
- **Real-time threat intelligence integration** to identify known phishing domains or URLs.
- **Behavioral analysis** to detect anomalies in email patterns (e.g., unusual senders, attachments, or links).
These are not "mitigations" in the sense of a product feature, but rather **security controls and practices** that help prevent or detect phishing attacks.
Regarding commercial email security products, MITRE does **not** recommend a specific commercial product** for implementing these mitigations. However, MITRE often references or aligns with industry-leading email security solutions that support these controls. For example:
- **Microsoft 365 Defender** (formerly Microsoft Defender for Office 365) is frequently cited in ATT&amp;CK for its capabilities in detecting and blocking phishing emails using DMARC, SPF, DKIM, and AI-driven content analysis.
- **Proofpoint**, **Palo Alto Networks Prisma Cloud**, and **Symantec Email Security** are also known to support many of these ATT&amp;CK-aligned controls.
✅ Therefore, while MITRE does not explicitly recommend a single commercial product for phishing mitigation, **Microsoft 365 Defender** is widely recognized and referenced in the ATT&amp;CK framework as a product that effectively implements many of the recommended mitigations for T1566 (Phishing).
**Final Answer:**
MITRE ATT&amp;CK does not list specific "mitigations" for Phishing (T1566) as a standalone category, but recommends controls such as DMARC/SPF/DKIM, user awareness, and real-time threat intelligence. MITRE does not recommend a single commercial product; however, **Microsoft 365 Defender** is a widely recognized email security solution that supports these ATT&amp;CK-aligned mitigations.</t>
  </si>
  <si>
    <t>p10</t>
  </si>
  <si>
    <t>nula</t>
  </si>
  <si>
    <t>¿Qué es la técnica T1417 Input Capture de ATT&amp;CK Mobile y qué mitigaciones propone ATT&amp;CK para ella?</t>
  </si>
  <si>
    <t>No respondible con el corpus: sólo está ingestado el dominio enterprise-attack; T1417 pertenece a mobile-attack y no existe ningún chunk con ese ID. La respuesta correcta es abstenerse indicando que el contexto no contiene esa información.</t>
  </si>
  <si>
    <t>Toda la pregunta.</t>
  </si>
  <si>
    <t>No se proporciona información sobre la técnica T1417 Input Capture en el contexto dado. Además, no hay menciones a ninguna técnica denominada "T1417 Input Capture" ni a mitigaciones específicas para ella en los pasajes proporcionados. Los pasajes mencionan exclusivamente la técnica T1056 - Input Capture y sus sub-técnicas (como T1056.001 y T1056.003), así como estrategias de detección (DET0102), pero no T1417 ni ninguna mitigación relacionada con ella.
Por lo tanto, no se puede responder a la pregunta con base en el contexto proporcionado.
Respuesta: No se proporciona información sobre la técnica T1417 Input Capture ni sobre mitigaciones para ella en el contexto dado.</t>
  </si>
  <si>
    <t>N/A</t>
  </si>
  <si>
    <t>0/0</t>
  </si>
  <si>
    <t>La técnica **T1417** en el marco de **MITRE ATT&amp;CK** no corresponde a "Input Capture" en el contexto móvil. De hecho, **T1417** está relacionada con **"Input Capture" en dispositivos móviles**, pero es importante aclarar que **T1417** es una técnica de **ciberataque en dispositivos móviles**, y su descripción oficial es:
&gt; **T1417: Input Capture** – *An attacker can capture input from a mobile device (e.g., keyboard, microphone, camera) to gather sensitive data such as passwords, messages, or voice recordings.*
Esta técnica implica que un atacante puede utilizar una aplicación maliciosa o un exploit para capturar entradas del usuario (como contraseñas, mensajes, llamadas o grabaciones) en un dispositivo móvil, lo cual puede ser usado para obtener información sensible.
### Mitigaciones propuestas por ATT&amp;CK para T1417:
El marco de ATT&amp;CK **no proporciona una lista detallada de mitigaciones específicas para T1417** como se hace con otras técnicas. En cambio, **los controles de seguridad y buenas prácticas** recomendados para prevenir esta técnica incluyen:
- **Revisar y restringir las permisos de aplicaciones** (por ejemplo, evitar que las apps accedan a micrófonos, cámaras o teclado).
- **Habilitar y usar funciones de seguridad del sistema** (como el modo de privacidad o protección de entradas).
- **Usar aplicaciones oficiales y verificadas** para evitar maliciosas que puedan capturar entradas.
- **Educación del usuario** sobre el riesgo de compartir información sensible en aplicaciones no confiables.
- **Monitoreo de actividad de entrada** (como teclado o micrófono) para detectar comportamientos anómalos.
&gt; ⚠️ Importante: T1417 está clasificada como **técnicas de ataque en dispositivos móviles**, y aunque está en el marco de ATT&amp;CK, **no tiene una sección específica de "mitigaciones" detalladas** como otras técnicas. Las recomendaciones provienen de buenas prácticas de seguridad móvil.
---
✅ **Resumen:**
- **T1417 (Input Capture)**: Permite a un atacante capturar entradas del usuario (contraseñas, mensajes, grabaciones) en dispositivos móviles.
- **Mitigaciones**: Control de permisos, uso de apps oficiales, educación del usuario, monitoreo de actividad anómala.
&gt; Nota: ATT&amp;CK no proporciona una lista oficial de mitigaciones para T1417. Las recomendaciones son derivadas de buenas prácticas de ciberseguridad móvil.</t>
  </si>
  <si>
    <t>p11</t>
  </si>
  <si>
    <t>Which ICS tactic does T0855 Unauthorized Command Message belong to and which assets does it target?</t>
  </si>
  <si>
    <t>Not answerable from the corpus: T0855 belongs to the ics-attack domain, which is not ingested; no chunk carries that ID. The correct behaviour is to state that the context does not contain the information.</t>
  </si>
  <si>
    <t>Entire question.</t>
  </si>
  <si>
    <t>The context provided does not contain information about T0855 Unauthorized Command Message or any ICS (Industrial Control Systems) tactic. Therefore, it is not possible to determine which ICS tactic T0855 belongs to or which assets it targets based on the given passages.
[No relevant context found.]</t>
  </si>
  <si>
    <t>The technique T0855 (Unauthorized Command Message) is not a valid or recognized entry in the MITRE ATT&amp;CK framework. There is no official technique with the ID "T0855" in the current MITRE ATT&amp;CK database for cyberattack tactics and techniques, including those related to Industrial Control Systems (ICS).
Additionally, the MITRE ATT&amp;CK framework does not have a technique labeled "T0855" — the "T" prefix is used for techniques, but the numbering (e.g., T1059 for command and script injection) follows a specific structure and does not include T0855.
Therefore, T0855 is not a valid or documented technique in the MITRE ATT&amp;CK framework, and thus it does not belong to any ICS tactic, nor does it target any specific assets.
If you meant a different technique or are referring to a non-standard or outdated identifier, please clarify.
Answer: T0855 is not a valid technique in the MITRE ATT&amp;CK framework and does not exist in any ICS tactic or asset targeting.</t>
  </si>
  <si>
    <t>p12</t>
  </si>
  <si>
    <t>¿Cuál fue la técnica ATT&amp;CK más utilizada por los atacantes a nivel mundial durante 2026?</t>
  </si>
  <si>
    <t>No respondible: ATT&amp;CK describe técnicas, grupos y procedimientos, pero no contiene estadísticas de frecuencia de uso por año. La respuesta correcta es abstenerse.</t>
  </si>
  <si>
    <t>No se proporciona información en los contextos sobre cuál fue la técnica ATT&amp;CK más utilizada por los atacantes a nivel mundial durante 2026. Aunque se mencionan varias herramientas y tácticas (como T1608.004, S9041, S9042, S9044), no hay datos que indiquen cuál fue la técnica más utilizada a nivel mundial en ese año. Por lo tanto, no se puede determinar la respuesta basándose únicamente en el contenido dado.
Respuesta: No se puede determinar con la información proporcionada.</t>
  </si>
  <si>
    <t>No se dispone de datos oficiales o públicos que indiquen cuál fue la técnica ATT&amp;CK más utilizada por los atacantes a nivel mundial durante 2026, ya que ese año aún no ha ocurrido y no se han publicado estadísticas oficiales sobre el uso de técnicas de ataque en el marco del MITRE ATT&amp;CK para ese período.
Además, el MITRE ATT&amp;CK no proporciona un ranking anual de técnicas más utilizadas por atacantes en un año futuro. Los datos sobre el uso de técnicas de ataque se basan en análisis de incidentes reales, reportes de amenazas y estudios de seguridad que se publican en años pasados.
Por lo tanto, no es posible responder con precisión a la pregunta sobre la técnica más utilizada en 2026.
Si te interesa, puedo proporcionar información sobre las técnicas más comunes en años pasados (por ejemplo, 2023 o 2024) o sobre las más frecuentes en el marco del MITRE ATT&amp;CK actual.</t>
  </si>
  <si>
    <t>p13</t>
  </si>
  <si>
    <t>¿Qué describe la sub-técnica T1059.099 de ATT&amp;CK y a qué táctica pertenece?</t>
  </si>
  <si>
    <t>No respondible: T1059.099 no existe en ATT&amp;CK ni en el corpus. La respuesta correcta es indicar que no hay información sobre ese identificador (sin inventar una sub-técnica de T1059).</t>
  </si>
  <si>
    <t>No se proporciona información sobre la sub-técnica T1059.099 en los contextos dados. Por lo tanto, no se puede describir ni identificar a qué táctica pertenece. [N/A]</t>
  </si>
  <si>
    <t>La sub-técnica T1059.099 de ATT&amp;CK describe **"Command and Scripting Interpreter: PowerShell"**, específicamente el uso de **PowerShell para ejecutar comandos y scripts**.  
Pertenece a la **táctica T1059: Command and Scripting Interpreter**, que incluye el uso de interpretadores de comandos y scripts para ejecutar código en sistemas operativos, como PowerShell, Bash, o otros lenguajes de scripting.
**Respuesta final:**  
La sub-técnica T1059.099 describe el uso de PowerShell como interpretador de comandos y scripts, y pertenece a la táctica T1059: Command and Scripting Interpreter.</t>
  </si>
  <si>
    <t>n</t>
  </si>
  <si>
    <t>afirmación</t>
  </si>
  <si>
    <t>respaldo</t>
  </si>
  <si>
    <t>cita_n</t>
  </si>
  <si>
    <t>fragmento_sostiene</t>
  </si>
  <si>
    <t>nota</t>
  </si>
  <si>
    <t>códigos (auto)</t>
  </si>
  <si>
    <t>chequeo (auto)</t>
  </si>
  <si>
    <t>hecho</t>
  </si>
  <si>
    <t>texto del hecho</t>
  </si>
  <si>
    <t>evidencia (n frag.)</t>
  </si>
  <si>
    <t>llegó (RAG)</t>
  </si>
  <si>
    <t>cubierto RAG</t>
  </si>
  <si>
    <t>cubierto LLM</t>
  </si>
  <si>
    <t>cubierto y citado RAG</t>
  </si>
  <si>
    <t>H1</t>
  </si>
  <si>
    <t>M1038 Execution Prevention</t>
  </si>
  <si>
    <t>H2</t>
  </si>
  <si>
    <t>M1045 Code Signing</t>
  </si>
  <si>
    <t>H3</t>
  </si>
  <si>
    <t>M1026 Privileged Account Management</t>
  </si>
  <si>
    <t>H4</t>
  </si>
  <si>
    <t>M1049 Antivirus/Antimalware</t>
  </si>
  <si>
    <t>H5</t>
  </si>
  <si>
    <t>M1042 Disable or Remove Feature or Program (PowerShell/WinRM)</t>
  </si>
  <si>
    <t>ALT-P</t>
  </si>
  <si>
    <t>Phishing pertenece a Initial Access</t>
  </si>
  <si>
    <t>T1566.001 Spearphishing Attachment</t>
  </si>
  <si>
    <t>T1566.002 Spearphishing Link</t>
  </si>
  <si>
    <t>T1566.003 Spearphishing via Service</t>
  </si>
  <si>
    <t>T1566.004 Spearphishing Voice</t>
  </si>
  <si>
    <t>Persistencia = el adversario intenta mantener su punto de apoyo</t>
  </si>
  <si>
    <t>Conservar acceso pese a reinicios, cambios de credenciales u otras interrupciones</t>
  </si>
  <si>
    <t>Cobalt Strike: herramienta comercial de acceso remoto / simulación de adversarios</t>
  </si>
  <si>
    <t>Aprovecha capacidades de Metasploit y Mimikatz</t>
  </si>
  <si>
    <t>APT29 usa Mimikatz (G0016 &lt;-&gt; S0002)</t>
  </si>
  <si>
    <t>Mimikatz implementa T1550.003 Pass the Ticket</t>
  </si>
  <si>
    <t>ALT</t>
  </si>
  <si>
    <t>Mimikatz implementa T1558.001 Golden Ticket</t>
  </si>
  <si>
    <t>Mimikatz implementa T1558.002 Silver Ticket</t>
  </si>
  <si>
    <t>Lazarus usa T1059.001 PowerShell</t>
  </si>
  <si>
    <t>Lazarus usa T1059.003 Windows Command Shell</t>
  </si>
  <si>
    <t>Lazarus usa T1059.005 Visual Basic</t>
  </si>
  <si>
    <t>Nearest Neighbor Campaign: APT28 password spray contra servicios públicos</t>
  </si>
  <si>
    <t>Herramienta de fuerza bruta: ~4 intentos por hora por cuenta</t>
  </si>
  <si>
    <t>Clúster de Kubernetes para password spray distribuido</t>
  </si>
  <si>
    <t>M1027 Password Policies (NIST)</t>
  </si>
  <si>
    <t>M1032 Multi-factor Authentication</t>
  </si>
  <si>
    <t>M1036 Account Use Policies</t>
  </si>
  <si>
    <t>M1031 Network Intrusion Prevention</t>
  </si>
  <si>
    <t>M1021 Restrict Web-Based Content</t>
  </si>
  <si>
    <t>M1017 User Training</t>
  </si>
  <si>
    <t>M1054 Software Configuration (SPF, DKIM, DMARC)</t>
  </si>
  <si>
    <t>H6</t>
  </si>
  <si>
    <t>M1047 Audit</t>
  </si>
  <si>
    <t>rank</t>
  </si>
  <si>
    <t>point_id</t>
  </si>
  <si>
    <t>attack_id</t>
  </si>
  <si>
    <t>chunk</t>
  </si>
  <si>
    <t>score</t>
  </si>
  <si>
    <t>texto del fragmento</t>
  </si>
  <si>
    <t>0a79d1de-5953-5bf1-91d8-c87bbbf93bc8</t>
  </si>
  <si>
    <t>T1059.001</t>
  </si>
  <si>
    <t>0/11</t>
  </si>
  <si>
    <t># T1059.001 - PowerShell
Type: sub-technique | Domain: enterprise-attack | ATT&amp;CK version: 19.2
Tactics: execution
Platforms: Windows
Sub-technique of: T1059 Command and Scripting Interpreter
## Description
Adversaries may abuse PowerShell commands and scripts for execution. PowerShell is a powerful interactive command-line interface and scripting environment included in the Windows operating system.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t>
  </si>
  <si>
    <t>4890209d-7610-5835-817d-6f8eb92c4ff3</t>
  </si>
  <si>
    <t>S1193</t>
  </si>
  <si>
    <t>0/1</t>
  </si>
  <si>
    <t># S1193 - TAMECAT
Type: software | Domain: enterprise-attack | ATT&amp;CK version: 19.2
Software type: malware | Aliases: TAMECAT | Platforms: Windows
## Description
[TAMECAT](https://attack.mitre.org/software/S1193) is a malware that is used by [APT42](https://attack.mitre.org/groups/G1044) to execute PowerShell or C# content.
## Techniques used
- T1047 Windows Management Instrumentation
- T1059.001 PowerShell
- T1059.003 Windows Command Shell
- T1059.005 Visual Basic
- T1071.001 Web Protocols
- T1105 Ingress Tool Transfer
- T1132.001 Standard Encoding
- T1518.001 Security Software Discovery
- T1573.001 Symmetric Cryptography
## Used by
- G1044 APT42</t>
  </si>
  <si>
    <t>a2e64c2d-7e66-5e5a-86df-0543d7957b56</t>
  </si>
  <si>
    <t>G0099</t>
  </si>
  <si>
    <t>1/3</t>
  </si>
  <si>
    <t># G0099 - APT-C-36
institutions and entities in the financial, energy, and professional manufacturing sectors across Colombia and other Latin American countries.
## Techniques used
- T1027 Obfuscated Files or Information
- T1027.003 Steganography
- T1027.013 Encrypted/Encoded File
- T1027.016 Junk Code Insertion
- T1036.004 Masquerade Task or Service
- T1036.005 Match Legitimate Resource Name or Location
- T1047 Windows Management Instrumentation
- T1053.005 Scheduled Task
- T1055.012 Process Hollowing
- T1059.001 PowerShell
- T1059.005 Visual Basic
- T1059.007 JavaScript
- T1105 Ingress Tool Transfer
- T1133 External Remote Services
- T1204.001 Malicious Link
- T1204.002 Malicious File
- T1480 Execution Guardrails
- T1534 Internal Spearphishing
- T1564.003 Hidden Window
- T1566.001 Spearphishing Attachment
- T1566.002 Spearphishing Link
- T1568 Dynamic Resolution
- T1571 Non-Standard Port
- T1574.001 DLL
- T1583.001 Domains
- T1583.003 Virtual Private Server
- T1583.006 Web Services
- T1584.005 Botnet
- T1586.002 Email Accounts
- T1586.003 Cloud Accounts
- T1587.001 Malware
- T1588.001 Malware
- T1588.002 Tool
- T1593 Search Open Websites/Domains
- T1608.001 Upload Malware
- T1683.001 Written Content
- T1683.002 Audio-Visual Content
- T1684.001 Impersonation</t>
  </si>
  <si>
    <t>12155368-afb0-5e72-bdbd-189ee840f96e</t>
  </si>
  <si>
    <t>T1059</t>
  </si>
  <si>
    <t>5/10</t>
  </si>
  <si>
    <t># T1059 - Command and Scripting Interpreter
interpreter installations.
- M1042 Disable or Remove Feature or Program: Disable or remove any unnecessary or unused shells or interpreters.
## Sub-techniques
- T1059.007 JavaScript
- T1059.002 AppleScript
- T1059.010 AutoHotKey &amp; AutoIT
- T1059.009 Cloud API
- T1059.008 Network Device CLI
- T1059.001 PowerShell
- T1059.004 Unix Shell
- T1059.011 Lua
- T1059.013 Container CLI/API
- T1059.005 Visual Basic
- T1059.003 Windows Command Shell
- T1059.012 Hypervisor CLI
- T1059.006 Python
## Procedure examples
- C0005 Operation Spalax (campaign): For [Operation Spalax](https://attack.mitre.org/campaigns/C0005), the threat actors used Nullsoft Scriptable Install System (NSIS) scripts to install malware.
- C0029 Cutting Edge (campaign): During [Cutting Edge](https://attack.mitre.org/campaigns/C0029), threat actors used Perl scripts to enable the deployment of the THINSPOOL shell script dropper and for enumerating host data.
- C0046 ArcaneDoor (campaign): [ArcaneDoor](https://attack.mitre.org/campaigns/C0046) included the adversary executing command line interface (CLI) commands.</t>
  </si>
  <si>
    <t>3176af7f-1b20-500d-8754-9e2746f08472</t>
  </si>
  <si>
    <t>S0393</t>
  </si>
  <si>
    <t># S0393 - PowerStallion
Type: software | Domain: enterprise-attack | ATT&amp;CK version: 19.2
Software type: malware | Aliases: PowerStallion | Platforms: Windows
## Description
[PowerStallion](https://attack.mitre.org/software/S0393) is a lightweight [PowerShell](https://attack.mitre.org/techniques/T1059/001) backdoor used by [Turla](https://attack.mitre.org/groups/G0010), possibly as a recovery access tool to install other backdoors.
## Techniques used
- T1027 Obfuscated Files or Information
- T1057 Process Discovery
- T1059.001 PowerShell
- T1070.006 Timestomp
- T1102.002 Bidirectional Communication
## Used by
- G0010 Turla</t>
  </si>
  <si>
    <t>b2a9cfd5-44fa-5197-8cfd-a36ce303763f</t>
  </si>
  <si>
    <t>T1586</t>
  </si>
  <si>
    <t>2/3</t>
  </si>
  <si>
    <t># T1586 - Compromise Accounts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 Mitigations
- M1056 Pre-compromise: This technique cannot be easily mitigated with preventive controls since it is based on behaviors performed outside of the scope of enterprise defenses and controls.
## Sub-techniques
- T1586.001 Social Media Accounts
- T1586.003 Cloud Accounts
- T1586.002 Email Accounts</t>
  </si>
  <si>
    <t>af42649d-952f-5dfb-afab-8c8e51a00019</t>
  </si>
  <si>
    <t>T1566</t>
  </si>
  <si>
    <t>0/8</t>
  </si>
  <si>
    <t># T1566 - Phishing
Type: technique | Domain: enterprise-attack | ATT&amp;CK version: 19.2
Tactics: initial-access
Platforms: Identity Provider, Linux, macOS, Office Suite, SaaS, Windows
## Description
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t>
  </si>
  <si>
    <t>7d5a91ab-56d5-5ca2-b89b-c33ea61c6f5c</t>
  </si>
  <si>
    <t>T1566.004</t>
  </si>
  <si>
    <t>0/4</t>
  </si>
  <si>
    <t># T1566.004 - Spearphishing Voice
Type: sub-technique | Domain: enterprise-attack | ATT&amp;CK version: 19.2
Tactics: initial-access
Platforms: Linux, macOS, Windows, Identity Provider
Sub-technique of: T1566 Phishing
## Description
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[Impersonation](https://attack.mitre.org/techniques/T1684/001)) and/or creating a sense of urgency or alarm for the recipient.</t>
  </si>
  <si>
    <t>ff4c0835-7fe5-59cd-a94d-d82a9c87c07c</t>
  </si>
  <si>
    <t>TA0001</t>
  </si>
  <si>
    <t># TA0001 - Initial Access
Type: tactic | Domain: enterprise-attack | ATT&amp;CK version: 19.2
Shortname: initial-access
## Description
The adversary is trying to get into your network.
Initial Access consists of techniques that use various entry vectors to gain their initial foothold within a network. Techniques used to gain a foothold include targeted spearphishing and exploiting weaknesses on public-facing web servers. Footholds gained through initial access may allow for continued access, like valid accounts and use of external remote services, or may be limited-use due to changing passwords.
## Techniques in this tactic
- T1078 Valid Accounts
- T1091 Replication Through Removable Media
- T1133 External Remote Services
- T1189 Drive-by Compromise
- T1190 Exploit Public-Facing Application
- T1195 Supply Chain Compromise
- T1199 Trusted Relationship
- T1200 Hardware Additions
- T1566 Phishing
- T1659 Content Injection
- T1669 Wi-Fi Networks</t>
  </si>
  <si>
    <t>f4d8f7cf-221f-59d8-8020-429a851befef</t>
  </si>
  <si>
    <t>T1598</t>
  </si>
  <si>
    <t>0/6</t>
  </si>
  <si>
    <t># T1598 - Phishing for Information
Type: technique | Domain: enterprise-attack | ATT&amp;CK version: 19.2
Tactics: reconnaissance
Platforms: PRE
## Description
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t>
  </si>
  <si>
    <t>259ce106-5bf5-5095-9060-49c5e3501b01</t>
  </si>
  <si>
    <t>TA0003</t>
  </si>
  <si>
    <t>0/2</t>
  </si>
  <si>
    <t># TA0003 - Persistence
Type: tactic | Domain: enterprise-attack | ATT&amp;CK version: 19.2
Shortname: persistence
## Description
The adversary is trying to maintain their foothold.
Persistence consists of techniques that adversaries use to keep access to systems across restarts, changed credentials, and other interruptions that could cut off their access. Techniques used for persistence include any access, action, or configuration changes that let them maintain their foothold on systems, such as replacing or hijacking legitimate code or adding startup code.</t>
  </si>
  <si>
    <t>e10a631d-09ba-51f0-875b-5eb8736daa53</t>
  </si>
  <si>
    <t>T1070.010</t>
  </si>
  <si>
    <t># T1070.010 - Relocate Malware
Type: sub-technique | Domain: enterprise-attack | ATT&amp;CK version: 19.2
Tactics: stealth
Platforms: Linux, macOS, Network Devices, Windows
Sub-technique of: T1070 Indicator Removal
## Description
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 Payloads may also be repositioned to target [File/Path Exclusions](https://attack.mitre.org/techniques/T1564/012) as well as specific locations associated with establishing [Persistence](https://attack.mitre.org/tactics/TA0003).</t>
  </si>
  <si>
    <t>b0eccfc2-c562-56d9-a9c2-b5fb87c09c21</t>
  </si>
  <si>
    <t>T1668</t>
  </si>
  <si>
    <t># T1668 - Exclusive Control
Type: technique | Domain: enterprise-attack | ATT&amp;CK version: 19.2
Tactics: persistence
Platforms: Linux, macOS, Windows
## Description
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 to prevent other threat actors from leveraging that vulnerability in the future. They may “close the door” in other ways, such as disabling vulnerable services, stripping privileges from accounts, or removing other malware already on the compromised device.</t>
  </si>
  <si>
    <t>5eecfeb4-7ff3-5476-a857-a696b2cfa777</t>
  </si>
  <si>
    <t>T1596.003</t>
  </si>
  <si>
    <t># T1596.003 - Digital Certificates
Type: sub-technique | Domain: enterprise-attack | ATT&amp;CK version: 19.2
Tactics: reconnaissance
Platforms: PRE
Sub-technique of: T1596 Search Open Technical Databases
## Description
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t>
  </si>
  <si>
    <t>d594b40b-00a7-5682-b595-8e660593de1f</t>
  </si>
  <si>
    <t>T1547.007</t>
  </si>
  <si>
    <t># T1547.007 - Re-opened Applications
Type: sub-technique | Domain: enterprise-attack | ATT&amp;CK version: 19.2
Tactics: persistence, privilege-escalation
Platforms: macOS
Sub-technique of: T1547 Boot or Logon Autostart Execution
## Description
Adversaries may modify plist files to automatically run an application when a user logs in. When a user logs out or restarts via the macOS Graphical User Interface (GUI), a prompt is provided to the user with a checkbox to "Reopen windows when logging back in". When selected, all applications currently open are added to a property list file named &lt;code&gt;com.apple.loginwindow.[UUID].plist&lt;/code&gt; within the &lt;code&gt;~/Library/Preferences/ByHost&lt;/code&gt; directory.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t>
  </si>
  <si>
    <t>71c1c43a-b0b2-569d-8a65-7d55faff7ef8</t>
  </si>
  <si>
    <t>S0154</t>
  </si>
  <si>
    <t># S0154 - Cobalt Strike
Type: software | Domain: enterprise-attack | ATT&amp;CK version: 19.2
Software type: malware | Aliases: Cobalt Strike | Platforms: Linux, macOS, Windows
## Description
[Cobalt Strike](https://attack.mitre.org/software/S0154) is a commercial, full-featured, remote access tool that bills itself as “adversary simulation software designed to execute targeted attacks and emulate the post-exploitation actions of advanced threat actors”. Cobalt Strike’s interactive post-exploit capabilities cover the full range of ATT&amp;CK tactics, all executed within a single, integrated system.
In addition to its own capabilities, [Cobalt Strike](https://attack.mitre.org/software/S0154) leverages the capabilities of other well-known tools such as Metasploit and [Mimikatz](https://attack.mitre.org/software/S0002).</t>
  </si>
  <si>
    <t>b27606ce-c40b-57f1-92e7-d18ac7673f0e</t>
  </si>
  <si>
    <t>T1021.004</t>
  </si>
  <si>
    <t>6/7</t>
  </si>
  <si>
    <t># T1021.004 - SSH
SSH through an HTTP tunnel.
- S0154 Cobalt Strike (software): [Cobalt Strike](https://attack.mitre.org/software/S0154) can SSH to a remote service.
- S0599 Kinsing (software): [Kinsing](https://attack.mitre.org/software/S0599) has used SSH for lateral movement.</t>
  </si>
  <si>
    <t>c7c1e3ef-2447-55be-8bab-3de4d5e3fa0b</t>
  </si>
  <si>
    <t>G0080</t>
  </si>
  <si>
    <t># G0080 - Cobalt Group
T1566.001 Spearphishing Attachment
- T1566.002 Spearphishing Link
- T1572 Protocol Tunneling
- T1573.002 Asymmetric Cryptography
- T1588.002 Tool
## Software used
- S0002 Mimikatz
- S0284 More_eggs
- S0646 SpicyOmelette
- S0195 SDelete
- S0154 Cobalt Strike
- S0029 PsExec</t>
  </si>
  <si>
    <t>ee34623e-b92f-55b0-bf27-6b757ee1681d</t>
  </si>
  <si>
    <t>S0637</t>
  </si>
  <si>
    <t># S0637 - NativeZone
Type: software | Domain: enterprise-attack | ATT&amp;CK version: 19.2
Software type: malware | Aliases: NativeZone | Platforms: Windows
## Description
[NativeZone](https://attack.mitre.org/software/S0637) is the name given collectively to disposable custom [Cobalt Strike](https://attack.mitre.org/software/S0154) loaders used by [APT29](https://attack.mitre.org/groups/G0016) since at least 2021.
## Techniques used
- T1036 Masquerading
- T1140 Deobfuscate/Decode Files or Information
- T1204.002 Malicious File
- T1218.011 Rundll32
- T1480 Execution Guardrails
- T1497.001 System Checks
## Used by
- G0016 APT29</t>
  </si>
  <si>
    <t>a8f8bb82-ac11-5f17-b51c-536281194ec5</t>
  </si>
  <si>
    <t>T1001.003</t>
  </si>
  <si>
    <t>5/8</t>
  </si>
  <si>
    <t># T1001.003 - Protocol or Service Impersonation
requests.
- S0387 KeyBoy (software): [KeyBoy](https://attack.mitre.org/software/S0387) uses custom SSL libraries to impersonate SSL in C2 traffic.
- S0586 TAINTEDSCRIBE (software): [TAINTEDSCRIBE](https://attack.mitre.org/software/S0586) has used FakeTLS for session authentication.
- S0022 Uroburos (software): [Uroburos](https://attack.mitre.org/software/S0022) can use custom communication methodologies that ride over common  protocols including TCP, UDP, HTTP, SMTP, and DNS in order to blend with normal network traffic.
- S0245 BADCALL (software): [BADCALL](https://attack.mitre.org/software/S0245) uses a FakeTLS method during C2.
- S0154 Cobalt Strike (software): [Cobalt Strike](https://attack.mitre.org/software/S0154) can leverage the HTTP protocol for C2 communication, while hiding the actual data in either an HTTP header, URI parameter, the transaction body, or appending it to the URI.
[Cobalt Strike](https://attack.mitre.org/software/S0154) has also added Host: ocsp.verisign.com to HTTP headers to mimic Online Certificate Status Protocol (OCSP) traffic.</t>
  </si>
  <si>
    <t>750bebf0-a34b-5f77-9ddb-6fe2a3f246ba</t>
  </si>
  <si>
    <t>T1550.003</t>
  </si>
  <si>
    <t>4/5</t>
  </si>
  <si>
    <t># T1550.003 - Pass the Ticket
account password once, force replication, and then change the password a second time. Consider rotating the KRBTGT account password every 180 days.
## Procedure examples
- G0050 APT32 (group): [APT32](https://attack.mitre.org/groups/G0050) successfully gained remote access by using pass the ticket.
- G0016 APT29 (group): [APT29](https://attack.mitre.org/groups/G0016) used Kerberos ticket attacks for lateral movement.
- G0060 BRONZE BUTLER (group): [BRONZE BUTLER](https://attack.mitre.org/groups/G0060) has created forged Kerberos Ticket Granting Ticket (TGT) and Ticket Granting Service (TGS) tickets to maintain administrative access.
- S0053 SeaDuke (software): Some [SeaDuke](https://attack.mitre.org/software/S0053) samples have a module to use pass the ticket with Kerberos for authentication.
- S0002 Mimikatz (software): [Mimikatz](https://attack.mitre.org/software/S0002)’s &lt;code&gt;LSADUMP::DCSync&lt;/code&gt; and &lt;code&gt;KERBEROS::PTT&lt;/code&gt; modules implement the three steps required to extract the krbtgt account hash and create/use Kerberos tickets.
- S0192 Pupy (software): [Pupy](https://attack.mitre.org/software/S0192) can also perform pass-the-ticket.</t>
  </si>
  <si>
    <t>7056425c-0a49-5208-8a73-967b7b0834c4</t>
  </si>
  <si>
    <t># T1550.003 - Pass the Ticket
Type: sub-technique | Domain: enterprise-attack | ATT&amp;CK version: 19.2
Tactics: lateral-movement
Platforms: Windows
Sub-technique of: T1550 Use Alternate Authentication Material
## Description
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t>
  </si>
  <si>
    <t>304f8585-a1e6-5623-9b25-a13b95dab776</t>
  </si>
  <si>
    <t>T1558.003</t>
  </si>
  <si>
    <t>3/7</t>
  </si>
  <si>
    <t># T1558.003 - Kerberoasting
outside normal usage baselines. Also correlates suspicious process activity (e.g., Mimikatz invoking LSASS access) with Kerberos ticket anomalies.
## Mitigations
- M1027 Password Policies: Ensure strong password length (ideally 25+ characters) and complexity for service accounts and that these passwords periodically expire. Also consider using Group Managed Service Accounts or another third party product such as password vaulting.
- M1026 Privileged Account Management: Limit service accounts to minimal required privileges, including membership in privileged groups such as Domain Administrators.
- M1041 Encrypt Sensitive Information: Enable AES Kerberos encryption (or another stronger encryption algorithm), rather than RC4, where possible.
## Procedure examples
- C0024 SolarWinds Compromise (campaign): During the [SolarWinds Compromise](https://attack.mitre.org/campaigns/C0024), [APT29](https://attack.mitre.org/groups/G0016) obtained Ticket Granting Service (TGS) tickets for Active Directory Service Principle Names to crack offline.</t>
  </si>
  <si>
    <t>daaa4cb7-91e0-5cc0-82b5-3b2bb2ca454a</t>
  </si>
  <si>
    <t>S0079</t>
  </si>
  <si>
    <t># S0079 - MobileOrder
Type: software | Domain: enterprise-attack | ATT&amp;CK version: 19.2
Software type: malware | Aliases: n/a | Platforms: n/a
## Description
[MobileOrder](https://attack.mitre.org/software/S0079) is a Trojan intended to compromise Android mobile devices. It has been used by [Scarlet Mimic](https://attack.mitre.org/groups/G0029).
## Techniques used
- T1005 Data from Local System
- T1041 Exfiltration Over C2 Channel
- T1057 Process Discovery
- T1082 System Information Discovery
- T1083 File and Directory Discovery
- T1105 Ingress Tool Transfer
- T1217 Browser Information Discovery
## Used by
- G0029 Scarlet Mimic</t>
  </si>
  <si>
    <t>aad4bf53-34e3-513d-a9bc-9661d1985753</t>
  </si>
  <si>
    <t>T1558.001</t>
  </si>
  <si>
    <t>3/4</t>
  </si>
  <si>
    <t># T1558.001 - Golden Ticket
account password once, force replication, and then change the password a second time. Consider rotating the KRBTGT account password every 180 days.
## Procedure examples
- G0004 Ke3chang (group): [Ke3chang](https://attack.mitre.org/groups/G0004) has used [Mimikatz](https://attack.mitre.org/software/S0002) to generate Kerberos golden tickets.
- S0633 Sliver (software): [Sliver](https://attack.mitre.org/software/S0633) incorporates the [Rubeus](https://attack.mitre.org/software/S1071) framework to allow for Kerberos ticket manipulation, specifically for forging Kerberos Golden Tickets.
- S0363 Empire (software): [Empire](https://attack.mitre.org/software/S0363) can leverage its implementation of [Mimikatz](https://attack.mitre.org/software/S0002) to obtain and use golden tickets.
- S0002 Mimikatz (software): [Mimikatz](https://attack.mitre.org/software/S0002)'s kerberos module can create golden tickets.
- S1071 Rubeus (software): [Rubeus](https://attack.mitre.org/software/S1071) can forge a ticket-granting ticket.</t>
  </si>
  <si>
    <t>72ef6bf9-f375-5969-8f05-be8b358a87ba</t>
  </si>
  <si>
    <t>S0347</t>
  </si>
  <si>
    <t># S0347 - AuditCred
Type: software | Domain: enterprise-attack | ATT&amp;CK version: 19.2
Software type: malware | Aliases: AuditCred, Roptimizer | Platforms: Windows
## Description
[AuditCred](https://attack.mitre.org/software/S0347) is a malicious DLL that has been used by [Lazarus Group](https://attack.mitre.org/groups/G0032) during their 2018 attacks.
## Techniques used
- T1027.013 Encrypted/Encoded File
- T1055 Process Injection
- T1059.003 Windows Command Shell
- T1070.004 File Deletion
- T1083 File and Directory Discovery
- T1090 Proxy
- T1105 Ingress Tool Transfer
- T1140 Deobfuscate/Decode Files or Information
- T1543.003 Windows Service
## Used by
- G0032 Lazarus Group</t>
  </si>
  <si>
    <t>82b5059b-bba0-51c6-a72e-3cf74d782138</t>
  </si>
  <si>
    <t># G0099 - APT-C-36
Type: group | Domain: enterprise-attack | ATT&amp;CK version: 19.2
Aliases: APT-C-36, Blind Eagle, TAG-144, AguilaCiega, APT-Q-98
## Description
[APT-C-36](https://attack.mitre.org/groups/G0099) is a suspected South American threat group that has engaged in espionage and financially motivated operations since at least 2018. [APT-C-36](https://attack.mitre.org/groups/G0099) has targeted government institutions and entities in the financial, energy, and professional manufacturing sectors across Colombia and other Latin American countries.</t>
  </si>
  <si>
    <t>77ea47c9-d1b8-55f4-8c12-d291eda4256b</t>
  </si>
  <si>
    <t>S0263</t>
  </si>
  <si>
    <t># S0263 - TYPEFRAME
Type: software | Domain: enterprise-attack | ATT&amp;CK version: 19.2
Software type: malware | Aliases: TYPEFRAME | Platforms: Windows
## Description
[TYPEFRAME](https://attack.mitre.org/software/S0263) is a remote access tool that has been used by [Lazarus Group](https://attack.mitre.org/groups/G0032).
## Techniques used
- T1027.011 Fileless Storage
- T1027.013 Encrypted/Encoded File
- T1059.003 Windows Command Shell
- T1059.005 Visual Basic
- T1070.004 File Deletion
- T1083 File and Directory Discovery
- T1090 Proxy
- T1105 Ingress Tool Transfer
- T1112 Modify Registry
- T1140 Deobfuscate/Decode Files or Information
- T1204.002 Malicious File
- T1543.003 Windows Service
- T1571 Non-Standard Port
- T1680 Local Storage Discovery
- T1686.003 Windows Host Firewall
## Used by
- G0032 Lazarus Group</t>
  </si>
  <si>
    <t>d7ced4c8-3901-5447-a0b3-c2fbf5b3ae9f</t>
  </si>
  <si>
    <t>G0032</t>
  </si>
  <si>
    <t># G0032 - Lazarus Group
Type: group | Domain: enterprise-attack | ATT&amp;CK version: 19.2
Aliases: Lazarus Group, Labyrinth Chollima, HIDDEN COBRA, Guardians of Peace, ZINC, NICKEL ACADEMY, Diamond Sleet
## Description
[Lazarus Group](https://attack.mitre.org/groups/G0032) is a North Korean state-sponsored cyber threat group attributed to the Reconnaissance General Bureau (RGB). [Lazarus Group](https://attack.mitre.org/groups/G0032) has been active since at least 2009 and is reportedly responsible for the November 2014 destructive wiper attack on Sony Pictures Entertainment, identified by Novetta as part of Operation Blockbuster. Malware used by [Lazarus Group](https://attack.mitre.org/groups/G0032) correlates to other reported campaigns, including Operation Flame, Operation 1Mission, Operation Troy, DarkSeoul, and Ten Days of Rain.</t>
  </si>
  <si>
    <t>d5484bb9-a214-54b4-8984-3d35d6ac7bfe</t>
  </si>
  <si>
    <t># G0032 - Lazarus Group
Group” as an umbrella term for multiple North Korean cyber operators conducting espionage, destructive attacks, and financially motivated campaigns.
## Techniques used
- T1001.003 Protocol or Service Impersonation
- T1005 Data from Local System
- T1008 Fallback Channels
- T1010 Application Window Discovery
- T1012 Query Registry
- T1016 System Network Configuration Discovery
- T1021.001 Remote Desktop Protocol
- T1021.002 SMB/Windows Admin Shares
- T1021.004 SSH
- T1027.007 Dynamic API Resolution
- T1027.009 Embedded Payloads
- T1027.013 Encrypted/Encoded File
- T1033 System Owner/User Discovery
- T1036.003 Rename Legitimate Utilities
- T1036.004 Masquerade Task or Service
- T1036.005 Match Legitimate Resource Name or Location
- T1041 Exfiltration Over C2 Channel
- T1046 Network Service Discovery
- T1047 Windows Management Instrumentation
- T1048.003 Exfiltration Over Unencrypted Non-C2 Protocol
- T1049 System Network Connections Discovery
- T1053.005 Scheduled Task
- T1055.001 Dynamic-link Library Injection
- T1056.001 Keylogging
- T1057 Process Discovery
- T1059.001 PowerShell
- T1059.003 Windows Command Shell
- T1059.005 Visual Basic
- T1070 Indicator Removal
- T1070.003 Clear Command History
- T1070.004 File Deletion
- T1070.006 Timestomp
- T1071.001 Web Protocols
- T1074.001 Local Data Staging
- T1078 Valid Accounts
- T108</t>
  </si>
  <si>
    <t>bda60f05-afc9-5623-a785-ce6ba574ed8e</t>
  </si>
  <si>
    <t>T1110.003</t>
  </si>
  <si>
    <t>7/9</t>
  </si>
  <si>
    <t># T1110.003 - Password Spraying
and passwords.
- G1030 Agrius (group): [Agrius](https://attack.mitre.org/groups/G1030) engaged in password spraying via SMB in victim environments.
- G0007 APT28 (group): [APT28](https://attack.mitre.org/groups/G0007) has used a brute-force/password-spray tooling that operated in two modes: in password-spraying mode it conducted approximately four authentication attempts per hour per targeted account over the course of several days or weeks.
[APT28](https://attack.mitre.org/groups/G0007) has also used a Kubernetes cluster to conduct distributed, large-scale password spray attacks.
- G0032 Lazarus Group (group): [Lazarus Group](https://attack.mitre.org/groups/G0032) malware attempts to connect to Windows shares for lateral movement by using a generated list of usernames, which center around permutations of the username Administrator, and weak passwords.
- G1001 HEXANE (group): [HEXANE](https://attack.mitre.org/groups/G1001) has used password spraying attacks to obtain valid credentials.
- G0064 APT33 (group): [APT33](https://attack.mitre.org/groups/G0064) has used password spraying to gain access to target systems.</t>
  </si>
  <si>
    <t>ef7bd43e-42d4-5dd2-bc0e-1abd0cbf802f</t>
  </si>
  <si>
    <t>5/9</t>
  </si>
  <si>
    <t># T1110.003 - Password Spraying
outside defined organization IP ranges. Consider blocking risky authentication requests, such as those originating from anonymizing services/proxies.
## Procedure examples
- C0051 APT28 Nearest Neighbor Campaign (campaign): During [APT28 Nearest Neighbor Campaign](https://attack.mitre.org/campaigns/C0051), [APT28](https://attack.mitre.org/groups/G0007) performed password-spray attacks against public facing services to validate credentials.
- C0055 Quad7 Activity (campaign): [Quad7 Activity](https://attack.mitre.org/campaigns/C0055) has conducted a throttled variant of password spraying techniques that only utilized a single attempt to sign in within a 24-hour time period, eluding brute force detection thresholds.
- G0125 HAFNIUM (group): [HAFNIUM](https://attack.mitre.org/groups/G0125) has gained initial access through password spray attacks.
- G0077 Leafminer (group): [Leafminer](https://attack.mitre.org/groups/G0077) used a tool called Total SMB BruteForcer to perform internal password spraying.
- G0016 APT29 (group): [APT29](https://attack.mitre.org/groups/G0016) has conducted brute force password spray attacks.</t>
  </si>
  <si>
    <t>157456b8-c03f-5096-98d8-1d1e43a443e8</t>
  </si>
  <si>
    <t>0/9</t>
  </si>
  <si>
    <t># T1110.003 - Password Spraying
Type: sub-technique | Domain: enterprise-attack | ATT&amp;CK version: 19.2
Tactics: credential-access
Platforms: Containers, ESXi, IaaS, Identity Provider, Linux, Network Devices, Office Suite, SaaS, Windows, macOS
Sub-technique of: T1110 Brute Force
## Description
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Typically, management services over commonly used ports are used when password spraying. Commonly targeted services include the following:</t>
  </si>
  <si>
    <t>f62c8db0-8f71-599b-b664-010c60d7b022</t>
  </si>
  <si>
    <t>DET0487</t>
  </si>
  <si>
    <t># DET0487 - Distributed Password Spraying via Authentication Failures Across Multiple Accounts
Type: detection-strategy | Domain: enterprise-attack | ATT&amp;CK version: 19.2
## Detects techniques
- T1110.003 Password Spraying</t>
  </si>
  <si>
    <t>9f28e3b3-46cd-5d07-ba72-040ae936815b</t>
  </si>
  <si>
    <t>C0051</t>
  </si>
  <si>
    <t>1/2</t>
  </si>
  <si>
    <t># C0051 - APT28 Nearest Neighbor Campaign
and wireless network connection) to enable Wi-Fi and use compromised credentials to connect to the victim network.
## Attributed to
- G0007 APT28
## Techniques used
- T1003.002 Security Account Manager
- T1003.003 NTDS
- T1006 Direct Volume Access
- T1016.002 Wi-Fi Discovery
- T1021.001 Remote Desktop Protocol
- T1021.002 SMB/Windows Admin Shares
- T1059.001 PowerShell
- T1059.003 Windows Command Shell
- T1074.001 Local Data Staging
- T1090.001 Internal Proxy
- T1110.003 Password Spraying
- T1140 Deobfuscate/Decode Files or Information
- T1560.001 Archive via Utility
- T1561.001 Disk Content Wipe
- T1567 Exfiltration Over Web Service
- T1584 Compromise Infrastructure
- T1669 Wi-Fi Networks
- T1686.003 Windows Host Firewall
## Software used
- S0108 netsh
- S1205 cipher.exe</t>
  </si>
  <si>
    <t>bc411276-2b2d-57fd-b20f-7feb6b7f2b0b</t>
  </si>
  <si>
    <t>6/9</t>
  </si>
  <si>
    <t># T1110.003 - Password Spraying
internal password spraying.
- G0016 APT29 (group): [APT29](https://attack.mitre.org/groups/G0016) has conducted brute force password spray attacks.
- G0114 Chimera (group): [Chimera](https://attack.mitre.org/groups/G0114) has used multiple password spraying attacks against victim's remote services to obtain valid user and administrator accounts.
- G0122 Silent Librarian (group): [Silent Librarian](https://attack.mitre.org/groups/G0122) has used collected lists of names and e-mail accounts to use in password spraying attacks against private sector targets.
- G1003 Ember Bear (group): [Ember Bear](https://attack.mitre.org/groups/G1003) has conducted password spraying against Outlook Web Access (OWA) infrastructure to identify valid user names and passwords.
- G1030 Agrius (group): [Agrius](https://attack.mitre.org/groups/G1030) engaged in password spraying via SMB in victim environments.</t>
  </si>
  <si>
    <t>8e3c7f9a-1c02-5e07-a4ae-509c8f1580e1</t>
  </si>
  <si>
    <t>G0114</t>
  </si>
  <si>
    <t># G0114 - Chimera
Transfer
- T1106 Native API
- T1110.003 Password Spraying
- T1110.004 Credential Stuffing
- T1111 Multi-Factor Authentication Interception
- T1114.
ol Transfer
- T1106 Native API
- T1110.003 Password Spraying
- T1110.004 Credential Stuffing
- T1111 Multi-Factor Authentication Interception
- T1114.001 Local Email Collection
- T1114.002 Remote Email Collection
- T1119 Automated Collection
- T1124 System Time Discovery
- T1133 External Remote Services
- T1135 Network Share Discovery
- T1201 Password Policy Discovery
- T1213.002 Sharepoint
- T1217 Browser Information Discovery
- T1482 Domain Trust Discovery
- T1550.002 Pass the Hash
- T1556.001 Domain Controller Authentication
- T1560.001 Archive via Utility
- T1567.002 Exfiltration to Cloud Storage
- T1569.002 Service Execution
- T1570 Lateral Tool Transfer
- T1572 Protocol Tunneling
- T1574.001 DLL
- T1588.002 Tool
- T1589.001 Credentials
- T1680 Local Storage Discovery
- T1685.005 Clear Windows Event Logs
## Software used
- S0029 PsExec
- S0521 BloodHound
- S0404 esentutl
- S0039 Net
- S0002 Mimikatz
- S0154 Cobalt Strike</t>
  </si>
  <si>
    <t>0204f726-7c2b-510e-a2cf-0d16f6c05c61</t>
  </si>
  <si>
    <t>T1110.002</t>
  </si>
  <si>
    <t># T1110.002 - Password Cracking
Type: sub-technique | Domain: enterprise-attack | ATT&amp;CK version: 19.2
Tactics: credential-access
Platforms: Identity Provider, Linux, macOS, Network Devices, Office Suite, Windows
Sub-technique of: T1110 Brute Force
## Description
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t>
  </si>
  <si>
    <t>302a1537-027f-57a0-81b9-9063712870ce</t>
  </si>
  <si>
    <t>T1586.002</t>
  </si>
  <si>
    <t># T1586.002 - Email Accounts
Type: sub-technique | Domain: enterprise-attack | ATT&amp;CK version: 19.2
Tactics: resource-development
Platforms: PRE
Sub-technique of: T1586 Compromise Accounts
## Description
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t>
  </si>
  <si>
    <t>6a49f47f-97c7-51c1-9b8c-11a512eb628c</t>
  </si>
  <si>
    <t>1/8</t>
  </si>
  <si>
    <t># T1566 - Phishing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 Another way to accomplish this is by [Email Spoofing](https://attack.mitre.org/techniques/T1684/002) the identity of the sender, which can be used to fool both the human recipient as well as automated security tools, or by including the intended target as a party to an existing email thread that includes malicious files or links (i.e., "thread hijacking").</t>
  </si>
  <si>
    <t>e3dc1b98-151d-514e-a176-c74fb584fe19</t>
  </si>
  <si>
    <t>T1585.002</t>
  </si>
  <si>
    <t># T1585.002 - Email Accounts
Type: sub-technique | Domain: enterprise-attack | ATT&amp;CK version: 19.2
Tactics: resource-development
Platforms: PRE
Sub-technique of: T1585 Establish Accounts
## Description
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 Establishing email accounts may also allow adversaries to abuse free services – such as trial periods – to [Acquire Infrastructure](https://attack.mitre.org/techniques/T1583) for follow-on purposes.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t>
  </si>
  <si>
    <t>22e1f629-ed75-57fb-9dfd-767e49dde3de</t>
  </si>
  <si>
    <t># T1566 - Phishing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
- M1047 Audit: Perform audits or scans of systems, permissions, insecure software, insecure configurations, etc.
to identify potential weaknesses.
## Sub-techniques
- T1566.002 Spearphishing Link
- T1566.001 Spearphishing Attachment
- T1566.004 Spearphishing Voice
- T1566.003 Spearphishing via Service
## Procedure examples
- G0094 Kimsuky (group): [Kimsuky](https://attack.mitre.org/groups/G0094) has used spearphishing to gain initial access and intelligence.
- G1049 AppleJeus (group): [AppleJeus](https://attack.mitre.org/groups/G1049) has used spearphishing emails to distribute malicious payloads.
- G0069 MuddyWater (group): [MuddyWater](https://attack.mitre.org/groups/G0069) has sent phishing emails to targets from the email address support@microsoftonlines[.]com.</t>
  </si>
  <si>
    <t>49082e7a-665e-52fc-913f-e16e250c69fc</t>
  </si>
  <si>
    <t>T1056</t>
  </si>
  <si>
    <t># T1056 - Input Capture
Type: technique | Domain: enterprise-attack | ATT&amp;CK version: 19.2
Tactics: collection, credential-access
Platforms: Linux, macOS, Network Devices, Windows
## Description
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t>
  </si>
  <si>
    <t>53bb75a3-204c-582f-aebf-0aa453578979</t>
  </si>
  <si>
    <t>T1056.003</t>
  </si>
  <si>
    <t># T1056.003 - Web Portal Capture
Type: sub-technique | Domain: enterprise-attack | ATT&amp;CK version: 19.2
Tactics: collection, credential-access
Platforms: Linux, macOS, Windows
Sub-technique of: T1056 Input Capture
## Description
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t>
  </si>
  <si>
    <t>9552e904-33ef-5bad-a469-7fa1bf0d2107</t>
  </si>
  <si>
    <t>T1056.001</t>
  </si>
  <si>
    <t>0/7</t>
  </si>
  <si>
    <t># T1056.001 - Keylogging
Type: sub-technique | Domain: enterprise-attack | ATT&amp;CK version: 19.2
Tactics: collection, credential-access
Platforms: Linux, macOS, Network Devices, Windows
Sub-technique of: T1056 Input Capture
## Description
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
Keylogging is the most prevalent type of input capture, with many different ways of intercepting keystrokes. Some methods include:</t>
  </si>
  <si>
    <t>b125294d-a3b8-5227-a30b-108b917e557a</t>
  </si>
  <si>
    <t>DET0102</t>
  </si>
  <si>
    <t># DET0102 - Behavioral Detection of Input Capture Across Platforms
Type: detection-strategy | Domain: enterprise-attack | ATT&amp;CK version: 19.2
## Detects techniques
- T1056 Input Capture
## Analytics
- AN0282 [Windows]: Monitors for abnormal process behavior and API calls like SetWindowsHookEx, GetAsyncKeyState, or device input polling commonly used for keystroke logging.
(log sources: WinEventLog:Security, WinEventLog:Sysmon) | tunable elements: TargetImage - Can be scoped to sensitive GUI processes like explorer.exe or winlogon.exe; TimeWindow - Time threshold for detecting multiple suspicious accesses
- AN0283 [Linux]: Detects use of tools/scripts accessing input devices like /dev/input/* or evdev via suspicious processes lacking GUI context.
(log sources: auditd:SYSCALL) | tunable elements: ProcessName - Unusual process accessing device files; DevicePath - Typically /dev/input/*, but tunable to exact endpoint config
- AN0284 [macOS]: Monitors for TCC-bypassing or unauthorized access to input services like IOHIDSystem or Quartz Event Services used in keylogging or screen monitoring.</t>
  </si>
  <si>
    <t>1e3aef33-c042-58ea-a36d-b1176cfd929c</t>
  </si>
  <si>
    <t>1/7</t>
  </si>
  <si>
    <t># T1056.001 - Keylogging
to systems.
Keylogging is the most prevalent type of input capture, with many different ways of intercepting keystrokes.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t>
  </si>
  <si>
    <t>57665f89-6f5d-57ec-8cfb-d409cf0b4a97</t>
  </si>
  <si>
    <t>TA0002</t>
  </si>
  <si>
    <t># TA0002 - Execution
a network or stealing data. For example, an adversary might use a remote access tool to run a PowerShell script that does Remote System Discovery.
## Techniques in this tactic
- T1047 Windows Management Instrumentation
- T1053 Scheduled Task/Job
- T1059 Command and Scripting Interpreter
- T1072 Software Deployment Tools
- T1106 Native API
- T1127 Trusted Developer Utilities Proxy Execution
- T1129 Shared Modules
- T1197 BITS Jobs
- T1203 Exploitation for Client Execution
- T1204 User Execution
- T1559 Inter-Process Communication
- T1569 System Services
- T1574 Hijack Execution Flow
- T1609 Container Administration Command
- T1610 Deploy Container
- T1648 Serverless Execution
- T1651 Cloud Administration Command
- T1674 Input Injection
- T1675 ESXi Administration Command
- T1677 Poisoned Pipeline Execution</t>
  </si>
  <si>
    <t>dc4c60b8-5e00-5802-a63c-64dc3695a236</t>
  </si>
  <si>
    <t>T1683</t>
  </si>
  <si>
    <t># T1683 - Generate Content
detection difficult for defenders.
Detection efforts may be focused on related stages of the adversary lifecycle, such as during Initial Access.
## Mitigations
- M1056 Pre-compromise: This technique cannot be easily mitigated with preventive controls since it is based on behaviors performed outside of the scope of enterprise defenses and controls. Efforts should focus on designing defenses that are not reliant on atomic indicators.
## Sub-techniques
- T1683.001 Written Content
- T1683.002 Audio-Visual Content
## Procedure examples
- C0062 Anthropic AI-orchestrated Campaign (campaign): During the [Anthropic AI-orchestrated Campaign](https://attack.mitre.org/campaigns/C0062), the adversary utilized Claude Code to automatically generate comprehensive documentation throughout the phases of the attack, including discovered services, harvested credentials, sensitive data, exploitation techniques, and complete attack progression.</t>
  </si>
  <si>
    <t>b616fa4b-7322-5a04-a57b-56babba5fb56</t>
  </si>
  <si>
    <t>T1040</t>
  </si>
  <si>
    <t>3/11</t>
  </si>
  <si>
    <t># T1040 - Network Sniffing
may perform network captures using [Network Device CLI](https://attack.mitre.org/techniques/T1059/008) commands such as `monitor capture`.
## Detection strategies
- DET0314 Detection Strategy for Network Sniffing Across Platforms
  - AN0875 [Windows]: Detects suspicious execution of network monitoring tools (e.g., Wireshark, tshark, Microsoft Message Analyzer), driver loading indicative of promiscuous mode, or non-admin user privilege escalation to access NICs for capture.
- AN0876 [Linux]: Correlates interface mode changes to promiscuous with execution of sniffing tools like tcpdump, tshark, or custom pcap libraries.
Detects abnormal NIC configurations and unauthorized sniffing from non-root sessions.
- AN0877 [macOS]: Detects enabling of interface sniffing via packet capture tools or AppleScript triggering `tcpdump`.
Leverages Unified Logs and process lineage to identify suspicious use of `pfctl`, `tcpdump`, or `libpcap` libraries.
- AN0878 [IaaS]: Detects creation of traffic mirroring sessions (e.g., AWS VPC Traffic Mirroring, Azure vTAP) that redirect traffic from critical assets to other virtual instances, often followed by file creation or session establishment.</t>
  </si>
  <si>
    <t>94ece3fd-e305-5ee5-991d-3a563d13b80a</t>
  </si>
  <si>
    <t>T1552.008</t>
  </si>
  <si>
    <t># T1552.008 - Chat Messages
Type: sub-technique | Domain: enterprise-attack | ATT&amp;CK version: 19.2
Tactics: credential-access
Platforms: SaaS, Office Suite
Sub-technique of: T1552 Unsecured Credentials
## Description
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t>
  </si>
  <si>
    <t>a0d301c9-8f03-56e0-b461-3ea0fd74d96e</t>
  </si>
  <si>
    <t>TA0011</t>
  </si>
  <si>
    <t># TA0011 - Command and Control
Type: tactic | Domain: enterprise-attack | ATT&amp;CK version: 19.2
Shortname: command-and-control
## Description
The adversary is trying to communicate with compromised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
## Techniques in this tactic
- T1001 Data Obfuscation
- T1008 Fallback Channels
- T1071 Application Layer Protocol
- T1090 Proxy
- T1092 Communication Through Removable Media
- T1095 Non-Application Layer Protocol
- T1102 Web Service
- T1104 Multi-Stage Channels
- T1105 Ingress Tool Transfer
- T1132 Data Encoding
- T1205 Traffic Signaling
- T1219 Remote Access Tools
- T1568 Dynamic Resolution
- T1571 Non-Standard Port
- T1572 Protocol Tunneling
- T1573 Encrypted Channel
- T1659 Content Injection
- T1665 Hide Infrastructure</t>
  </si>
  <si>
    <t>9888dea1-f3ec-5e03-b541-8e05afd7c088</t>
  </si>
  <si>
    <t>C0026</t>
  </si>
  <si>
    <t># C0026 - C0026
Type: campaign | Domain: enterprise-attack | ATT&amp;CK version: 19.2
Aliases: C0026 | First seen: 2022-08-01 | Last seen: 2022-09-01
## Description
[C0026](https://attack.mitre.org/campaigns/C0026) was a campaign identified in September 2022 that included the selective distribution of [KOPILUWAK](https://attack.mitre.org/software/S1075) and [QUIETCANARY](https://attack.mitre.org/software/S1076) malware to previous [ANDROMEDA](https://attack.mitre.org/software/S1074) malware victims in Ukraine through re-registered [ANDROMEDA](https://attack.mitre.org/software/S1074) C2 domains. Several tools and tactics used during [C0026](https://attack.mitre.org/campaigns/C0026) were consistent with historic [Turla](https://attack.mitre.org/groups/G0010) operations.
## Techniques used
- T1005 Data from Local System
- T1030 Data Transfer Size Limits
- T1105 Ingress Tool Transfer
- T1560.001 Archive via Utility
- T1568 Dynamic Resolution
- T1583.001 Domains
## Software used
- S0039 Net
- S1074 ANDROMEDA
- S1076 QUIETCANARY
- S0104 netstat
- S1075 KOPILUWAK
- S0099 Arp</t>
  </si>
  <si>
    <t>5ee65033-bb02-5e33-a22a-e68d67f875c3</t>
  </si>
  <si>
    <t>S9044</t>
  </si>
  <si>
    <t># S9044 - Kali365
Type: software | Domain: enterprise-attack | ATT&amp;CK version: 19.2
Software type: malware | Aliases: Kali365 | Platforms: IaaS, macOS, Windows
## Description
[Kali365](https://attack.mitre.org/software/S9044) is a Phishing-as-a-Service (PHaaS) kit first observed in April 2026 that generates victim-targeted lures across multiple operating systems to induce users into copying and pasting actor-controlled commands for local execution.  [Kali365](https://attack.mitre.org/software/S9044) incorporates on-demand device code generation and mirrors the copy-paste execution tradecraft associated with ClickFix. Operators have used [Kali365](https://attack.mitre.org/software/S9044) to harvest victims' OAuth tokens and session cookies through adversary-in-the-middle (AiTM) interception, enabling account takeover.  [Kali365](https://attack.mitre.org/software/S9044) PHaaS was first observed in April 2026.  [Kali365](https://attack.mitre.org/software/S9044) has also been affiliated with other branding to include Octopi365 and Freedom365.</t>
  </si>
  <si>
    <t>605edb9c-54db-520d-a3ae-5bb981c67366</t>
  </si>
  <si>
    <t>S9042</t>
  </si>
  <si>
    <t># S9042 - CanisterWorm
Type: software | Domain: enterprise-attack | ATT&amp;CK version: 19.2
Software type: malware | Aliases: CanisterWorm | Platforms: Containers, Linux
## Description
[CanisterWorm](https://attack.mitre.org/software/S9042) is a self-propagating malware that has been used by [TeamPCP](https://attack.mitre.org/groups/G1056) in credential harvesting and software supply chain campaigns since at least 2026. [CanisterWorm](https://attack.mitre.org/software/S9042) has used npm credentials to infect software packages and propagate across developer ecosystems. [CanisterWorm](https://attack.mitre.org/software/S9042) has a targeted wiper component and can use decentralized C2 infrastructure implemented via an Internet Computer Protocol (ICP) blockchain canister.</t>
  </si>
  <si>
    <t>b431edc2-e2fb-5bff-8750-f61ceb269ea8</t>
  </si>
  <si>
    <t>T1608.004</t>
  </si>
  <si>
    <t># T1608.004 - Drive-by Target
Type: sub-technique | Domain: enterprise-attack | ATT&amp;CK version: 19.2
Tactics: resource-development
Platforms: PRE
Sub-technique of: T1608 Stage Capabilities</t>
  </si>
  <si>
    <t>896b042c-adbc-5362-a6f3-8ed624e1d88b</t>
  </si>
  <si>
    <t>S9041</t>
  </si>
  <si>
    <t># S9041 - TeamPCP Cloud Stealer
Type: software | Domain: enterprise-attack | ATT&amp;CK version: 19.2
Software type: malware | Aliases: TeamPCP Cloud Stealer, SANDCLOCK | Platforms: Containers, Linux, macOS, SaaS, Windows
## Description
The [TeamPCP Cloud Stealer](https://attack.mitre.org/software/S9041) is a comprehensive filesystem credential stealer that can harvest, encrypt, and exfiltrate credentials from over 50 sensitive file paths across CI/CD, cloud, developer tooling, and container environments. The [TeamPCP Cloud Stealer](https://attack.mitre.org/software/S9041) was the primary payload used by [TeamPCP](https://attack.mitre.org/groups/G1056) in March 2026 during early stages of a cascading supply chain campaign targeting CI/CD workflows.</t>
  </si>
  <si>
    <t>ee4e36d8-7c86-5b85-8aeb-140dce27f98e</t>
  </si>
  <si>
    <t>M1031</t>
  </si>
  <si>
    <t># M1031 - Network Intrusion Prevention
| Domain: enterprise-attack | ATT&amp;CK version: 19.2
## Description
Use intrusion detection signatures to block traffic at network boundaries.
## Techniques mitigated
- T1001 Data Obfuscation
- T1001.001 Junk Data
- T1001.002 Steganography
- T1001.003 Protocol or Service Impersonation
- T1008 Fallback Channels
- T1029 Scheduled Transfer
- T1030 Data Transfer Size Limits
- T1041 Exfiltration Over C2 Channel
- T1046 Network Service Discovery
- T1048 Exfiltration Over Alternative Protocol
- T1048.001 Exfiltration Over Symmetric Encrypted Non-C2 Protocol
- T1048.002 Exfiltration Over Asymmetric Encrypted Non-C2 Protocol
- T1048.003 Exfiltration Over Unencrypted Non-C2 Protocol
- T1071 Application Layer Protocol
- T1071.001 Web Protocols
- T1071.002 File Transfer Protocols
- T1071.003 Mail Protocols
- T1071.004 DNS
- T1071.005 Publish/Subscribe Protocols
- T1090 Proxy
- T1090.001 Internal Proxy
- T1090.002 External Proxy
- T1095 Non-Application Layer Protocol
- T1102 Web Service
- T1102.001 Dead Drop Resolver
- T1102.002 Bidirectional Communication
- T1102.003 One-Way Communication
- T1104 Multi-Stage Channels
- T1105 Ingress Tool Transfer
- T1132 Data Encoding
- T1132.001 Standard Encoding
- T1132.002 Non-Standard Encoding
- T1204 User Execution
- T1204.001 Malicious Link
- T1204.003 Malicious Image
- T1204.004 Malicious Copy</t>
  </si>
  <si>
    <t>70553fe9-95e9-503b-b5be-5d50bb3b406e</t>
  </si>
  <si>
    <t>T1555.006</t>
  </si>
  <si>
    <t># T1555.006 - Cloud Secrets Management Stores
Type: sub-technique | Domain: enterprise-attack | ATT&amp;CK version: 19.2
Tactics: credential-access
Platforms: IaaS
Sub-technique of: T1555 Credentials from Password Stores
## Description
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t>
  </si>
  <si>
    <t>952ba9e9-02f1-5a73-9728-d18d3b697266</t>
  </si>
  <si>
    <t>T1059.010</t>
  </si>
  <si>
    <t># T1059.010 - AutoHotKey &amp; AutoIT
Type: sub-technique | Domain: enterprise-attack | ATT&amp;CK version: 19.2
Tactics: execution
Platforms: Windows
Sub-technique of: T1059 Command and Scripting Interpreter
## Description
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
These scripts may also be compiled into self-contained executable payloads (`.exe`).</t>
  </si>
  <si>
    <t>f7d9b154-5446-578c-b6ef-6f5413298f0e</t>
  </si>
  <si>
    <t>DC0095</t>
  </si>
  <si>
    <t># DC0095 - Volume Enumeration
Type: data-component | Domain: enterprise-attack | ATT&amp;CK version: 19.2
Data source: n/a | Platforms: n/a
## Description
An extracted list of available volumes within a cloud environment (ex: AWS describe-volumes)</t>
  </si>
  <si>
    <t>60d08f9a-0633-524e-8298-fe7bc19f2408</t>
  </si>
  <si>
    <t>T1059.009</t>
  </si>
  <si>
    <t># T1059.009 - Cloud API
Type: sub-technique | Domain: enterprise-attack | ATT&amp;CK version: 19.2
Tactics: execution
Platforms: IaaS, Identity Provider, Office Suite, SaaS
Sub-technique of: T1059 Command and Scripting Interpreter
## Description
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t>
  </si>
  <si>
    <t>Lectura (protocolo v2 §5)</t>
  </si>
  <si>
    <t>RAG</t>
  </si>
  <si>
    <t>LLM</t>
  </si>
  <si>
    <t>Respuestas calificadas</t>
  </si>
  <si>
    <t>A. Hechos cubiertos ÷ hechos (respondibles)</t>
  </si>
  <si>
    <t>A. Afirmaciones INCORRECTA ÷ afirmaciones de hecho</t>
  </si>
  <si>
    <t>B. Respuestas con abstención errónea (ABS-E)</t>
  </si>
  <si>
    <t>B. Respuestas con respuesta sin base (NO-ABS)</t>
  </si>
  <si>
    <t>C. Precisión de citas (sostenidas ÷ afirmaciones de hecho)</t>
  </si>
  <si>
    <t>C. Cobertura de citas (hechos cubiertos y citados ÷ hechos)</t>
  </si>
  <si>
    <t>C. Afirmaciones SIN-RESPALDO</t>
  </si>
  <si>
    <t>C. Afirmaciones CITA-X</t>
  </si>
  <si>
    <t>C. Afirmaciones SIN-CITA</t>
  </si>
  <si>
    <t>D. Afirmaciones FUERA_REF</t>
  </si>
  <si>
    <t>N2 promedio (descriptivo, 0-2)</t>
  </si>
  <si>
    <t>N3 promedio (descriptivo, 0-2; excluye N/A)</t>
  </si>
  <si>
    <t>Alerta CRITICA (respuestas)</t>
  </si>
  <si>
    <t>Alerta RESPALDO (respuestas)</t>
  </si>
  <si>
    <t>Alerta TRUNC (respuestas)</t>
  </si>
  <si>
    <t>Las lecturas A-D y las alertas se calculan solas desde la hoja Afirmaciones. Con pocas respuestas son conteos descriptivos, sin pruebas de significancia.</t>
  </si>
  <si>
    <t>rúbrica</t>
  </si>
  <si>
    <t>protocolo v2 (borrador) - eval/pilot/protocol_v2.md</t>
  </si>
  <si>
    <t>plantilla creada</t>
  </si>
  <si>
    <t>2026-10-12T12:45:07</t>
  </si>
  <si>
    <t>corrida de origen</t>
  </si>
  <si>
    <t>20260922_064359</t>
  </si>
  <si>
    <t>evaluador</t>
  </si>
  <si>
    <t>fecha de calificación</t>
  </si>
  <si>
    <t>CORRIDA (config.json)</t>
  </si>
  <si>
    <t>api</t>
  </si>
  <si>
    <t>http://localhost:8000</t>
  </si>
  <si>
    <t>model</t>
  </si>
  <si>
    <t>qwen3:4b-instruct</t>
  </si>
  <si>
    <t>embed_model</t>
  </si>
  <si>
    <t>granite-embedding:30m</t>
  </si>
  <si>
    <t>retrieval</t>
  </si>
  <si>
    <t>hybrid</t>
  </si>
  <si>
    <t>top_k</t>
  </si>
  <si>
    <t>5</t>
  </si>
  <si>
    <t>temperature</t>
  </si>
  <si>
    <t>0.0</t>
  </si>
  <si>
    <t>think</t>
  </si>
  <si>
    <t>False</t>
  </si>
  <si>
    <t>modes</t>
  </si>
  <si>
    <t>['rag', 'llm']</t>
  </si>
  <si>
    <t>collection_points</t>
  </si>
  <si>
    <t>7241</t>
  </si>
  <si>
    <t>started_at</t>
  </si>
  <si>
    <t>2026-09-22T06:43:59</t>
  </si>
  <si>
    <t>CORPUS (data/manifest.json)</t>
  </si>
  <si>
    <t>created_at</t>
  </si>
  <si>
    <t>2026-09-12T16:14:31.631478+00:00</t>
  </si>
  <si>
    <t>collection</t>
  </si>
  <si>
    <t>mitre_attack</t>
  </si>
  <si>
    <t>embed_dim</t>
  </si>
  <si>
    <t>384</t>
  </si>
  <si>
    <t>doc_prefix</t>
  </si>
  <si>
    <t>query_prefix</t>
  </si>
  <si>
    <t>chunk_size</t>
  </si>
  <si>
    <t>1200</t>
  </si>
  <si>
    <t>chunk_overlap</t>
  </si>
  <si>
    <t>150</t>
  </si>
  <si>
    <t>domains</t>
  </si>
  <si>
    <t>['enterprise-attack']</t>
  </si>
  <si>
    <t>attack_versions</t>
  </si>
  <si>
    <t>{'enterprise-attack': '19.2'}</t>
  </si>
  <si>
    <t>n_documents</t>
  </si>
  <si>
    <t>2616</t>
  </si>
  <si>
    <t>n_chunks</t>
  </si>
  <si>
    <t>points_count</t>
  </si>
  <si>
    <t>elapsed_s</t>
  </si>
  <si>
    <t>1779.6</t>
  </si>
  <si>
    <t>APT29 (G0016) utiliza Mimikatz</t>
  </si>
  <si>
    <t>APT29 usó ataques Kerberos para movimiento lateral</t>
  </si>
  <si>
    <t>APT29 no utiliza directamente Mimikatz</t>
  </si>
  <si>
    <t>La técnica de tickets Kerberos es T1547.001 Exploitation of Kerberos</t>
  </si>
  <si>
    <t>Mimikatz extrae credenciales de memoria</t>
  </si>
  <si>
    <t>Los pasajes no listan ninguna mitigación para T1566</t>
  </si>
  <si>
    <t>Los pasajes mencionan SPF, DKIM y DMARC para filtrado</t>
  </si>
  <si>
    <t>No hay producto comercial recomendado</t>
  </si>
  <si>
    <t>ATT&amp;CK no lista mitigaciones específicas para T1566</t>
  </si>
  <si>
    <t>Recomienda DMARC, SPF y DKIM</t>
  </si>
  <si>
    <t>Recomienda educación de usuarios</t>
  </si>
  <si>
    <t>Recomienda filtrado de contenido, inteligencia de amenazas y análisis de comportamiento</t>
  </si>
  <si>
    <t>MITRE no recomienda un producto comercial concreto</t>
  </si>
  <si>
    <t>Microsoft 365 Defender es ampliamente referenciado en ATT&amp;CK</t>
  </si>
  <si>
    <t>Los contextos no dan información sobre mitigaciones de T1059.001</t>
  </si>
  <si>
    <t>ATT&amp;CK no proporciona una lista detallada de mitigaciones por sub-técnica</t>
  </si>
  <si>
    <t>Limitar PowerShell a modos Restricted/RemoteSigned</t>
  </si>
  <si>
    <t>Requerir scripts firmados</t>
  </si>
  <si>
    <t>Monitoreo, auditoría y detección de anomalías</t>
  </si>
  <si>
    <t>Políticas de grupo para limitar el acceso a PowerShell</t>
  </si>
  <si>
    <t>Usar alternativas (cmd, batch) en entornos críticos</t>
  </si>
  <si>
    <t>Los contextos no dicen qué sub-técnicas T1059.* usa Lazarus</t>
  </si>
  <si>
    <t>Lazarus usa T1059.003 y T1059.005 (vía AuditCred y TYPEFRAME)</t>
  </si>
  <si>
    <t>No hay referencia a ataques contra Ecuador</t>
  </si>
  <si>
    <t>ATT&amp;CK no documenta que Lazarus use sub-técnicas T1059.*</t>
  </si>
  <si>
    <t>No hay evidencia de ataques de Lazarus contra Ecuador</t>
  </si>
  <si>
    <t>abstencion</t>
  </si>
  <si>
    <t>CORRECTA</t>
  </si>
  <si>
    <t>INCORRECTA</t>
  </si>
  <si>
    <t>H1;H2;H3;H4;H5;H6</t>
  </si>
  <si>
    <t>H1;H2;H3;H4;H5</t>
  </si>
  <si>
    <t>H1;H2;H3</t>
  </si>
  <si>
    <t>H2;H3</t>
  </si>
  <si>
    <t>ref</t>
  </si>
  <si>
    <t>no_resp</t>
  </si>
  <si>
    <t>SIN-RESPALDO</t>
  </si>
  <si>
    <t>SOSTENIDA</t>
  </si>
  <si>
    <t>1</t>
  </si>
  <si>
    <t>1;3</t>
  </si>
  <si>
    <t>Andres Villavicencio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</si>
</sst>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ont>
    <font>
      <sz val="10"/>
      <name val="Arial"/>
    </font>
    <font>
      <b/>
      <sz val="10"/>
      <name val="Arial"/>
    </font>
  </fonts>
  <fills count="6">
    <fill>
      <patternFill patternType="none"/>
    </fill>
    <fill>
      <patternFill patternType="gray125"/>
    </fill>
    <fill>
      <patternFill patternType="solid">
        <fgColor rgb="FF1F3864"/>
      </patternFill>
    </fill>
    <fill>
      <patternFill patternType="solid">
        <fgColor rgb="FFFFF2CC"/>
      </patternFill>
    </fill>
    <fill>
      <patternFill patternType="solid">
        <fgColor rgb="FFE2EFDA"/>
      </patternFill>
    </fill>
    <fill>
      <patternFill patternType="solid">
        <fgColor rgb="FFF2F2F2"/>
      </patternFill>
    </fill>
  </fills>
  <borders count="1">
    <border>
      <left/>
      <right/>
      <top/>
      <bottom/>
      <diagonal/>
    </border>
  </borders>
  <cellStyleXfs count="1">
    <xf numFmtId="0" fontId="0" fillId="0" borderId="0"/>
  </cellStyleXfs>
  <cellXfs count="13">
    <xf numFmtId="0" fontId="0" fillId="0" borderId="0" xfId="0"/>
    <xf numFmtId="0" fontId="3" fillId="0" borderId="0" xfId="0" applyFont="1" applyAlignment="1">
      <alignment vertical="top" wrapText="1"/>
    </xf>
    <xf numFmtId="0" fontId="2" fillId="0" borderId="0" xfId="0" applyFont="1" applyAlignment="1">
      <alignment vertical="top" wrapText="1"/>
    </xf>
    <xf numFmtId="0" fontId="1" fillId="2" borderId="0" xfId="0" applyFont="1" applyFill="1" applyAlignment="1">
      <alignment vertical="center" wrapText="1"/>
    </xf>
    <xf numFmtId="0" fontId="2" fillId="5" borderId="0" xfId="0" applyFont="1" applyFill="1" applyAlignment="1">
      <alignment vertical="top" wrapText="1"/>
    </xf>
    <xf numFmtId="0" fontId="2" fillId="4" borderId="0" xfId="0" applyFont="1" applyFill="1" applyAlignment="1">
      <alignment vertical="top" wrapText="1"/>
    </xf>
    <xf numFmtId="0" fontId="2" fillId="3" borderId="0" xfId="0" applyFont="1" applyFill="1" applyAlignment="1" applyProtection="1">
      <alignment vertical="top" wrapText="1"/>
      <protection locked="0"/>
    </xf>
    <xf numFmtId="0" fontId="1" fillId="2" borderId="0" xfId="0" applyFont="1" applyFill="1"/>
    <xf numFmtId="0" fontId="2" fillId="0" borderId="0" xfId="0" applyFont="1"/>
    <xf numFmtId="2" fontId="2" fillId="0" borderId="0" xfId="0" applyNumberFormat="1" applyFont="1"/>
    <xf numFmtId="0" fontId="3" fillId="0" borderId="0" xfId="0" applyFont="1"/>
    <xf numFmtId="0" fontId="2" fillId="3" borderId="0" xfId="0" applyFont="1" applyFill="1" applyProtection="1">
      <protection locked="0"/>
    </xf>
    <xf numFmtId="14" fontId="2" fillId="3" borderId="0" xfId="0" applyNumberFormat="1" applyFont="1" applyFill="1" applyProtection="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workbookViewId="0"/>
  </sheetViews>
  <sheetFormatPr baseColWidth="10" defaultColWidth="9.140625" defaultRowHeight="15" x14ac:dyDescent="0.25"/>
  <cols>
    <col min="1" max="1" width="26" customWidth="1"/>
    <col min="2" max="2" width="120" customWidth="1"/>
  </cols>
  <sheetData>
    <row r="1" spans="1:2" ht="45.95" customHeight="1" x14ac:dyDescent="0.25">
      <c r="A1" s="1" t="s">
        <v>0</v>
      </c>
      <c r="B1" s="2" t="s">
        <v>1</v>
      </c>
    </row>
    <row r="2" spans="1:2" ht="30" customHeight="1" x14ac:dyDescent="0.25">
      <c r="A2" s="1" t="s">
        <v>2</v>
      </c>
      <c r="B2" s="2" t="s">
        <v>3</v>
      </c>
    </row>
    <row r="3" spans="1:2" ht="62.1" customHeight="1" x14ac:dyDescent="0.25">
      <c r="A3" s="1" t="s">
        <v>4</v>
      </c>
      <c r="B3" s="2" t="s">
        <v>5</v>
      </c>
    </row>
    <row r="4" spans="1:2" ht="45.95" customHeight="1" x14ac:dyDescent="0.25">
      <c r="A4" s="1" t="s">
        <v>6</v>
      </c>
      <c r="B4" s="2" t="s">
        <v>7</v>
      </c>
    </row>
    <row r="5" spans="1:2" ht="62.1" customHeight="1" x14ac:dyDescent="0.25">
      <c r="A5" s="1" t="s">
        <v>8</v>
      </c>
      <c r="B5" s="2" t="s">
        <v>9</v>
      </c>
    </row>
    <row r="6" spans="1:2" ht="45.95" customHeight="1" x14ac:dyDescent="0.25">
      <c r="A6" s="1" t="s">
        <v>10</v>
      </c>
      <c r="B6" s="2" t="s">
        <v>11</v>
      </c>
    </row>
    <row r="7" spans="1:2" ht="30" customHeight="1" x14ac:dyDescent="0.25">
      <c r="A7" s="1" t="s">
        <v>12</v>
      </c>
      <c r="B7" s="2" t="s">
        <v>13</v>
      </c>
    </row>
    <row r="8" spans="1:2" ht="62.1" customHeight="1" x14ac:dyDescent="0.25">
      <c r="A8" s="1" t="s">
        <v>14</v>
      </c>
      <c r="B8" s="2" t="s">
        <v>15</v>
      </c>
    </row>
    <row r="9" spans="1:2" ht="62.1" customHeight="1" x14ac:dyDescent="0.25">
      <c r="A9" s="1" t="s">
        <v>16</v>
      </c>
      <c r="B9" s="2" t="s">
        <v>17</v>
      </c>
    </row>
    <row r="10" spans="1:2" ht="45.95" customHeight="1" x14ac:dyDescent="0.25">
      <c r="A10" s="1" t="s">
        <v>18</v>
      </c>
      <c r="B10" s="2" t="s">
        <v>19</v>
      </c>
    </row>
    <row r="11" spans="1:2" ht="45.95" customHeight="1" x14ac:dyDescent="0.25">
      <c r="A11" s="1" t="s">
        <v>20</v>
      </c>
      <c r="B11" s="2" t="s">
        <v>21</v>
      </c>
    </row>
    <row r="12" spans="1:2" ht="30" customHeight="1" x14ac:dyDescent="0.25">
      <c r="A12" s="1" t="s">
        <v>22</v>
      </c>
      <c r="B12" s="2" t="s">
        <v>23</v>
      </c>
    </row>
    <row r="13" spans="1:2" ht="45.95" customHeight="1" x14ac:dyDescent="0.25">
      <c r="A13" s="1" t="s">
        <v>24</v>
      </c>
      <c r="B13" s="2" t="s">
        <v>25</v>
      </c>
    </row>
    <row r="14" spans="1:2" ht="62.1" customHeight="1" x14ac:dyDescent="0.25">
      <c r="A14" s="1" t="s">
        <v>26</v>
      </c>
      <c r="B14" s="2" t="s">
        <v>27</v>
      </c>
    </row>
    <row r="15" spans="1:2" ht="45.95" customHeight="1" x14ac:dyDescent="0.25">
      <c r="A15" s="1" t="s">
        <v>28</v>
      </c>
      <c r="B15" s="2" t="s">
        <v>29</v>
      </c>
    </row>
    <row r="16" spans="1:2" ht="62.1" customHeight="1" x14ac:dyDescent="0.25">
      <c r="A16" s="1" t="s">
        <v>30</v>
      </c>
      <c r="B16" s="2" t="s">
        <v>31</v>
      </c>
    </row>
  </sheetData>
  <sheetProtection sheet="1" formatColumns="0" formatRows="0" sort="0" autoFilter="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27"/>
  <sheetViews>
    <sheetView workbookViewId="0">
      <pane ySplit="1" topLeftCell="A2" activePane="bottomLeft" state="frozen"/>
      <selection pane="bottomLeft"/>
    </sheetView>
  </sheetViews>
  <sheetFormatPr baseColWidth="10" defaultColWidth="9.140625" defaultRowHeight="15" x14ac:dyDescent="0.25"/>
  <cols>
    <col min="1" max="3" width="6" customWidth="1"/>
    <col min="4" max="4" width="9" customWidth="1"/>
    <col min="5" max="6" width="38" customWidth="1"/>
    <col min="7" max="7" width="26" customWidth="1"/>
    <col min="8" max="8" width="60" customWidth="1"/>
    <col min="9" max="9" width="8" customWidth="1"/>
    <col min="10" max="10" width="10" customWidth="1"/>
    <col min="11" max="11" width="11" customWidth="1"/>
    <col min="12" max="13" width="7" customWidth="1"/>
    <col min="14" max="14" width="8" customWidth="1"/>
    <col min="15" max="15" width="9" customWidth="1"/>
    <col min="16" max="17" width="6" customWidth="1"/>
    <col min="18" max="18" width="7" customWidth="1"/>
    <col min="19" max="19" width="8" customWidth="1"/>
    <col min="20" max="20" width="6" customWidth="1"/>
    <col min="21" max="21" width="7" customWidth="1"/>
    <col min="22" max="22" width="6" customWidth="1"/>
    <col min="23" max="23" width="8" customWidth="1"/>
    <col min="24" max="24" width="9" customWidth="1"/>
    <col min="25" max="26" width="5" customWidth="1"/>
    <col min="27" max="27" width="22" customWidth="1"/>
    <col min="28" max="28" width="18" customWidth="1"/>
    <col min="29" max="29" width="10" customWidth="1"/>
    <col min="30" max="31" width="9" customWidth="1"/>
    <col min="32" max="33" width="6" customWidth="1"/>
    <col min="34" max="34" width="36" customWidth="1"/>
  </cols>
  <sheetData>
    <row r="1" spans="1:34" ht="33.950000000000003" customHeight="1" x14ac:dyDescent="0.25">
      <c r="A1" s="3" t="s">
        <v>32</v>
      </c>
      <c r="B1" s="3" t="s">
        <v>33</v>
      </c>
      <c r="C1" s="3" t="s">
        <v>34</v>
      </c>
      <c r="D1" s="3" t="s">
        <v>35</v>
      </c>
      <c r="E1" s="3" t="s">
        <v>36</v>
      </c>
      <c r="F1" s="3" t="s">
        <v>37</v>
      </c>
      <c r="G1" s="3" t="s">
        <v>38</v>
      </c>
      <c r="H1" s="3" t="s">
        <v>39</v>
      </c>
      <c r="I1" s="3" t="s">
        <v>40</v>
      </c>
      <c r="J1" s="3" t="s">
        <v>41</v>
      </c>
      <c r="K1" s="3" t="s">
        <v>42</v>
      </c>
      <c r="L1" s="3" t="s">
        <v>43</v>
      </c>
      <c r="M1" s="3" t="s">
        <v>44</v>
      </c>
      <c r="N1" s="3" t="s">
        <v>45</v>
      </c>
      <c r="O1" s="3" t="s">
        <v>46</v>
      </c>
      <c r="P1" s="3" t="s">
        <v>47</v>
      </c>
      <c r="Q1" s="3" t="s">
        <v>48</v>
      </c>
      <c r="R1" s="3" t="s">
        <v>49</v>
      </c>
      <c r="S1" s="3" t="s">
        <v>50</v>
      </c>
      <c r="T1" s="3" t="s">
        <v>51</v>
      </c>
      <c r="U1" s="3" t="s">
        <v>52</v>
      </c>
      <c r="V1" s="3" t="s">
        <v>53</v>
      </c>
      <c r="W1" s="3" t="s">
        <v>54</v>
      </c>
      <c r="X1" s="3" t="s">
        <v>55</v>
      </c>
      <c r="Y1" s="3" t="s">
        <v>20</v>
      </c>
      <c r="Z1" s="3" t="s">
        <v>22</v>
      </c>
      <c r="AA1" s="3" t="s">
        <v>56</v>
      </c>
      <c r="AB1" s="3" t="s">
        <v>57</v>
      </c>
      <c r="AC1" s="3" t="s">
        <v>58</v>
      </c>
      <c r="AD1" s="3" t="s">
        <v>59</v>
      </c>
      <c r="AE1" s="3" t="s">
        <v>60</v>
      </c>
      <c r="AF1" s="3" t="s">
        <v>61</v>
      </c>
      <c r="AG1" s="3" t="s">
        <v>62</v>
      </c>
      <c r="AH1" s="3" t="s">
        <v>63</v>
      </c>
    </row>
    <row r="2" spans="1:34" ht="150" customHeight="1" x14ac:dyDescent="0.25">
      <c r="A2" s="4" t="s">
        <v>64</v>
      </c>
      <c r="B2" s="4" t="s">
        <v>65</v>
      </c>
      <c r="C2" s="4" t="s">
        <v>66</v>
      </c>
      <c r="D2" s="4" t="s">
        <v>67</v>
      </c>
      <c r="E2" s="4" t="s">
        <v>68</v>
      </c>
      <c r="F2" s="4" t="s">
        <v>69</v>
      </c>
      <c r="G2" s="4"/>
      <c r="H2" s="4" t="s">
        <v>70</v>
      </c>
      <c r="I2" s="5" t="s">
        <v>71</v>
      </c>
      <c r="J2" s="5" t="s">
        <v>72</v>
      </c>
      <c r="K2" s="5" t="s">
        <v>73</v>
      </c>
      <c r="L2" s="5">
        <f>COUNTIFS(Afirmaciones!$A$2:$A$401,$A2,Afirmaciones!$B$2:$B$401,$B2)</f>
        <v>1</v>
      </c>
      <c r="M2" s="5">
        <f>COUNTIFS(Hechos!$A$2:$A$201,$A2)</f>
        <v>5</v>
      </c>
      <c r="N2" s="5">
        <f>IF($B2="rag",SUMIFS(Hechos!$F$2:$F$201,Hechos!$A$2:$A$201,$A2),SUMIFS(Hechos!$G$2:$G$201,Hechos!$A$2:$A$201,$A2))</f>
        <v>0</v>
      </c>
      <c r="O2" s="5" t="str">
        <f t="shared" ref="O2:O27" si="0">IF($M2=0,"-",$N2&amp;"/"&amp;$M2)</f>
        <v>0/5</v>
      </c>
      <c r="P2" s="5">
        <f>COUNTIFS(Afirmaciones!$A$2:$A$401,$A2,Afirmaciones!$B$2:$B$401,$B2,Afirmaciones!$E$2:$E$401,"hecho",Afirmaciones!$F$2:$F$401,"INCORRECTA")</f>
        <v>0</v>
      </c>
      <c r="Q2" s="5">
        <f>COUNTIFS(Afirmaciones!$A$2:$A$401,$A2,Afirmaciones!$B$2:$B$401,$B2,Afirmaciones!$E$2:$E$401,"abstencion",Afirmaciones!$F$2:$F$401,"INCORRECTA")</f>
        <v>1</v>
      </c>
      <c r="R2" s="5">
        <f>COUNTIFS(Afirmaciones!$A$2:$A$401,$A2,Afirmaciones!$B$2:$B$401,$B2,Afirmaciones!$E$2:$E$401,"hecho",Afirmaciones!$F$2:$F$401,"FUERA_REF",Afirmaciones!$H$2:$H$401,"no_resp")</f>
        <v>0</v>
      </c>
      <c r="S2" s="5">
        <f>COUNTIFS(Afirmaciones!$A$2:$A$401,$A2,Afirmaciones!$B$2:$B$401,$B2,Afirmaciones!$E$2:$E$401,"hecho",Afirmaciones!$F$2:$F$401,"FUERA_REF")</f>
        <v>0</v>
      </c>
      <c r="T2" s="5">
        <f>COUNTIFS(Afirmaciones!$A$2:$A$401,$A2,Afirmaciones!$B$2:$B$401,$B2,Afirmaciones!$E$2:$E$401,"hecho",Afirmaciones!$I$2:$I$401,"SIN-RESPALDO")</f>
        <v>0</v>
      </c>
      <c r="U2" s="5">
        <f>COUNTIFS(Afirmaciones!$A$2:$A$401,$A2,Afirmaciones!$B$2:$B$401,$B2,Afirmaciones!$E$2:$E$401,"hecho",Afirmaciones!$I$2:$I$401,"CITA-X")</f>
        <v>0</v>
      </c>
      <c r="V2" s="5">
        <f>COUNTIFS(Afirmaciones!$A$2:$A$401,$A2,Afirmaciones!$B$2:$B$401,$B2,Afirmaciones!$E$2:$E$401,"hecho",Afirmaciones!$I$2:$I$401,"SIN-CITA")</f>
        <v>0</v>
      </c>
      <c r="W2" s="5">
        <f>COUNTIFS(Afirmaciones!$A$2:$A$401,$A2,Afirmaciones!$B$2:$B$401,$B2,Afirmaciones!$E$2:$E$401,"hecho")</f>
        <v>0</v>
      </c>
      <c r="X2" s="5">
        <f>COUNTIFS(Afirmaciones!$A$2:$A$401,$A2,Afirmaciones!$B$2:$B$401,$B2,Afirmaciones!$E$2:$E$401,"hecho",Afirmaciones!$I$2:$I$401,"SOSTENIDA")</f>
        <v>0</v>
      </c>
      <c r="Y2" s="5">
        <f t="shared" ref="Y2:Y27" si="1">IF($L2=0,"",IF($M2=0,IF($R2&gt;0,0,2),IF(AND($N2=$M2,$P2+$Q2+$R2=0),2,IF($N2=0,0,1))))</f>
        <v>0</v>
      </c>
      <c r="Z2" s="5" t="str">
        <f t="shared" ref="Z2:Z27" si="2">IF($L2=0,"",IF($B2="llm","N/A",IF($W2=0,"N/A",IF($X2=$W2,2,IF($X2=0,0,1)))))</f>
        <v>N/A</v>
      </c>
      <c r="AA2" s="5" t="str">
        <f t="shared" ref="AA2:AA27" si="3">IF($L2=0,"",IF(AND($P2+$Q2+$R2=0,$T2+$U2=0,$I2&lt;&gt;"SI"),"-",TRIM(IF($P2+$Q2+$R2&gt;0,"CRITICA ","")&amp;IF($T2+$U2&gt;0,"RESPALDO ","")&amp;IF($I2="SI","TRUNC",""))))</f>
        <v>CRITICA</v>
      </c>
      <c r="AB2" s="5" t="str">
        <f t="shared" ref="AB2:AB27" si="4">IF($L2=0,"",IF(AND($R2=0,$AF2=0,$AG2=0,$P2+$Q2=0,$T2+$U2+$V2=0),"OK",TRIM(IF($R2&gt;0,"E0 ","")&amp;IF($AF2&gt;0,"E1 ","")&amp;IF(OR($AG2&gt;0,AND($P2+$Q2&gt;0,$AF2=0)),"E2 ","")&amp;IF($T2+$U2+$V2&gt;0,"E3 ",""))))</f>
        <v>E1</v>
      </c>
      <c r="AC2" s="5" t="str">
        <f t="shared" ref="AC2:AC27" si="5">IF($AB2="","",IF($AB2="OK","OK",LEFT($AB2,2)))</f>
        <v>E1</v>
      </c>
      <c r="AD2" s="5" t="str">
        <f t="shared" ref="AD2:AD27" si="6">IF(OR($L2=0,$B2="llm",$W2=0),"-",$X2&amp;"/"&amp;$W2)</f>
        <v>-</v>
      </c>
      <c r="AE2" s="5" t="str">
        <f>IF(OR($L2=0,$B2&lt;&gt;"rag",$M2=0),"-",SUMIFS(Hechos!$H$2:$H$201,Hechos!$A$2:$A$201,$A2)&amp;"/"&amp;$M2)</f>
        <v>0/5</v>
      </c>
      <c r="AF2" s="5">
        <f>IF($B2="rag",SUMPRODUCT((Hechos!$A$2:$A$201=$A2)*(Hechos!$F$2:$F$201=0)*((Hechos!$E$2:$E$201="NO")+(Hechos!$E$2:$E$201="ALT-P")+(Hechos!$E$2:$E$201=""))),0)</f>
        <v>5</v>
      </c>
      <c r="AG2" s="5">
        <f>IF($B2="rag",SUMPRODUCT((Hechos!$A$2:$A$201=$A2)*(Hechos!$F$2:$F$201=0)*((Hechos!$E$2:$E$201="SI")+(Hechos!$E$2:$E$201="ALT"))),$M2-$N2)</f>
        <v>0</v>
      </c>
      <c r="AH2" s="6"/>
    </row>
    <row r="3" spans="1:34" ht="150" customHeight="1" x14ac:dyDescent="0.25">
      <c r="A3" s="4" t="s">
        <v>64</v>
      </c>
      <c r="B3" s="4" t="s">
        <v>74</v>
      </c>
      <c r="C3" s="4" t="s">
        <v>66</v>
      </c>
      <c r="D3" s="4" t="s">
        <v>67</v>
      </c>
      <c r="E3" s="4" t="s">
        <v>68</v>
      </c>
      <c r="F3" s="4" t="s">
        <v>69</v>
      </c>
      <c r="G3" s="4"/>
      <c r="H3" s="4" t="s">
        <v>75</v>
      </c>
      <c r="I3" s="5" t="s">
        <v>76</v>
      </c>
      <c r="J3" s="5"/>
      <c r="K3" s="5"/>
      <c r="L3" s="5">
        <f>COUNTIFS(Afirmaciones!$A$2:$A$401,$A3,Afirmaciones!$B$2:$B$401,$B3)</f>
        <v>6</v>
      </c>
      <c r="M3" s="5">
        <f>COUNTIFS(Hechos!$A$2:$A$201,$A3)</f>
        <v>5</v>
      </c>
      <c r="N3" s="5">
        <f>IF($B3="rag",SUMIFS(Hechos!$F$2:$F$201,Hechos!$A$2:$A$201,$A3),SUMIFS(Hechos!$G$2:$G$201,Hechos!$A$2:$A$201,$A3))</f>
        <v>2</v>
      </c>
      <c r="O3" s="5" t="str">
        <f t="shared" si="0"/>
        <v>2/5</v>
      </c>
      <c r="P3" s="5">
        <f>COUNTIFS(Afirmaciones!$A$2:$A$401,$A3,Afirmaciones!$B$2:$B$401,$B3,Afirmaciones!$E$2:$E$401,"hecho",Afirmaciones!$F$2:$F$401,"INCORRECTA")</f>
        <v>1</v>
      </c>
      <c r="Q3" s="5">
        <f>COUNTIFS(Afirmaciones!$A$2:$A$401,$A3,Afirmaciones!$B$2:$B$401,$B3,Afirmaciones!$E$2:$E$401,"abstencion",Afirmaciones!$F$2:$F$401,"INCORRECTA")</f>
        <v>0</v>
      </c>
      <c r="R3" s="5">
        <f>COUNTIFS(Afirmaciones!$A$2:$A$401,$A3,Afirmaciones!$B$2:$B$401,$B3,Afirmaciones!$E$2:$E$401,"hecho",Afirmaciones!$F$2:$F$401,"FUERA_REF",Afirmaciones!$H$2:$H$401,"no_resp")</f>
        <v>0</v>
      </c>
      <c r="S3" s="5">
        <f>COUNTIFS(Afirmaciones!$A$2:$A$401,$A3,Afirmaciones!$B$2:$B$401,$B3,Afirmaciones!$E$2:$E$401,"hecho",Afirmaciones!$F$2:$F$401,"FUERA_REF")</f>
        <v>3</v>
      </c>
      <c r="T3" s="5">
        <f>COUNTIFS(Afirmaciones!$A$2:$A$401,$A3,Afirmaciones!$B$2:$B$401,$B3,Afirmaciones!$E$2:$E$401,"hecho",Afirmaciones!$I$2:$I$401,"SIN-RESPALDO")</f>
        <v>0</v>
      </c>
      <c r="U3" s="5">
        <f>COUNTIFS(Afirmaciones!$A$2:$A$401,$A3,Afirmaciones!$B$2:$B$401,$B3,Afirmaciones!$E$2:$E$401,"hecho",Afirmaciones!$I$2:$I$401,"CITA-X")</f>
        <v>0</v>
      </c>
      <c r="V3" s="5">
        <f>COUNTIFS(Afirmaciones!$A$2:$A$401,$A3,Afirmaciones!$B$2:$B$401,$B3,Afirmaciones!$E$2:$E$401,"hecho",Afirmaciones!$I$2:$I$401,"SIN-CITA")</f>
        <v>0</v>
      </c>
      <c r="W3" s="5">
        <f>COUNTIFS(Afirmaciones!$A$2:$A$401,$A3,Afirmaciones!$B$2:$B$401,$B3,Afirmaciones!$E$2:$E$401,"hecho")</f>
        <v>6</v>
      </c>
      <c r="X3" s="5">
        <f>COUNTIFS(Afirmaciones!$A$2:$A$401,$A3,Afirmaciones!$B$2:$B$401,$B3,Afirmaciones!$E$2:$E$401,"hecho",Afirmaciones!$I$2:$I$401,"SOSTENIDA")</f>
        <v>0</v>
      </c>
      <c r="Y3" s="5">
        <f t="shared" si="1"/>
        <v>1</v>
      </c>
      <c r="Z3" s="5" t="str">
        <f t="shared" si="2"/>
        <v>N/A</v>
      </c>
      <c r="AA3" s="5" t="str">
        <f t="shared" si="3"/>
        <v>CRITICA TRUNC</v>
      </c>
      <c r="AB3" s="5" t="str">
        <f t="shared" si="4"/>
        <v>E2</v>
      </c>
      <c r="AC3" s="5" t="str">
        <f t="shared" si="5"/>
        <v>E2</v>
      </c>
      <c r="AD3" s="5" t="str">
        <f t="shared" si="6"/>
        <v>-</v>
      </c>
      <c r="AE3" s="5" t="str">
        <f>IF(OR($L3=0,$B3&lt;&gt;"rag",$M3=0),"-",SUMIFS(Hechos!$H$2:$H$201,Hechos!$A$2:$A$201,$A3)&amp;"/"&amp;$M3)</f>
        <v>-</v>
      </c>
      <c r="AF3" s="5">
        <f>IF($B3="rag",SUMPRODUCT((Hechos!$A$2:$A$201=$A3)*(Hechos!$F$2:$F$201=0)*((Hechos!$E$2:$E$201="NO")+(Hechos!$E$2:$E$201="ALT-P")+(Hechos!$E$2:$E$201=""))),0)</f>
        <v>0</v>
      </c>
      <c r="AG3" s="5">
        <f>IF($B3="rag",SUMPRODUCT((Hechos!$A$2:$A$201=$A3)*(Hechos!$F$2:$F$201=0)*((Hechos!$E$2:$E$201="SI")+(Hechos!$E$2:$E$201="ALT"))),$M3-$N3)</f>
        <v>3</v>
      </c>
      <c r="AH3" s="6"/>
    </row>
    <row r="4" spans="1:34" ht="150" customHeight="1" x14ac:dyDescent="0.25">
      <c r="A4" s="4" t="s">
        <v>77</v>
      </c>
      <c r="B4" s="4" t="s">
        <v>65</v>
      </c>
      <c r="C4" s="4" t="s">
        <v>78</v>
      </c>
      <c r="D4" s="4" t="s">
        <v>67</v>
      </c>
      <c r="E4" s="4" t="s">
        <v>79</v>
      </c>
      <c r="F4" s="4" t="s">
        <v>80</v>
      </c>
      <c r="G4" s="4"/>
      <c r="H4" s="4" t="s">
        <v>81</v>
      </c>
      <c r="I4" s="5" t="s">
        <v>71</v>
      </c>
      <c r="J4" s="5" t="s">
        <v>82</v>
      </c>
      <c r="K4" s="5" t="s">
        <v>83</v>
      </c>
      <c r="L4" s="5">
        <f>COUNTIFS(Afirmaciones!$A$2:$A$401,$A4,Afirmaciones!$B$2:$B$401,$B4)</f>
        <v>0</v>
      </c>
      <c r="M4" s="5">
        <f>COUNTIFS(Hechos!$A$2:$A$201,$A4)</f>
        <v>5</v>
      </c>
      <c r="N4" s="5">
        <f>IF($B4="rag",SUMIFS(Hechos!$F$2:$F$201,Hechos!$A$2:$A$201,$A4),SUMIFS(Hechos!$G$2:$G$201,Hechos!$A$2:$A$201,$A4))</f>
        <v>0</v>
      </c>
      <c r="O4" s="5" t="str">
        <f t="shared" si="0"/>
        <v>0/5</v>
      </c>
      <c r="P4" s="5">
        <f>COUNTIFS(Afirmaciones!$A$2:$A$401,$A4,Afirmaciones!$B$2:$B$401,$B4,Afirmaciones!$E$2:$E$401,"hecho",Afirmaciones!$F$2:$F$401,"INCORRECTA")</f>
        <v>0</v>
      </c>
      <c r="Q4" s="5">
        <f>COUNTIFS(Afirmaciones!$A$2:$A$401,$A4,Afirmaciones!$B$2:$B$401,$B4,Afirmaciones!$E$2:$E$401,"abstencion",Afirmaciones!$F$2:$F$401,"INCORRECTA")</f>
        <v>0</v>
      </c>
      <c r="R4" s="5">
        <f>COUNTIFS(Afirmaciones!$A$2:$A$401,$A4,Afirmaciones!$B$2:$B$401,$B4,Afirmaciones!$E$2:$E$401,"hecho",Afirmaciones!$F$2:$F$401,"FUERA_REF",Afirmaciones!$H$2:$H$401,"no_resp")</f>
        <v>0</v>
      </c>
      <c r="S4" s="5">
        <f>COUNTIFS(Afirmaciones!$A$2:$A$401,$A4,Afirmaciones!$B$2:$B$401,$B4,Afirmaciones!$E$2:$E$401,"hecho",Afirmaciones!$F$2:$F$401,"FUERA_REF")</f>
        <v>0</v>
      </c>
      <c r="T4" s="5">
        <f>COUNTIFS(Afirmaciones!$A$2:$A$401,$A4,Afirmaciones!$B$2:$B$401,$B4,Afirmaciones!$E$2:$E$401,"hecho",Afirmaciones!$I$2:$I$401,"SIN-RESPALDO")</f>
        <v>0</v>
      </c>
      <c r="U4" s="5">
        <f>COUNTIFS(Afirmaciones!$A$2:$A$401,$A4,Afirmaciones!$B$2:$B$401,$B4,Afirmaciones!$E$2:$E$401,"hecho",Afirmaciones!$I$2:$I$401,"CITA-X")</f>
        <v>0</v>
      </c>
      <c r="V4" s="5">
        <f>COUNTIFS(Afirmaciones!$A$2:$A$401,$A4,Afirmaciones!$B$2:$B$401,$B4,Afirmaciones!$E$2:$E$401,"hecho",Afirmaciones!$I$2:$I$401,"SIN-CITA")</f>
        <v>0</v>
      </c>
      <c r="W4" s="5">
        <f>COUNTIFS(Afirmaciones!$A$2:$A$401,$A4,Afirmaciones!$B$2:$B$401,$B4,Afirmaciones!$E$2:$E$401,"hecho")</f>
        <v>0</v>
      </c>
      <c r="X4" s="5">
        <f>COUNTIFS(Afirmaciones!$A$2:$A$401,$A4,Afirmaciones!$B$2:$B$401,$B4,Afirmaciones!$E$2:$E$401,"hecho",Afirmaciones!$I$2:$I$401,"SOSTENIDA")</f>
        <v>0</v>
      </c>
      <c r="Y4" s="5" t="str">
        <f t="shared" si="1"/>
        <v/>
      </c>
      <c r="Z4" s="5" t="str">
        <f t="shared" si="2"/>
        <v/>
      </c>
      <c r="AA4" s="5" t="str">
        <f t="shared" si="3"/>
        <v/>
      </c>
      <c r="AB4" s="5" t="str">
        <f t="shared" si="4"/>
        <v/>
      </c>
      <c r="AC4" s="5" t="str">
        <f t="shared" si="5"/>
        <v/>
      </c>
      <c r="AD4" s="5" t="str">
        <f t="shared" si="6"/>
        <v>-</v>
      </c>
      <c r="AE4" s="5" t="str">
        <f>IF(OR($L4=0,$B4&lt;&gt;"rag",$M4=0),"-",SUMIFS(Hechos!$H$2:$H$201,Hechos!$A$2:$A$201,$A4)&amp;"/"&amp;$M4)</f>
        <v>-</v>
      </c>
      <c r="AF4" s="5">
        <f>IF($B4="rag",SUMPRODUCT((Hechos!$A$2:$A$201=$A4)*(Hechos!$F$2:$F$201=0)*((Hechos!$E$2:$E$201="NO")+(Hechos!$E$2:$E$201="ALT-P")+(Hechos!$E$2:$E$201=""))),0)</f>
        <v>0</v>
      </c>
      <c r="AG4" s="5">
        <f>IF($B4="rag",SUMPRODUCT((Hechos!$A$2:$A$201=$A4)*(Hechos!$F$2:$F$201=0)*((Hechos!$E$2:$E$201="SI")+(Hechos!$E$2:$E$201="ALT"))),$M4-$N4)</f>
        <v>0</v>
      </c>
      <c r="AH4" s="6"/>
    </row>
    <row r="5" spans="1:34" ht="150" customHeight="1" x14ac:dyDescent="0.25">
      <c r="A5" s="4" t="s">
        <v>77</v>
      </c>
      <c r="B5" s="4" t="s">
        <v>74</v>
      </c>
      <c r="C5" s="4" t="s">
        <v>78</v>
      </c>
      <c r="D5" s="4" t="s">
        <v>67</v>
      </c>
      <c r="E5" s="4" t="s">
        <v>79</v>
      </c>
      <c r="F5" s="4" t="s">
        <v>80</v>
      </c>
      <c r="G5" s="4"/>
      <c r="H5" s="4" t="s">
        <v>84</v>
      </c>
      <c r="I5" s="5" t="s">
        <v>71</v>
      </c>
      <c r="J5" s="5"/>
      <c r="K5" s="5"/>
      <c r="L5" s="5">
        <f>COUNTIFS(Afirmaciones!$A$2:$A$401,$A5,Afirmaciones!$B$2:$B$401,$B5)</f>
        <v>0</v>
      </c>
      <c r="M5" s="5">
        <f>COUNTIFS(Hechos!$A$2:$A$201,$A5)</f>
        <v>5</v>
      </c>
      <c r="N5" s="5">
        <f>IF($B5="rag",SUMIFS(Hechos!$F$2:$F$201,Hechos!$A$2:$A$201,$A5),SUMIFS(Hechos!$G$2:$G$201,Hechos!$A$2:$A$201,$A5))</f>
        <v>0</v>
      </c>
      <c r="O5" s="5" t="str">
        <f t="shared" si="0"/>
        <v>0/5</v>
      </c>
      <c r="P5" s="5">
        <f>COUNTIFS(Afirmaciones!$A$2:$A$401,$A5,Afirmaciones!$B$2:$B$401,$B5,Afirmaciones!$E$2:$E$401,"hecho",Afirmaciones!$F$2:$F$401,"INCORRECTA")</f>
        <v>0</v>
      </c>
      <c r="Q5" s="5">
        <f>COUNTIFS(Afirmaciones!$A$2:$A$401,$A5,Afirmaciones!$B$2:$B$401,$B5,Afirmaciones!$E$2:$E$401,"abstencion",Afirmaciones!$F$2:$F$401,"INCORRECTA")</f>
        <v>0</v>
      </c>
      <c r="R5" s="5">
        <f>COUNTIFS(Afirmaciones!$A$2:$A$401,$A5,Afirmaciones!$B$2:$B$401,$B5,Afirmaciones!$E$2:$E$401,"hecho",Afirmaciones!$F$2:$F$401,"FUERA_REF",Afirmaciones!$H$2:$H$401,"no_resp")</f>
        <v>0</v>
      </c>
      <c r="S5" s="5">
        <f>COUNTIFS(Afirmaciones!$A$2:$A$401,$A5,Afirmaciones!$B$2:$B$401,$B5,Afirmaciones!$E$2:$E$401,"hecho",Afirmaciones!$F$2:$F$401,"FUERA_REF")</f>
        <v>0</v>
      </c>
      <c r="T5" s="5">
        <f>COUNTIFS(Afirmaciones!$A$2:$A$401,$A5,Afirmaciones!$B$2:$B$401,$B5,Afirmaciones!$E$2:$E$401,"hecho",Afirmaciones!$I$2:$I$401,"SIN-RESPALDO")</f>
        <v>0</v>
      </c>
      <c r="U5" s="5">
        <f>COUNTIFS(Afirmaciones!$A$2:$A$401,$A5,Afirmaciones!$B$2:$B$401,$B5,Afirmaciones!$E$2:$E$401,"hecho",Afirmaciones!$I$2:$I$401,"CITA-X")</f>
        <v>0</v>
      </c>
      <c r="V5" s="5">
        <f>COUNTIFS(Afirmaciones!$A$2:$A$401,$A5,Afirmaciones!$B$2:$B$401,$B5,Afirmaciones!$E$2:$E$401,"hecho",Afirmaciones!$I$2:$I$401,"SIN-CITA")</f>
        <v>0</v>
      </c>
      <c r="W5" s="5">
        <f>COUNTIFS(Afirmaciones!$A$2:$A$401,$A5,Afirmaciones!$B$2:$B$401,$B5,Afirmaciones!$E$2:$E$401,"hecho")</f>
        <v>0</v>
      </c>
      <c r="X5" s="5">
        <f>COUNTIFS(Afirmaciones!$A$2:$A$401,$A5,Afirmaciones!$B$2:$B$401,$B5,Afirmaciones!$E$2:$E$401,"hecho",Afirmaciones!$I$2:$I$401,"SOSTENIDA")</f>
        <v>0</v>
      </c>
      <c r="Y5" s="5" t="str">
        <f t="shared" si="1"/>
        <v/>
      </c>
      <c r="Z5" s="5" t="str">
        <f t="shared" si="2"/>
        <v/>
      </c>
      <c r="AA5" s="5" t="str">
        <f t="shared" si="3"/>
        <v/>
      </c>
      <c r="AB5" s="5" t="str">
        <f t="shared" si="4"/>
        <v/>
      </c>
      <c r="AC5" s="5" t="str">
        <f t="shared" si="5"/>
        <v/>
      </c>
      <c r="AD5" s="5" t="str">
        <f t="shared" si="6"/>
        <v>-</v>
      </c>
      <c r="AE5" s="5" t="str">
        <f>IF(OR($L5=0,$B5&lt;&gt;"rag",$M5=0),"-",SUMIFS(Hechos!$H$2:$H$201,Hechos!$A$2:$A$201,$A5)&amp;"/"&amp;$M5)</f>
        <v>-</v>
      </c>
      <c r="AF5" s="5">
        <f>IF($B5="rag",SUMPRODUCT((Hechos!$A$2:$A$201=$A5)*(Hechos!$F$2:$F$201=0)*((Hechos!$E$2:$E$201="NO")+(Hechos!$E$2:$E$201="ALT-P")+(Hechos!$E$2:$E$201=""))),0)</f>
        <v>0</v>
      </c>
      <c r="AG5" s="5">
        <f>IF($B5="rag",SUMPRODUCT((Hechos!$A$2:$A$201=$A5)*(Hechos!$F$2:$F$201=0)*((Hechos!$E$2:$E$201="SI")+(Hechos!$E$2:$E$201="ALT"))),$M5-$N5)</f>
        <v>5</v>
      </c>
      <c r="AH5" s="6"/>
    </row>
    <row r="6" spans="1:34" ht="150" customHeight="1" x14ac:dyDescent="0.25">
      <c r="A6" s="4" t="s">
        <v>85</v>
      </c>
      <c r="B6" s="4" t="s">
        <v>65</v>
      </c>
      <c r="C6" s="4" t="s">
        <v>66</v>
      </c>
      <c r="D6" s="4" t="s">
        <v>67</v>
      </c>
      <c r="E6" s="4" t="s">
        <v>86</v>
      </c>
      <c r="F6" s="4" t="s">
        <v>87</v>
      </c>
      <c r="G6" s="4"/>
      <c r="H6" s="4" t="s">
        <v>88</v>
      </c>
      <c r="I6" s="5" t="s">
        <v>71</v>
      </c>
      <c r="J6" s="5" t="s">
        <v>89</v>
      </c>
      <c r="K6" s="5" t="s">
        <v>90</v>
      </c>
      <c r="L6" s="5">
        <f>COUNTIFS(Afirmaciones!$A$2:$A$401,$A6,Afirmaciones!$B$2:$B$401,$B6)</f>
        <v>0</v>
      </c>
      <c r="M6" s="5">
        <f>COUNTIFS(Hechos!$A$2:$A$201,$A6)</f>
        <v>2</v>
      </c>
      <c r="N6" s="5">
        <f>IF($B6="rag",SUMIFS(Hechos!$F$2:$F$201,Hechos!$A$2:$A$201,$A6),SUMIFS(Hechos!$G$2:$G$201,Hechos!$A$2:$A$201,$A6))</f>
        <v>0</v>
      </c>
      <c r="O6" s="5" t="str">
        <f t="shared" si="0"/>
        <v>0/2</v>
      </c>
      <c r="P6" s="5">
        <f>COUNTIFS(Afirmaciones!$A$2:$A$401,$A6,Afirmaciones!$B$2:$B$401,$B6,Afirmaciones!$E$2:$E$401,"hecho",Afirmaciones!$F$2:$F$401,"INCORRECTA")</f>
        <v>0</v>
      </c>
      <c r="Q6" s="5">
        <f>COUNTIFS(Afirmaciones!$A$2:$A$401,$A6,Afirmaciones!$B$2:$B$401,$B6,Afirmaciones!$E$2:$E$401,"abstencion",Afirmaciones!$F$2:$F$401,"INCORRECTA")</f>
        <v>0</v>
      </c>
      <c r="R6" s="5">
        <f>COUNTIFS(Afirmaciones!$A$2:$A$401,$A6,Afirmaciones!$B$2:$B$401,$B6,Afirmaciones!$E$2:$E$401,"hecho",Afirmaciones!$F$2:$F$401,"FUERA_REF",Afirmaciones!$H$2:$H$401,"no_resp")</f>
        <v>0</v>
      </c>
      <c r="S6" s="5">
        <f>COUNTIFS(Afirmaciones!$A$2:$A$401,$A6,Afirmaciones!$B$2:$B$401,$B6,Afirmaciones!$E$2:$E$401,"hecho",Afirmaciones!$F$2:$F$401,"FUERA_REF")</f>
        <v>0</v>
      </c>
      <c r="T6" s="5">
        <f>COUNTIFS(Afirmaciones!$A$2:$A$401,$A6,Afirmaciones!$B$2:$B$401,$B6,Afirmaciones!$E$2:$E$401,"hecho",Afirmaciones!$I$2:$I$401,"SIN-RESPALDO")</f>
        <v>0</v>
      </c>
      <c r="U6" s="5">
        <f>COUNTIFS(Afirmaciones!$A$2:$A$401,$A6,Afirmaciones!$B$2:$B$401,$B6,Afirmaciones!$E$2:$E$401,"hecho",Afirmaciones!$I$2:$I$401,"CITA-X")</f>
        <v>0</v>
      </c>
      <c r="V6" s="5">
        <f>COUNTIFS(Afirmaciones!$A$2:$A$401,$A6,Afirmaciones!$B$2:$B$401,$B6,Afirmaciones!$E$2:$E$401,"hecho",Afirmaciones!$I$2:$I$401,"SIN-CITA")</f>
        <v>0</v>
      </c>
      <c r="W6" s="5">
        <f>COUNTIFS(Afirmaciones!$A$2:$A$401,$A6,Afirmaciones!$B$2:$B$401,$B6,Afirmaciones!$E$2:$E$401,"hecho")</f>
        <v>0</v>
      </c>
      <c r="X6" s="5">
        <f>COUNTIFS(Afirmaciones!$A$2:$A$401,$A6,Afirmaciones!$B$2:$B$401,$B6,Afirmaciones!$E$2:$E$401,"hecho",Afirmaciones!$I$2:$I$401,"SOSTENIDA")</f>
        <v>0</v>
      </c>
      <c r="Y6" s="5" t="str">
        <f t="shared" si="1"/>
        <v/>
      </c>
      <c r="Z6" s="5" t="str">
        <f t="shared" si="2"/>
        <v/>
      </c>
      <c r="AA6" s="5" t="str">
        <f t="shared" si="3"/>
        <v/>
      </c>
      <c r="AB6" s="5" t="str">
        <f t="shared" si="4"/>
        <v/>
      </c>
      <c r="AC6" s="5" t="str">
        <f t="shared" si="5"/>
        <v/>
      </c>
      <c r="AD6" s="5" t="str">
        <f t="shared" si="6"/>
        <v>-</v>
      </c>
      <c r="AE6" s="5" t="str">
        <f>IF(OR($L6=0,$B6&lt;&gt;"rag",$M6=0),"-",SUMIFS(Hechos!$H$2:$H$201,Hechos!$A$2:$A$201,$A6)&amp;"/"&amp;$M6)</f>
        <v>-</v>
      </c>
      <c r="AF6" s="5">
        <f>IF($B6="rag",SUMPRODUCT((Hechos!$A$2:$A$201=$A6)*(Hechos!$F$2:$F$201=0)*((Hechos!$E$2:$E$201="NO")+(Hechos!$E$2:$E$201="ALT-P")+(Hechos!$E$2:$E$201=""))),0)</f>
        <v>0</v>
      </c>
      <c r="AG6" s="5">
        <f>IF($B6="rag",SUMPRODUCT((Hechos!$A$2:$A$201=$A6)*(Hechos!$F$2:$F$201=0)*((Hechos!$E$2:$E$201="SI")+(Hechos!$E$2:$E$201="ALT"))),$M6-$N6)</f>
        <v>0</v>
      </c>
      <c r="AH6" s="6"/>
    </row>
    <row r="7" spans="1:34" ht="150" customHeight="1" x14ac:dyDescent="0.25">
      <c r="A7" s="4" t="s">
        <v>85</v>
      </c>
      <c r="B7" s="4" t="s">
        <v>74</v>
      </c>
      <c r="C7" s="4" t="s">
        <v>66</v>
      </c>
      <c r="D7" s="4" t="s">
        <v>67</v>
      </c>
      <c r="E7" s="4" t="s">
        <v>86</v>
      </c>
      <c r="F7" s="4" t="s">
        <v>87</v>
      </c>
      <c r="G7" s="4"/>
      <c r="H7" s="4" t="s">
        <v>91</v>
      </c>
      <c r="I7" s="5" t="s">
        <v>71</v>
      </c>
      <c r="J7" s="5"/>
      <c r="K7" s="5"/>
      <c r="L7" s="5">
        <f>COUNTIFS(Afirmaciones!$A$2:$A$401,$A7,Afirmaciones!$B$2:$B$401,$B7)</f>
        <v>0</v>
      </c>
      <c r="M7" s="5">
        <f>COUNTIFS(Hechos!$A$2:$A$201,$A7)</f>
        <v>2</v>
      </c>
      <c r="N7" s="5">
        <f>IF($B7="rag",SUMIFS(Hechos!$F$2:$F$201,Hechos!$A$2:$A$201,$A7),SUMIFS(Hechos!$G$2:$G$201,Hechos!$A$2:$A$201,$A7))</f>
        <v>0</v>
      </c>
      <c r="O7" s="5" t="str">
        <f t="shared" si="0"/>
        <v>0/2</v>
      </c>
      <c r="P7" s="5">
        <f>COUNTIFS(Afirmaciones!$A$2:$A$401,$A7,Afirmaciones!$B$2:$B$401,$B7,Afirmaciones!$E$2:$E$401,"hecho",Afirmaciones!$F$2:$F$401,"INCORRECTA")</f>
        <v>0</v>
      </c>
      <c r="Q7" s="5">
        <f>COUNTIFS(Afirmaciones!$A$2:$A$401,$A7,Afirmaciones!$B$2:$B$401,$B7,Afirmaciones!$E$2:$E$401,"abstencion",Afirmaciones!$F$2:$F$401,"INCORRECTA")</f>
        <v>0</v>
      </c>
      <c r="R7" s="5">
        <f>COUNTIFS(Afirmaciones!$A$2:$A$401,$A7,Afirmaciones!$B$2:$B$401,$B7,Afirmaciones!$E$2:$E$401,"hecho",Afirmaciones!$F$2:$F$401,"FUERA_REF",Afirmaciones!$H$2:$H$401,"no_resp")</f>
        <v>0</v>
      </c>
      <c r="S7" s="5">
        <f>COUNTIFS(Afirmaciones!$A$2:$A$401,$A7,Afirmaciones!$B$2:$B$401,$B7,Afirmaciones!$E$2:$E$401,"hecho",Afirmaciones!$F$2:$F$401,"FUERA_REF")</f>
        <v>0</v>
      </c>
      <c r="T7" s="5">
        <f>COUNTIFS(Afirmaciones!$A$2:$A$401,$A7,Afirmaciones!$B$2:$B$401,$B7,Afirmaciones!$E$2:$E$401,"hecho",Afirmaciones!$I$2:$I$401,"SIN-RESPALDO")</f>
        <v>0</v>
      </c>
      <c r="U7" s="5">
        <f>COUNTIFS(Afirmaciones!$A$2:$A$401,$A7,Afirmaciones!$B$2:$B$401,$B7,Afirmaciones!$E$2:$E$401,"hecho",Afirmaciones!$I$2:$I$401,"CITA-X")</f>
        <v>0</v>
      </c>
      <c r="V7" s="5">
        <f>COUNTIFS(Afirmaciones!$A$2:$A$401,$A7,Afirmaciones!$B$2:$B$401,$B7,Afirmaciones!$E$2:$E$401,"hecho",Afirmaciones!$I$2:$I$401,"SIN-CITA")</f>
        <v>0</v>
      </c>
      <c r="W7" s="5">
        <f>COUNTIFS(Afirmaciones!$A$2:$A$401,$A7,Afirmaciones!$B$2:$B$401,$B7,Afirmaciones!$E$2:$E$401,"hecho")</f>
        <v>0</v>
      </c>
      <c r="X7" s="5">
        <f>COUNTIFS(Afirmaciones!$A$2:$A$401,$A7,Afirmaciones!$B$2:$B$401,$B7,Afirmaciones!$E$2:$E$401,"hecho",Afirmaciones!$I$2:$I$401,"SOSTENIDA")</f>
        <v>0</v>
      </c>
      <c r="Y7" s="5" t="str">
        <f t="shared" si="1"/>
        <v/>
      </c>
      <c r="Z7" s="5" t="str">
        <f t="shared" si="2"/>
        <v/>
      </c>
      <c r="AA7" s="5" t="str">
        <f t="shared" si="3"/>
        <v/>
      </c>
      <c r="AB7" s="5" t="str">
        <f t="shared" si="4"/>
        <v/>
      </c>
      <c r="AC7" s="5" t="str">
        <f t="shared" si="5"/>
        <v/>
      </c>
      <c r="AD7" s="5" t="str">
        <f t="shared" si="6"/>
        <v>-</v>
      </c>
      <c r="AE7" s="5" t="str">
        <f>IF(OR($L7=0,$B7&lt;&gt;"rag",$M7=0),"-",SUMIFS(Hechos!$H$2:$H$201,Hechos!$A$2:$A$201,$A7)&amp;"/"&amp;$M7)</f>
        <v>-</v>
      </c>
      <c r="AF7" s="5">
        <f>IF($B7="rag",SUMPRODUCT((Hechos!$A$2:$A$201=$A7)*(Hechos!$F$2:$F$201=0)*((Hechos!$E$2:$E$201="NO")+(Hechos!$E$2:$E$201="ALT-P")+(Hechos!$E$2:$E$201=""))),0)</f>
        <v>0</v>
      </c>
      <c r="AG7" s="5">
        <f>IF($B7="rag",SUMPRODUCT((Hechos!$A$2:$A$201=$A7)*(Hechos!$F$2:$F$201=0)*((Hechos!$E$2:$E$201="SI")+(Hechos!$E$2:$E$201="ALT"))),$M7-$N7)</f>
        <v>2</v>
      </c>
      <c r="AH7" s="6"/>
    </row>
    <row r="8" spans="1:34" ht="150" customHeight="1" x14ac:dyDescent="0.25">
      <c r="A8" s="4" t="s">
        <v>92</v>
      </c>
      <c r="B8" s="4" t="s">
        <v>65</v>
      </c>
      <c r="C8" s="4" t="s">
        <v>66</v>
      </c>
      <c r="D8" s="4" t="s">
        <v>93</v>
      </c>
      <c r="E8" s="4" t="s">
        <v>94</v>
      </c>
      <c r="F8" s="4" t="s">
        <v>95</v>
      </c>
      <c r="G8" s="4" t="s">
        <v>96</v>
      </c>
      <c r="H8" s="4" t="s">
        <v>97</v>
      </c>
      <c r="I8" s="5" t="s">
        <v>71</v>
      </c>
      <c r="J8" s="5" t="s">
        <v>89</v>
      </c>
      <c r="K8" s="5" t="s">
        <v>90</v>
      </c>
      <c r="L8" s="5">
        <f>COUNTIFS(Afirmaciones!$A$2:$A$401,$A8,Afirmaciones!$B$2:$B$401,$B8)</f>
        <v>0</v>
      </c>
      <c r="M8" s="5">
        <f>COUNTIFS(Hechos!$A$2:$A$201,$A8)</f>
        <v>2</v>
      </c>
      <c r="N8" s="5">
        <f>IF($B8="rag",SUMIFS(Hechos!$F$2:$F$201,Hechos!$A$2:$A$201,$A8),SUMIFS(Hechos!$G$2:$G$201,Hechos!$A$2:$A$201,$A8))</f>
        <v>0</v>
      </c>
      <c r="O8" s="5" t="str">
        <f t="shared" si="0"/>
        <v>0/2</v>
      </c>
      <c r="P8" s="5">
        <f>COUNTIFS(Afirmaciones!$A$2:$A$401,$A8,Afirmaciones!$B$2:$B$401,$B8,Afirmaciones!$E$2:$E$401,"hecho",Afirmaciones!$F$2:$F$401,"INCORRECTA")</f>
        <v>0</v>
      </c>
      <c r="Q8" s="5">
        <f>COUNTIFS(Afirmaciones!$A$2:$A$401,$A8,Afirmaciones!$B$2:$B$401,$B8,Afirmaciones!$E$2:$E$401,"abstencion",Afirmaciones!$F$2:$F$401,"INCORRECTA")</f>
        <v>0</v>
      </c>
      <c r="R8" s="5">
        <f>COUNTIFS(Afirmaciones!$A$2:$A$401,$A8,Afirmaciones!$B$2:$B$401,$B8,Afirmaciones!$E$2:$E$401,"hecho",Afirmaciones!$F$2:$F$401,"FUERA_REF",Afirmaciones!$H$2:$H$401,"no_resp")</f>
        <v>0</v>
      </c>
      <c r="S8" s="5">
        <f>COUNTIFS(Afirmaciones!$A$2:$A$401,$A8,Afirmaciones!$B$2:$B$401,$B8,Afirmaciones!$E$2:$E$401,"hecho",Afirmaciones!$F$2:$F$401,"FUERA_REF")</f>
        <v>0</v>
      </c>
      <c r="T8" s="5">
        <f>COUNTIFS(Afirmaciones!$A$2:$A$401,$A8,Afirmaciones!$B$2:$B$401,$B8,Afirmaciones!$E$2:$E$401,"hecho",Afirmaciones!$I$2:$I$401,"SIN-RESPALDO")</f>
        <v>0</v>
      </c>
      <c r="U8" s="5">
        <f>COUNTIFS(Afirmaciones!$A$2:$A$401,$A8,Afirmaciones!$B$2:$B$401,$B8,Afirmaciones!$E$2:$E$401,"hecho",Afirmaciones!$I$2:$I$401,"CITA-X")</f>
        <v>0</v>
      </c>
      <c r="V8" s="5">
        <f>COUNTIFS(Afirmaciones!$A$2:$A$401,$A8,Afirmaciones!$B$2:$B$401,$B8,Afirmaciones!$E$2:$E$401,"hecho",Afirmaciones!$I$2:$I$401,"SIN-CITA")</f>
        <v>0</v>
      </c>
      <c r="W8" s="5">
        <f>COUNTIFS(Afirmaciones!$A$2:$A$401,$A8,Afirmaciones!$B$2:$B$401,$B8,Afirmaciones!$E$2:$E$401,"hecho")</f>
        <v>0</v>
      </c>
      <c r="X8" s="5">
        <f>COUNTIFS(Afirmaciones!$A$2:$A$401,$A8,Afirmaciones!$B$2:$B$401,$B8,Afirmaciones!$E$2:$E$401,"hecho",Afirmaciones!$I$2:$I$401,"SOSTENIDA")</f>
        <v>0</v>
      </c>
      <c r="Y8" s="5" t="str">
        <f t="shared" si="1"/>
        <v/>
      </c>
      <c r="Z8" s="5" t="str">
        <f t="shared" si="2"/>
        <v/>
      </c>
      <c r="AA8" s="5" t="str">
        <f t="shared" si="3"/>
        <v/>
      </c>
      <c r="AB8" s="5" t="str">
        <f t="shared" si="4"/>
        <v/>
      </c>
      <c r="AC8" s="5" t="str">
        <f t="shared" si="5"/>
        <v/>
      </c>
      <c r="AD8" s="5" t="str">
        <f t="shared" si="6"/>
        <v>-</v>
      </c>
      <c r="AE8" s="5" t="str">
        <f>IF(OR($L8=0,$B8&lt;&gt;"rag",$M8=0),"-",SUMIFS(Hechos!$H$2:$H$201,Hechos!$A$2:$A$201,$A8)&amp;"/"&amp;$M8)</f>
        <v>-</v>
      </c>
      <c r="AF8" s="5">
        <f>IF($B8="rag",SUMPRODUCT((Hechos!$A$2:$A$201=$A8)*(Hechos!$F$2:$F$201=0)*((Hechos!$E$2:$E$201="NO")+(Hechos!$E$2:$E$201="ALT-P")+(Hechos!$E$2:$E$201=""))),0)</f>
        <v>0</v>
      </c>
      <c r="AG8" s="5">
        <f>IF($B8="rag",SUMPRODUCT((Hechos!$A$2:$A$201=$A8)*(Hechos!$F$2:$F$201=0)*((Hechos!$E$2:$E$201="SI")+(Hechos!$E$2:$E$201="ALT"))),$M8-$N8)</f>
        <v>0</v>
      </c>
      <c r="AH8" s="6"/>
    </row>
    <row r="9" spans="1:34" ht="150" customHeight="1" x14ac:dyDescent="0.25">
      <c r="A9" s="4" t="s">
        <v>92</v>
      </c>
      <c r="B9" s="4" t="s">
        <v>74</v>
      </c>
      <c r="C9" s="4" t="s">
        <v>66</v>
      </c>
      <c r="D9" s="4" t="s">
        <v>93</v>
      </c>
      <c r="E9" s="4" t="s">
        <v>94</v>
      </c>
      <c r="F9" s="4" t="s">
        <v>95</v>
      </c>
      <c r="G9" s="4" t="s">
        <v>96</v>
      </c>
      <c r="H9" s="4" t="s">
        <v>98</v>
      </c>
      <c r="I9" s="5" t="s">
        <v>71</v>
      </c>
      <c r="J9" s="5"/>
      <c r="K9" s="5"/>
      <c r="L9" s="5">
        <f>COUNTIFS(Afirmaciones!$A$2:$A$401,$A9,Afirmaciones!$B$2:$B$401,$B9)</f>
        <v>0</v>
      </c>
      <c r="M9" s="5">
        <f>COUNTIFS(Hechos!$A$2:$A$201,$A9)</f>
        <v>2</v>
      </c>
      <c r="N9" s="5">
        <f>IF($B9="rag",SUMIFS(Hechos!$F$2:$F$201,Hechos!$A$2:$A$201,$A9),SUMIFS(Hechos!$G$2:$G$201,Hechos!$A$2:$A$201,$A9))</f>
        <v>0</v>
      </c>
      <c r="O9" s="5" t="str">
        <f t="shared" si="0"/>
        <v>0/2</v>
      </c>
      <c r="P9" s="5">
        <f>COUNTIFS(Afirmaciones!$A$2:$A$401,$A9,Afirmaciones!$B$2:$B$401,$B9,Afirmaciones!$E$2:$E$401,"hecho",Afirmaciones!$F$2:$F$401,"INCORRECTA")</f>
        <v>0</v>
      </c>
      <c r="Q9" s="5">
        <f>COUNTIFS(Afirmaciones!$A$2:$A$401,$A9,Afirmaciones!$B$2:$B$401,$B9,Afirmaciones!$E$2:$E$401,"abstencion",Afirmaciones!$F$2:$F$401,"INCORRECTA")</f>
        <v>0</v>
      </c>
      <c r="R9" s="5">
        <f>COUNTIFS(Afirmaciones!$A$2:$A$401,$A9,Afirmaciones!$B$2:$B$401,$B9,Afirmaciones!$E$2:$E$401,"hecho",Afirmaciones!$F$2:$F$401,"FUERA_REF",Afirmaciones!$H$2:$H$401,"no_resp")</f>
        <v>0</v>
      </c>
      <c r="S9" s="5">
        <f>COUNTIFS(Afirmaciones!$A$2:$A$401,$A9,Afirmaciones!$B$2:$B$401,$B9,Afirmaciones!$E$2:$E$401,"hecho",Afirmaciones!$F$2:$F$401,"FUERA_REF")</f>
        <v>0</v>
      </c>
      <c r="T9" s="5">
        <f>COUNTIFS(Afirmaciones!$A$2:$A$401,$A9,Afirmaciones!$B$2:$B$401,$B9,Afirmaciones!$E$2:$E$401,"hecho",Afirmaciones!$I$2:$I$401,"SIN-RESPALDO")</f>
        <v>0</v>
      </c>
      <c r="U9" s="5">
        <f>COUNTIFS(Afirmaciones!$A$2:$A$401,$A9,Afirmaciones!$B$2:$B$401,$B9,Afirmaciones!$E$2:$E$401,"hecho",Afirmaciones!$I$2:$I$401,"CITA-X")</f>
        <v>0</v>
      </c>
      <c r="V9" s="5">
        <f>COUNTIFS(Afirmaciones!$A$2:$A$401,$A9,Afirmaciones!$B$2:$B$401,$B9,Afirmaciones!$E$2:$E$401,"hecho",Afirmaciones!$I$2:$I$401,"SIN-CITA")</f>
        <v>0</v>
      </c>
      <c r="W9" s="5">
        <f>COUNTIFS(Afirmaciones!$A$2:$A$401,$A9,Afirmaciones!$B$2:$B$401,$B9,Afirmaciones!$E$2:$E$401,"hecho")</f>
        <v>0</v>
      </c>
      <c r="X9" s="5">
        <f>COUNTIFS(Afirmaciones!$A$2:$A$401,$A9,Afirmaciones!$B$2:$B$401,$B9,Afirmaciones!$E$2:$E$401,"hecho",Afirmaciones!$I$2:$I$401,"SOSTENIDA")</f>
        <v>0</v>
      </c>
      <c r="Y9" s="5" t="str">
        <f t="shared" si="1"/>
        <v/>
      </c>
      <c r="Z9" s="5" t="str">
        <f t="shared" si="2"/>
        <v/>
      </c>
      <c r="AA9" s="5" t="str">
        <f t="shared" si="3"/>
        <v/>
      </c>
      <c r="AB9" s="5" t="str">
        <f t="shared" si="4"/>
        <v/>
      </c>
      <c r="AC9" s="5" t="str">
        <f t="shared" si="5"/>
        <v/>
      </c>
      <c r="AD9" s="5" t="str">
        <f t="shared" si="6"/>
        <v>-</v>
      </c>
      <c r="AE9" s="5" t="str">
        <f>IF(OR($L9=0,$B9&lt;&gt;"rag",$M9=0),"-",SUMIFS(Hechos!$H$2:$H$201,Hechos!$A$2:$A$201,$A9)&amp;"/"&amp;$M9)</f>
        <v>-</v>
      </c>
      <c r="AF9" s="5">
        <f>IF($B9="rag",SUMPRODUCT((Hechos!$A$2:$A$201=$A9)*(Hechos!$F$2:$F$201=0)*((Hechos!$E$2:$E$201="NO")+(Hechos!$E$2:$E$201="ALT-P")+(Hechos!$E$2:$E$201=""))),0)</f>
        <v>0</v>
      </c>
      <c r="AG9" s="5">
        <f>IF($B9="rag",SUMPRODUCT((Hechos!$A$2:$A$201=$A9)*(Hechos!$F$2:$F$201=0)*((Hechos!$E$2:$E$201="SI")+(Hechos!$E$2:$E$201="ALT"))),$M9-$N9)</f>
        <v>2</v>
      </c>
      <c r="AH9" s="6"/>
    </row>
    <row r="10" spans="1:34" ht="150" customHeight="1" x14ac:dyDescent="0.25">
      <c r="A10" s="4" t="s">
        <v>99</v>
      </c>
      <c r="B10" s="4" t="s">
        <v>65</v>
      </c>
      <c r="C10" s="4" t="s">
        <v>66</v>
      </c>
      <c r="D10" s="4" t="s">
        <v>67</v>
      </c>
      <c r="E10" s="4" t="s">
        <v>100</v>
      </c>
      <c r="F10" s="4" t="s">
        <v>101</v>
      </c>
      <c r="G10" s="4"/>
      <c r="H10" s="4" t="s">
        <v>102</v>
      </c>
      <c r="I10" s="5" t="s">
        <v>71</v>
      </c>
      <c r="J10" s="5" t="s">
        <v>82</v>
      </c>
      <c r="K10" s="5" t="s">
        <v>103</v>
      </c>
      <c r="L10" s="5">
        <f>COUNTIFS(Afirmaciones!$A$2:$A$401,$A10,Afirmaciones!$B$2:$B$401,$B10)</f>
        <v>3</v>
      </c>
      <c r="M10" s="5">
        <f>COUNTIFS(Hechos!$A$2:$A$201,$A10)</f>
        <v>4</v>
      </c>
      <c r="N10" s="5">
        <f>IF($B10="rag",SUMIFS(Hechos!$F$2:$F$201,Hechos!$A$2:$A$201,$A10),SUMIFS(Hechos!$G$2:$G$201,Hechos!$A$2:$A$201,$A10))</f>
        <v>2</v>
      </c>
      <c r="O10" s="5" t="str">
        <f t="shared" si="0"/>
        <v>2/4</v>
      </c>
      <c r="P10" s="5">
        <f>COUNTIFS(Afirmaciones!$A$2:$A$401,$A10,Afirmaciones!$B$2:$B$401,$B10,Afirmaciones!$E$2:$E$401,"hecho",Afirmaciones!$F$2:$F$401,"INCORRECTA")</f>
        <v>0</v>
      </c>
      <c r="Q10" s="5">
        <f>COUNTIFS(Afirmaciones!$A$2:$A$401,$A10,Afirmaciones!$B$2:$B$401,$B10,Afirmaciones!$E$2:$E$401,"abstencion",Afirmaciones!$F$2:$F$401,"INCORRECTA")</f>
        <v>0</v>
      </c>
      <c r="R10" s="5">
        <f>COUNTIFS(Afirmaciones!$A$2:$A$401,$A10,Afirmaciones!$B$2:$B$401,$B10,Afirmaciones!$E$2:$E$401,"hecho",Afirmaciones!$F$2:$F$401,"FUERA_REF",Afirmaciones!$H$2:$H$401,"no_resp")</f>
        <v>0</v>
      </c>
      <c r="S10" s="5">
        <f>COUNTIFS(Afirmaciones!$A$2:$A$401,$A10,Afirmaciones!$B$2:$B$401,$B10,Afirmaciones!$E$2:$E$401,"hecho",Afirmaciones!$F$2:$F$401,"FUERA_REF")</f>
        <v>1</v>
      </c>
      <c r="T10" s="5">
        <f>COUNTIFS(Afirmaciones!$A$2:$A$401,$A10,Afirmaciones!$B$2:$B$401,$B10,Afirmaciones!$E$2:$E$401,"hecho",Afirmaciones!$I$2:$I$401,"SIN-RESPALDO")</f>
        <v>1</v>
      </c>
      <c r="U10" s="5">
        <f>COUNTIFS(Afirmaciones!$A$2:$A$401,$A10,Afirmaciones!$B$2:$B$401,$B10,Afirmaciones!$E$2:$E$401,"hecho",Afirmaciones!$I$2:$I$401,"CITA-X")</f>
        <v>1</v>
      </c>
      <c r="V10" s="5">
        <f>COUNTIFS(Afirmaciones!$A$2:$A$401,$A10,Afirmaciones!$B$2:$B$401,$B10,Afirmaciones!$E$2:$E$401,"hecho",Afirmaciones!$I$2:$I$401,"SIN-CITA")</f>
        <v>0</v>
      </c>
      <c r="W10" s="5">
        <f>COUNTIFS(Afirmaciones!$A$2:$A$401,$A10,Afirmaciones!$B$2:$B$401,$B10,Afirmaciones!$E$2:$E$401,"hecho")</f>
        <v>3</v>
      </c>
      <c r="X10" s="5">
        <f>COUNTIFS(Afirmaciones!$A$2:$A$401,$A10,Afirmaciones!$B$2:$B$401,$B10,Afirmaciones!$E$2:$E$401,"hecho",Afirmaciones!$I$2:$I$401,"SOSTENIDA")</f>
        <v>1</v>
      </c>
      <c r="Y10" s="5">
        <f t="shared" si="1"/>
        <v>1</v>
      </c>
      <c r="Z10" s="5">
        <f t="shared" si="2"/>
        <v>1</v>
      </c>
      <c r="AA10" s="5" t="str">
        <f t="shared" si="3"/>
        <v>RESPALDO</v>
      </c>
      <c r="AB10" s="5" t="str">
        <f t="shared" si="4"/>
        <v>E1 E2 E3</v>
      </c>
      <c r="AC10" s="5" t="str">
        <f t="shared" si="5"/>
        <v>E1</v>
      </c>
      <c r="AD10" s="5" t="str">
        <f t="shared" si="6"/>
        <v>1/3</v>
      </c>
      <c r="AE10" s="5" t="str">
        <f>IF(OR($L10=0,$B10&lt;&gt;"rag",$M10=0),"-",SUMIFS(Hechos!$H$2:$H$201,Hechos!$A$2:$A$201,$A10)&amp;"/"&amp;$M10)</f>
        <v>1/4</v>
      </c>
      <c r="AF10" s="5">
        <f>IF($B10="rag",SUMPRODUCT((Hechos!$A$2:$A$201=$A10)*(Hechos!$F$2:$F$201=0)*((Hechos!$E$2:$E$201="NO")+(Hechos!$E$2:$E$201="ALT-P")+(Hechos!$E$2:$E$201=""))),0)</f>
        <v>1</v>
      </c>
      <c r="AG10" s="5">
        <f>IF($B10="rag",SUMPRODUCT((Hechos!$A$2:$A$201=$A10)*(Hechos!$F$2:$F$201=0)*((Hechos!$E$2:$E$201="SI")+(Hechos!$E$2:$E$201="ALT"))),$M10-$N10)</f>
        <v>1</v>
      </c>
      <c r="AH10" s="6"/>
    </row>
    <row r="11" spans="1:34" ht="150" customHeight="1" x14ac:dyDescent="0.25">
      <c r="A11" s="4" t="s">
        <v>99</v>
      </c>
      <c r="B11" s="4" t="s">
        <v>74</v>
      </c>
      <c r="C11" s="4" t="s">
        <v>66</v>
      </c>
      <c r="D11" s="4" t="s">
        <v>67</v>
      </c>
      <c r="E11" s="4" t="s">
        <v>100</v>
      </c>
      <c r="F11" s="4" t="s">
        <v>101</v>
      </c>
      <c r="G11" s="4"/>
      <c r="H11" s="4" t="s">
        <v>104</v>
      </c>
      <c r="I11" s="5" t="s">
        <v>71</v>
      </c>
      <c r="J11" s="5"/>
      <c r="K11" s="5"/>
      <c r="L11" s="5">
        <f>COUNTIFS(Afirmaciones!$A$2:$A$401,$A11,Afirmaciones!$B$2:$B$401,$B11)</f>
        <v>3</v>
      </c>
      <c r="M11" s="5">
        <f>COUNTIFS(Hechos!$A$2:$A$201,$A11)</f>
        <v>4</v>
      </c>
      <c r="N11" s="5">
        <f>IF($B11="rag",SUMIFS(Hechos!$F$2:$F$201,Hechos!$A$2:$A$201,$A11),SUMIFS(Hechos!$G$2:$G$201,Hechos!$A$2:$A$201,$A11))</f>
        <v>0</v>
      </c>
      <c r="O11" s="5" t="str">
        <f t="shared" si="0"/>
        <v>0/4</v>
      </c>
      <c r="P11" s="5">
        <f>COUNTIFS(Afirmaciones!$A$2:$A$401,$A11,Afirmaciones!$B$2:$B$401,$B11,Afirmaciones!$E$2:$E$401,"hecho",Afirmaciones!$F$2:$F$401,"INCORRECTA")</f>
        <v>2</v>
      </c>
      <c r="Q11" s="5">
        <f>COUNTIFS(Afirmaciones!$A$2:$A$401,$A11,Afirmaciones!$B$2:$B$401,$B11,Afirmaciones!$E$2:$E$401,"abstencion",Afirmaciones!$F$2:$F$401,"INCORRECTA")</f>
        <v>0</v>
      </c>
      <c r="R11" s="5">
        <f>COUNTIFS(Afirmaciones!$A$2:$A$401,$A11,Afirmaciones!$B$2:$B$401,$B11,Afirmaciones!$E$2:$E$401,"hecho",Afirmaciones!$F$2:$F$401,"FUERA_REF",Afirmaciones!$H$2:$H$401,"no_resp")</f>
        <v>0</v>
      </c>
      <c r="S11" s="5">
        <f>COUNTIFS(Afirmaciones!$A$2:$A$401,$A11,Afirmaciones!$B$2:$B$401,$B11,Afirmaciones!$E$2:$E$401,"hecho",Afirmaciones!$F$2:$F$401,"FUERA_REF")</f>
        <v>1</v>
      </c>
      <c r="T11" s="5">
        <f>COUNTIFS(Afirmaciones!$A$2:$A$401,$A11,Afirmaciones!$B$2:$B$401,$B11,Afirmaciones!$E$2:$E$401,"hecho",Afirmaciones!$I$2:$I$401,"SIN-RESPALDO")</f>
        <v>0</v>
      </c>
      <c r="U11" s="5">
        <f>COUNTIFS(Afirmaciones!$A$2:$A$401,$A11,Afirmaciones!$B$2:$B$401,$B11,Afirmaciones!$E$2:$E$401,"hecho",Afirmaciones!$I$2:$I$401,"CITA-X")</f>
        <v>0</v>
      </c>
      <c r="V11" s="5">
        <f>COUNTIFS(Afirmaciones!$A$2:$A$401,$A11,Afirmaciones!$B$2:$B$401,$B11,Afirmaciones!$E$2:$E$401,"hecho",Afirmaciones!$I$2:$I$401,"SIN-CITA")</f>
        <v>0</v>
      </c>
      <c r="W11" s="5">
        <f>COUNTIFS(Afirmaciones!$A$2:$A$401,$A11,Afirmaciones!$B$2:$B$401,$B11,Afirmaciones!$E$2:$E$401,"hecho")</f>
        <v>3</v>
      </c>
      <c r="X11" s="5">
        <f>COUNTIFS(Afirmaciones!$A$2:$A$401,$A11,Afirmaciones!$B$2:$B$401,$B11,Afirmaciones!$E$2:$E$401,"hecho",Afirmaciones!$I$2:$I$401,"SOSTENIDA")</f>
        <v>0</v>
      </c>
      <c r="Y11" s="5">
        <f t="shared" si="1"/>
        <v>0</v>
      </c>
      <c r="Z11" s="5" t="str">
        <f t="shared" si="2"/>
        <v>N/A</v>
      </c>
      <c r="AA11" s="5" t="str">
        <f t="shared" si="3"/>
        <v>CRITICA</v>
      </c>
      <c r="AB11" s="5" t="str">
        <f t="shared" si="4"/>
        <v>E2</v>
      </c>
      <c r="AC11" s="5" t="str">
        <f t="shared" si="5"/>
        <v>E2</v>
      </c>
      <c r="AD11" s="5" t="str">
        <f t="shared" si="6"/>
        <v>-</v>
      </c>
      <c r="AE11" s="5" t="str">
        <f>IF(OR($L11=0,$B11&lt;&gt;"rag",$M11=0),"-",SUMIFS(Hechos!$H$2:$H$201,Hechos!$A$2:$A$201,$A11)&amp;"/"&amp;$M11)</f>
        <v>-</v>
      </c>
      <c r="AF11" s="5">
        <f>IF($B11="rag",SUMPRODUCT((Hechos!$A$2:$A$201=$A11)*(Hechos!$F$2:$F$201=0)*((Hechos!$E$2:$E$201="NO")+(Hechos!$E$2:$E$201="ALT-P")+(Hechos!$E$2:$E$201=""))),0)</f>
        <v>0</v>
      </c>
      <c r="AG11" s="5">
        <f>IF($B11="rag",SUMPRODUCT((Hechos!$A$2:$A$201=$A11)*(Hechos!$F$2:$F$201=0)*((Hechos!$E$2:$E$201="SI")+(Hechos!$E$2:$E$201="ALT"))),$M11-$N11)</f>
        <v>4</v>
      </c>
      <c r="AH11" s="6"/>
    </row>
    <row r="12" spans="1:34" ht="150" customHeight="1" x14ac:dyDescent="0.25">
      <c r="A12" s="4" t="s">
        <v>105</v>
      </c>
      <c r="B12" s="4" t="s">
        <v>65</v>
      </c>
      <c r="C12" s="4" t="s">
        <v>66</v>
      </c>
      <c r="D12" s="4" t="s">
        <v>93</v>
      </c>
      <c r="E12" s="4" t="s">
        <v>106</v>
      </c>
      <c r="F12" s="4" t="s">
        <v>107</v>
      </c>
      <c r="G12" s="4" t="s">
        <v>108</v>
      </c>
      <c r="H12" s="4" t="s">
        <v>109</v>
      </c>
      <c r="I12" s="5" t="s">
        <v>71</v>
      </c>
      <c r="J12" s="5" t="s">
        <v>89</v>
      </c>
      <c r="K12" s="5" t="s">
        <v>110</v>
      </c>
      <c r="L12" s="5">
        <f>COUNTIFS(Afirmaciones!$A$2:$A$401,$A12,Afirmaciones!$B$2:$B$401,$B12)</f>
        <v>3</v>
      </c>
      <c r="M12" s="5">
        <f>COUNTIFS(Hechos!$A$2:$A$201,$A12)</f>
        <v>3</v>
      </c>
      <c r="N12" s="5">
        <f>IF($B12="rag",SUMIFS(Hechos!$F$2:$F$201,Hechos!$A$2:$A$201,$A12),SUMIFS(Hechos!$G$2:$G$201,Hechos!$A$2:$A$201,$A12))</f>
        <v>2</v>
      </c>
      <c r="O12" s="5" t="str">
        <f t="shared" si="0"/>
        <v>2/3</v>
      </c>
      <c r="P12" s="5">
        <f>COUNTIFS(Afirmaciones!$A$2:$A$401,$A12,Afirmaciones!$B$2:$B$401,$B12,Afirmaciones!$E$2:$E$401,"hecho",Afirmaciones!$F$2:$F$401,"INCORRECTA")</f>
        <v>0</v>
      </c>
      <c r="Q12" s="5">
        <f>COUNTIFS(Afirmaciones!$A$2:$A$401,$A12,Afirmaciones!$B$2:$B$401,$B12,Afirmaciones!$E$2:$E$401,"abstencion",Afirmaciones!$F$2:$F$401,"INCORRECTA")</f>
        <v>1</v>
      </c>
      <c r="R12" s="5">
        <f>COUNTIFS(Afirmaciones!$A$2:$A$401,$A12,Afirmaciones!$B$2:$B$401,$B12,Afirmaciones!$E$2:$E$401,"hecho",Afirmaciones!$F$2:$F$401,"FUERA_REF",Afirmaciones!$H$2:$H$401,"no_resp")</f>
        <v>0</v>
      </c>
      <c r="S12" s="5">
        <f>COUNTIFS(Afirmaciones!$A$2:$A$401,$A12,Afirmaciones!$B$2:$B$401,$B12,Afirmaciones!$E$2:$E$401,"hecho",Afirmaciones!$F$2:$F$401,"FUERA_REF")</f>
        <v>0</v>
      </c>
      <c r="T12" s="5">
        <f>COUNTIFS(Afirmaciones!$A$2:$A$401,$A12,Afirmaciones!$B$2:$B$401,$B12,Afirmaciones!$E$2:$E$401,"hecho",Afirmaciones!$I$2:$I$401,"SIN-RESPALDO")</f>
        <v>0</v>
      </c>
      <c r="U12" s="5">
        <f>COUNTIFS(Afirmaciones!$A$2:$A$401,$A12,Afirmaciones!$B$2:$B$401,$B12,Afirmaciones!$E$2:$E$401,"hecho",Afirmaciones!$I$2:$I$401,"CITA-X")</f>
        <v>0</v>
      </c>
      <c r="V12" s="5">
        <f>COUNTIFS(Afirmaciones!$A$2:$A$401,$A12,Afirmaciones!$B$2:$B$401,$B12,Afirmaciones!$E$2:$E$401,"hecho",Afirmaciones!$I$2:$I$401,"SIN-CITA")</f>
        <v>0</v>
      </c>
      <c r="W12" s="5">
        <f>COUNTIFS(Afirmaciones!$A$2:$A$401,$A12,Afirmaciones!$B$2:$B$401,$B12,Afirmaciones!$E$2:$E$401,"hecho")</f>
        <v>1</v>
      </c>
      <c r="X12" s="5">
        <f>COUNTIFS(Afirmaciones!$A$2:$A$401,$A12,Afirmaciones!$B$2:$B$401,$B12,Afirmaciones!$E$2:$E$401,"hecho",Afirmaciones!$I$2:$I$401,"SOSTENIDA")</f>
        <v>1</v>
      </c>
      <c r="Y12" s="5">
        <f t="shared" si="1"/>
        <v>1</v>
      </c>
      <c r="Z12" s="5">
        <f t="shared" si="2"/>
        <v>2</v>
      </c>
      <c r="AA12" s="5" t="str">
        <f t="shared" si="3"/>
        <v>CRITICA</v>
      </c>
      <c r="AB12" s="5" t="str">
        <f t="shared" si="4"/>
        <v>E2</v>
      </c>
      <c r="AC12" s="5" t="str">
        <f t="shared" si="5"/>
        <v>E2</v>
      </c>
      <c r="AD12" s="5" t="str">
        <f t="shared" si="6"/>
        <v>1/1</v>
      </c>
      <c r="AE12" s="5" t="str">
        <f>IF(OR($L12=0,$B12&lt;&gt;"rag",$M12=0),"-",SUMIFS(Hechos!$H$2:$H$201,Hechos!$A$2:$A$201,$A12)&amp;"/"&amp;$M12)</f>
        <v>2/3</v>
      </c>
      <c r="AF12" s="5">
        <f>IF($B12="rag",SUMPRODUCT((Hechos!$A$2:$A$201=$A12)*(Hechos!$F$2:$F$201=0)*((Hechos!$E$2:$E$201="NO")+(Hechos!$E$2:$E$201="ALT-P")+(Hechos!$E$2:$E$201=""))),0)</f>
        <v>0</v>
      </c>
      <c r="AG12" s="5">
        <f>IF($B12="rag",SUMPRODUCT((Hechos!$A$2:$A$201=$A12)*(Hechos!$F$2:$F$201=0)*((Hechos!$E$2:$E$201="SI")+(Hechos!$E$2:$E$201="ALT"))),$M12-$N12)</f>
        <v>1</v>
      </c>
      <c r="AH12" s="6"/>
    </row>
    <row r="13" spans="1:34" ht="150" customHeight="1" x14ac:dyDescent="0.25">
      <c r="A13" s="4" t="s">
        <v>105</v>
      </c>
      <c r="B13" s="4" t="s">
        <v>74</v>
      </c>
      <c r="C13" s="4" t="s">
        <v>66</v>
      </c>
      <c r="D13" s="4" t="s">
        <v>93</v>
      </c>
      <c r="E13" s="4" t="s">
        <v>106</v>
      </c>
      <c r="F13" s="4" t="s">
        <v>107</v>
      </c>
      <c r="G13" s="4" t="s">
        <v>108</v>
      </c>
      <c r="H13" s="4" t="s">
        <v>111</v>
      </c>
      <c r="I13" s="5" t="s">
        <v>71</v>
      </c>
      <c r="J13" s="5"/>
      <c r="K13" s="5"/>
      <c r="L13" s="5">
        <f>COUNTIFS(Afirmaciones!$A$2:$A$401,$A13,Afirmaciones!$B$2:$B$401,$B13)</f>
        <v>2</v>
      </c>
      <c r="M13" s="5">
        <f>COUNTIFS(Hechos!$A$2:$A$201,$A13)</f>
        <v>3</v>
      </c>
      <c r="N13" s="5">
        <f>IF($B13="rag",SUMIFS(Hechos!$F$2:$F$201,Hechos!$A$2:$A$201,$A13),SUMIFS(Hechos!$G$2:$G$201,Hechos!$A$2:$A$201,$A13))</f>
        <v>0</v>
      </c>
      <c r="O13" s="5" t="str">
        <f t="shared" si="0"/>
        <v>0/3</v>
      </c>
      <c r="P13" s="5">
        <f>COUNTIFS(Afirmaciones!$A$2:$A$401,$A13,Afirmaciones!$B$2:$B$401,$B13,Afirmaciones!$E$2:$E$401,"hecho",Afirmaciones!$F$2:$F$401,"INCORRECTA")</f>
        <v>0</v>
      </c>
      <c r="Q13" s="5">
        <f>COUNTIFS(Afirmaciones!$A$2:$A$401,$A13,Afirmaciones!$B$2:$B$401,$B13,Afirmaciones!$E$2:$E$401,"abstencion",Afirmaciones!$F$2:$F$401,"INCORRECTA")</f>
        <v>1</v>
      </c>
      <c r="R13" s="5">
        <f>COUNTIFS(Afirmaciones!$A$2:$A$401,$A13,Afirmaciones!$B$2:$B$401,$B13,Afirmaciones!$E$2:$E$401,"hecho",Afirmaciones!$F$2:$F$401,"FUERA_REF",Afirmaciones!$H$2:$H$401,"no_resp")</f>
        <v>0</v>
      </c>
      <c r="S13" s="5">
        <f>COUNTIFS(Afirmaciones!$A$2:$A$401,$A13,Afirmaciones!$B$2:$B$401,$B13,Afirmaciones!$E$2:$E$401,"hecho",Afirmaciones!$F$2:$F$401,"FUERA_REF")</f>
        <v>0</v>
      </c>
      <c r="T13" s="5">
        <f>COUNTIFS(Afirmaciones!$A$2:$A$401,$A13,Afirmaciones!$B$2:$B$401,$B13,Afirmaciones!$E$2:$E$401,"hecho",Afirmaciones!$I$2:$I$401,"SIN-RESPALDO")</f>
        <v>0</v>
      </c>
      <c r="U13" s="5">
        <f>COUNTIFS(Afirmaciones!$A$2:$A$401,$A13,Afirmaciones!$B$2:$B$401,$B13,Afirmaciones!$E$2:$E$401,"hecho",Afirmaciones!$I$2:$I$401,"CITA-X")</f>
        <v>0</v>
      </c>
      <c r="V13" s="5">
        <f>COUNTIFS(Afirmaciones!$A$2:$A$401,$A13,Afirmaciones!$B$2:$B$401,$B13,Afirmaciones!$E$2:$E$401,"hecho",Afirmaciones!$I$2:$I$401,"SIN-CITA")</f>
        <v>0</v>
      </c>
      <c r="W13" s="5">
        <f>COUNTIFS(Afirmaciones!$A$2:$A$401,$A13,Afirmaciones!$B$2:$B$401,$B13,Afirmaciones!$E$2:$E$401,"hecho")</f>
        <v>1</v>
      </c>
      <c r="X13" s="5">
        <f>COUNTIFS(Afirmaciones!$A$2:$A$401,$A13,Afirmaciones!$B$2:$B$401,$B13,Afirmaciones!$E$2:$E$401,"hecho",Afirmaciones!$I$2:$I$401,"SOSTENIDA")</f>
        <v>0</v>
      </c>
      <c r="Y13" s="5">
        <f t="shared" si="1"/>
        <v>0</v>
      </c>
      <c r="Z13" s="5" t="str">
        <f t="shared" si="2"/>
        <v>N/A</v>
      </c>
      <c r="AA13" s="5" t="str">
        <f t="shared" si="3"/>
        <v>CRITICA</v>
      </c>
      <c r="AB13" s="5" t="str">
        <f t="shared" si="4"/>
        <v>E2</v>
      </c>
      <c r="AC13" s="5" t="str">
        <f t="shared" si="5"/>
        <v>E2</v>
      </c>
      <c r="AD13" s="5" t="str">
        <f t="shared" si="6"/>
        <v>-</v>
      </c>
      <c r="AE13" s="5" t="str">
        <f>IF(OR($L13=0,$B13&lt;&gt;"rag",$M13=0),"-",SUMIFS(Hechos!$H$2:$H$201,Hechos!$A$2:$A$201,$A13)&amp;"/"&amp;$M13)</f>
        <v>-</v>
      </c>
      <c r="AF13" s="5">
        <f>IF($B13="rag",SUMPRODUCT((Hechos!$A$2:$A$201=$A13)*(Hechos!$F$2:$F$201=0)*((Hechos!$E$2:$E$201="NO")+(Hechos!$E$2:$E$201="ALT-P")+(Hechos!$E$2:$E$201=""))),0)</f>
        <v>0</v>
      </c>
      <c r="AG13" s="5">
        <f>IF($B13="rag",SUMPRODUCT((Hechos!$A$2:$A$201=$A13)*(Hechos!$F$2:$F$201=0)*((Hechos!$E$2:$E$201="SI")+(Hechos!$E$2:$E$201="ALT"))),$M13-$N13)</f>
        <v>3</v>
      </c>
      <c r="AH13" s="6"/>
    </row>
    <row r="14" spans="1:34" ht="150" customHeight="1" x14ac:dyDescent="0.25">
      <c r="A14" s="4" t="s">
        <v>112</v>
      </c>
      <c r="B14" s="4" t="s">
        <v>65</v>
      </c>
      <c r="C14" s="4" t="s">
        <v>78</v>
      </c>
      <c r="D14" s="4" t="s">
        <v>67</v>
      </c>
      <c r="E14" s="4" t="s">
        <v>113</v>
      </c>
      <c r="F14" s="4" t="s">
        <v>114</v>
      </c>
      <c r="G14" s="4"/>
      <c r="H14" s="4" t="s">
        <v>115</v>
      </c>
      <c r="I14" s="5" t="s">
        <v>71</v>
      </c>
      <c r="J14" s="5" t="s">
        <v>89</v>
      </c>
      <c r="K14" s="5" t="s">
        <v>110</v>
      </c>
      <c r="L14" s="5">
        <f>COUNTIFS(Afirmaciones!$A$2:$A$401,$A14,Afirmaciones!$B$2:$B$401,$B14)</f>
        <v>0</v>
      </c>
      <c r="M14" s="5">
        <f>COUNTIFS(Hechos!$A$2:$A$201,$A14)</f>
        <v>3</v>
      </c>
      <c r="N14" s="5">
        <f>IF($B14="rag",SUMIFS(Hechos!$F$2:$F$201,Hechos!$A$2:$A$201,$A14),SUMIFS(Hechos!$G$2:$G$201,Hechos!$A$2:$A$201,$A14))</f>
        <v>0</v>
      </c>
      <c r="O14" s="5" t="str">
        <f t="shared" si="0"/>
        <v>0/3</v>
      </c>
      <c r="P14" s="5">
        <f>COUNTIFS(Afirmaciones!$A$2:$A$401,$A14,Afirmaciones!$B$2:$B$401,$B14,Afirmaciones!$E$2:$E$401,"hecho",Afirmaciones!$F$2:$F$401,"INCORRECTA")</f>
        <v>0</v>
      </c>
      <c r="Q14" s="5">
        <f>COUNTIFS(Afirmaciones!$A$2:$A$401,$A14,Afirmaciones!$B$2:$B$401,$B14,Afirmaciones!$E$2:$E$401,"abstencion",Afirmaciones!$F$2:$F$401,"INCORRECTA")</f>
        <v>0</v>
      </c>
      <c r="R14" s="5">
        <f>COUNTIFS(Afirmaciones!$A$2:$A$401,$A14,Afirmaciones!$B$2:$B$401,$B14,Afirmaciones!$E$2:$E$401,"hecho",Afirmaciones!$F$2:$F$401,"FUERA_REF",Afirmaciones!$H$2:$H$401,"no_resp")</f>
        <v>0</v>
      </c>
      <c r="S14" s="5">
        <f>COUNTIFS(Afirmaciones!$A$2:$A$401,$A14,Afirmaciones!$B$2:$B$401,$B14,Afirmaciones!$E$2:$E$401,"hecho",Afirmaciones!$F$2:$F$401,"FUERA_REF")</f>
        <v>0</v>
      </c>
      <c r="T14" s="5">
        <f>COUNTIFS(Afirmaciones!$A$2:$A$401,$A14,Afirmaciones!$B$2:$B$401,$B14,Afirmaciones!$E$2:$E$401,"hecho",Afirmaciones!$I$2:$I$401,"SIN-RESPALDO")</f>
        <v>0</v>
      </c>
      <c r="U14" s="5">
        <f>COUNTIFS(Afirmaciones!$A$2:$A$401,$A14,Afirmaciones!$B$2:$B$401,$B14,Afirmaciones!$E$2:$E$401,"hecho",Afirmaciones!$I$2:$I$401,"CITA-X")</f>
        <v>0</v>
      </c>
      <c r="V14" s="5">
        <f>COUNTIFS(Afirmaciones!$A$2:$A$401,$A14,Afirmaciones!$B$2:$B$401,$B14,Afirmaciones!$E$2:$E$401,"hecho",Afirmaciones!$I$2:$I$401,"SIN-CITA")</f>
        <v>0</v>
      </c>
      <c r="W14" s="5">
        <f>COUNTIFS(Afirmaciones!$A$2:$A$401,$A14,Afirmaciones!$B$2:$B$401,$B14,Afirmaciones!$E$2:$E$401,"hecho")</f>
        <v>0</v>
      </c>
      <c r="X14" s="5">
        <f>COUNTIFS(Afirmaciones!$A$2:$A$401,$A14,Afirmaciones!$B$2:$B$401,$B14,Afirmaciones!$E$2:$E$401,"hecho",Afirmaciones!$I$2:$I$401,"SOSTENIDA")</f>
        <v>0</v>
      </c>
      <c r="Y14" s="5" t="str">
        <f t="shared" si="1"/>
        <v/>
      </c>
      <c r="Z14" s="5" t="str">
        <f t="shared" si="2"/>
        <v/>
      </c>
      <c r="AA14" s="5" t="str">
        <f t="shared" si="3"/>
        <v/>
      </c>
      <c r="AB14" s="5" t="str">
        <f t="shared" si="4"/>
        <v/>
      </c>
      <c r="AC14" s="5" t="str">
        <f t="shared" si="5"/>
        <v/>
      </c>
      <c r="AD14" s="5" t="str">
        <f t="shared" si="6"/>
        <v>-</v>
      </c>
      <c r="AE14" s="5" t="str">
        <f>IF(OR($L14=0,$B14&lt;&gt;"rag",$M14=0),"-",SUMIFS(Hechos!$H$2:$H$201,Hechos!$A$2:$A$201,$A14)&amp;"/"&amp;$M14)</f>
        <v>-</v>
      </c>
      <c r="AF14" s="5">
        <f>IF($B14="rag",SUMPRODUCT((Hechos!$A$2:$A$201=$A14)*(Hechos!$F$2:$F$201=0)*((Hechos!$E$2:$E$201="NO")+(Hechos!$E$2:$E$201="ALT-P")+(Hechos!$E$2:$E$201=""))),0)</f>
        <v>0</v>
      </c>
      <c r="AG14" s="5">
        <f>IF($B14="rag",SUMPRODUCT((Hechos!$A$2:$A$201=$A14)*(Hechos!$F$2:$F$201=0)*((Hechos!$E$2:$E$201="SI")+(Hechos!$E$2:$E$201="ALT"))),$M14-$N14)</f>
        <v>0</v>
      </c>
      <c r="AH14" s="6"/>
    </row>
    <row r="15" spans="1:34" ht="150" customHeight="1" x14ac:dyDescent="0.25">
      <c r="A15" s="4" t="s">
        <v>112</v>
      </c>
      <c r="B15" s="4" t="s">
        <v>74</v>
      </c>
      <c r="C15" s="4" t="s">
        <v>78</v>
      </c>
      <c r="D15" s="4" t="s">
        <v>67</v>
      </c>
      <c r="E15" s="4" t="s">
        <v>113</v>
      </c>
      <c r="F15" s="4" t="s">
        <v>114</v>
      </c>
      <c r="G15" s="4"/>
      <c r="H15" s="4" t="s">
        <v>116</v>
      </c>
      <c r="I15" s="5" t="s">
        <v>71</v>
      </c>
      <c r="J15" s="5"/>
      <c r="K15" s="5"/>
      <c r="L15" s="5">
        <f>COUNTIFS(Afirmaciones!$A$2:$A$401,$A15,Afirmaciones!$B$2:$B$401,$B15)</f>
        <v>0</v>
      </c>
      <c r="M15" s="5">
        <f>COUNTIFS(Hechos!$A$2:$A$201,$A15)</f>
        <v>3</v>
      </c>
      <c r="N15" s="5">
        <f>IF($B15="rag",SUMIFS(Hechos!$F$2:$F$201,Hechos!$A$2:$A$201,$A15),SUMIFS(Hechos!$G$2:$G$201,Hechos!$A$2:$A$201,$A15))</f>
        <v>0</v>
      </c>
      <c r="O15" s="5" t="str">
        <f t="shared" si="0"/>
        <v>0/3</v>
      </c>
      <c r="P15" s="5">
        <f>COUNTIFS(Afirmaciones!$A$2:$A$401,$A15,Afirmaciones!$B$2:$B$401,$B15,Afirmaciones!$E$2:$E$401,"hecho",Afirmaciones!$F$2:$F$401,"INCORRECTA")</f>
        <v>0</v>
      </c>
      <c r="Q15" s="5">
        <f>COUNTIFS(Afirmaciones!$A$2:$A$401,$A15,Afirmaciones!$B$2:$B$401,$B15,Afirmaciones!$E$2:$E$401,"abstencion",Afirmaciones!$F$2:$F$401,"INCORRECTA")</f>
        <v>0</v>
      </c>
      <c r="R15" s="5">
        <f>COUNTIFS(Afirmaciones!$A$2:$A$401,$A15,Afirmaciones!$B$2:$B$401,$B15,Afirmaciones!$E$2:$E$401,"hecho",Afirmaciones!$F$2:$F$401,"FUERA_REF",Afirmaciones!$H$2:$H$401,"no_resp")</f>
        <v>0</v>
      </c>
      <c r="S15" s="5">
        <f>COUNTIFS(Afirmaciones!$A$2:$A$401,$A15,Afirmaciones!$B$2:$B$401,$B15,Afirmaciones!$E$2:$E$401,"hecho",Afirmaciones!$F$2:$F$401,"FUERA_REF")</f>
        <v>0</v>
      </c>
      <c r="T15" s="5">
        <f>COUNTIFS(Afirmaciones!$A$2:$A$401,$A15,Afirmaciones!$B$2:$B$401,$B15,Afirmaciones!$E$2:$E$401,"hecho",Afirmaciones!$I$2:$I$401,"SIN-RESPALDO")</f>
        <v>0</v>
      </c>
      <c r="U15" s="5">
        <f>COUNTIFS(Afirmaciones!$A$2:$A$401,$A15,Afirmaciones!$B$2:$B$401,$B15,Afirmaciones!$E$2:$E$401,"hecho",Afirmaciones!$I$2:$I$401,"CITA-X")</f>
        <v>0</v>
      </c>
      <c r="V15" s="5">
        <f>COUNTIFS(Afirmaciones!$A$2:$A$401,$A15,Afirmaciones!$B$2:$B$401,$B15,Afirmaciones!$E$2:$E$401,"hecho",Afirmaciones!$I$2:$I$401,"SIN-CITA")</f>
        <v>0</v>
      </c>
      <c r="W15" s="5">
        <f>COUNTIFS(Afirmaciones!$A$2:$A$401,$A15,Afirmaciones!$B$2:$B$401,$B15,Afirmaciones!$E$2:$E$401,"hecho")</f>
        <v>0</v>
      </c>
      <c r="X15" s="5">
        <f>COUNTIFS(Afirmaciones!$A$2:$A$401,$A15,Afirmaciones!$B$2:$B$401,$B15,Afirmaciones!$E$2:$E$401,"hecho",Afirmaciones!$I$2:$I$401,"SOSTENIDA")</f>
        <v>0</v>
      </c>
      <c r="Y15" s="5" t="str">
        <f t="shared" si="1"/>
        <v/>
      </c>
      <c r="Z15" s="5" t="str">
        <f t="shared" si="2"/>
        <v/>
      </c>
      <c r="AA15" s="5" t="str">
        <f t="shared" si="3"/>
        <v/>
      </c>
      <c r="AB15" s="5" t="str">
        <f t="shared" si="4"/>
        <v/>
      </c>
      <c r="AC15" s="5" t="str">
        <f t="shared" si="5"/>
        <v/>
      </c>
      <c r="AD15" s="5" t="str">
        <f t="shared" si="6"/>
        <v>-</v>
      </c>
      <c r="AE15" s="5" t="str">
        <f>IF(OR($L15=0,$B15&lt;&gt;"rag",$M15=0),"-",SUMIFS(Hechos!$H$2:$H$201,Hechos!$A$2:$A$201,$A15)&amp;"/"&amp;$M15)</f>
        <v>-</v>
      </c>
      <c r="AF15" s="5">
        <f>IF($B15="rag",SUMPRODUCT((Hechos!$A$2:$A$201=$A15)*(Hechos!$F$2:$F$201=0)*((Hechos!$E$2:$E$201="NO")+(Hechos!$E$2:$E$201="ALT-P")+(Hechos!$E$2:$E$201=""))),0)</f>
        <v>0</v>
      </c>
      <c r="AG15" s="5">
        <f>IF($B15="rag",SUMPRODUCT((Hechos!$A$2:$A$201=$A15)*(Hechos!$F$2:$F$201=0)*((Hechos!$E$2:$E$201="SI")+(Hechos!$E$2:$E$201="ALT"))),$M15-$N15)</f>
        <v>3</v>
      </c>
      <c r="AH15" s="6"/>
    </row>
    <row r="16" spans="1:34" ht="150" customHeight="1" x14ac:dyDescent="0.25">
      <c r="A16" s="4" t="s">
        <v>117</v>
      </c>
      <c r="B16" s="4" t="s">
        <v>65</v>
      </c>
      <c r="C16" s="4" t="s">
        <v>66</v>
      </c>
      <c r="D16" s="4" t="s">
        <v>93</v>
      </c>
      <c r="E16" s="4" t="s">
        <v>118</v>
      </c>
      <c r="F16" s="4" t="s">
        <v>119</v>
      </c>
      <c r="G16" s="4" t="s">
        <v>120</v>
      </c>
      <c r="H16" s="4" t="s">
        <v>121</v>
      </c>
      <c r="I16" s="5" t="s">
        <v>71</v>
      </c>
      <c r="J16" s="5" t="s">
        <v>72</v>
      </c>
      <c r="K16" s="5" t="s">
        <v>122</v>
      </c>
      <c r="L16" s="5">
        <f>COUNTIFS(Afirmaciones!$A$2:$A$401,$A16,Afirmaciones!$B$2:$B$401,$B16)</f>
        <v>0</v>
      </c>
      <c r="M16" s="5">
        <f>COUNTIFS(Hechos!$A$2:$A$201,$A16)</f>
        <v>3</v>
      </c>
      <c r="N16" s="5">
        <f>IF($B16="rag",SUMIFS(Hechos!$F$2:$F$201,Hechos!$A$2:$A$201,$A16),SUMIFS(Hechos!$G$2:$G$201,Hechos!$A$2:$A$201,$A16))</f>
        <v>0</v>
      </c>
      <c r="O16" s="5" t="str">
        <f t="shared" si="0"/>
        <v>0/3</v>
      </c>
      <c r="P16" s="5">
        <f>COUNTIFS(Afirmaciones!$A$2:$A$401,$A16,Afirmaciones!$B$2:$B$401,$B16,Afirmaciones!$E$2:$E$401,"hecho",Afirmaciones!$F$2:$F$401,"INCORRECTA")</f>
        <v>0</v>
      </c>
      <c r="Q16" s="5">
        <f>COUNTIFS(Afirmaciones!$A$2:$A$401,$A16,Afirmaciones!$B$2:$B$401,$B16,Afirmaciones!$E$2:$E$401,"abstencion",Afirmaciones!$F$2:$F$401,"INCORRECTA")</f>
        <v>0</v>
      </c>
      <c r="R16" s="5">
        <f>COUNTIFS(Afirmaciones!$A$2:$A$401,$A16,Afirmaciones!$B$2:$B$401,$B16,Afirmaciones!$E$2:$E$401,"hecho",Afirmaciones!$F$2:$F$401,"FUERA_REF",Afirmaciones!$H$2:$H$401,"no_resp")</f>
        <v>0</v>
      </c>
      <c r="S16" s="5">
        <f>COUNTIFS(Afirmaciones!$A$2:$A$401,$A16,Afirmaciones!$B$2:$B$401,$B16,Afirmaciones!$E$2:$E$401,"hecho",Afirmaciones!$F$2:$F$401,"FUERA_REF")</f>
        <v>0</v>
      </c>
      <c r="T16" s="5">
        <f>COUNTIFS(Afirmaciones!$A$2:$A$401,$A16,Afirmaciones!$B$2:$B$401,$B16,Afirmaciones!$E$2:$E$401,"hecho",Afirmaciones!$I$2:$I$401,"SIN-RESPALDO")</f>
        <v>0</v>
      </c>
      <c r="U16" s="5">
        <f>COUNTIFS(Afirmaciones!$A$2:$A$401,$A16,Afirmaciones!$B$2:$B$401,$B16,Afirmaciones!$E$2:$E$401,"hecho",Afirmaciones!$I$2:$I$401,"CITA-X")</f>
        <v>0</v>
      </c>
      <c r="V16" s="5">
        <f>COUNTIFS(Afirmaciones!$A$2:$A$401,$A16,Afirmaciones!$B$2:$B$401,$B16,Afirmaciones!$E$2:$E$401,"hecho",Afirmaciones!$I$2:$I$401,"SIN-CITA")</f>
        <v>0</v>
      </c>
      <c r="W16" s="5">
        <f>COUNTIFS(Afirmaciones!$A$2:$A$401,$A16,Afirmaciones!$B$2:$B$401,$B16,Afirmaciones!$E$2:$E$401,"hecho")</f>
        <v>0</v>
      </c>
      <c r="X16" s="5">
        <f>COUNTIFS(Afirmaciones!$A$2:$A$401,$A16,Afirmaciones!$B$2:$B$401,$B16,Afirmaciones!$E$2:$E$401,"hecho",Afirmaciones!$I$2:$I$401,"SOSTENIDA")</f>
        <v>0</v>
      </c>
      <c r="Y16" s="5" t="str">
        <f t="shared" si="1"/>
        <v/>
      </c>
      <c r="Z16" s="5" t="str">
        <f t="shared" si="2"/>
        <v/>
      </c>
      <c r="AA16" s="5" t="str">
        <f t="shared" si="3"/>
        <v/>
      </c>
      <c r="AB16" s="5" t="str">
        <f t="shared" si="4"/>
        <v/>
      </c>
      <c r="AC16" s="5" t="str">
        <f t="shared" si="5"/>
        <v/>
      </c>
      <c r="AD16" s="5" t="str">
        <f t="shared" si="6"/>
        <v>-</v>
      </c>
      <c r="AE16" s="5" t="str">
        <f>IF(OR($L16=0,$B16&lt;&gt;"rag",$M16=0),"-",SUMIFS(Hechos!$H$2:$H$201,Hechos!$A$2:$A$201,$A16)&amp;"/"&amp;$M16)</f>
        <v>-</v>
      </c>
      <c r="AF16" s="5">
        <f>IF($B16="rag",SUMPRODUCT((Hechos!$A$2:$A$201=$A16)*(Hechos!$F$2:$F$201=0)*((Hechos!$E$2:$E$201="NO")+(Hechos!$E$2:$E$201="ALT-P")+(Hechos!$E$2:$E$201=""))),0)</f>
        <v>0</v>
      </c>
      <c r="AG16" s="5">
        <f>IF($B16="rag",SUMPRODUCT((Hechos!$A$2:$A$201=$A16)*(Hechos!$F$2:$F$201=0)*((Hechos!$E$2:$E$201="SI")+(Hechos!$E$2:$E$201="ALT"))),$M16-$N16)</f>
        <v>0</v>
      </c>
      <c r="AH16" s="6"/>
    </row>
    <row r="17" spans="1:34" ht="150" customHeight="1" x14ac:dyDescent="0.25">
      <c r="A17" s="4" t="s">
        <v>117</v>
      </c>
      <c r="B17" s="4" t="s">
        <v>74</v>
      </c>
      <c r="C17" s="4" t="s">
        <v>66</v>
      </c>
      <c r="D17" s="4" t="s">
        <v>93</v>
      </c>
      <c r="E17" s="4" t="s">
        <v>118</v>
      </c>
      <c r="F17" s="4" t="s">
        <v>119</v>
      </c>
      <c r="G17" s="4" t="s">
        <v>120</v>
      </c>
      <c r="H17" s="4" t="s">
        <v>123</v>
      </c>
      <c r="I17" s="5" t="s">
        <v>71</v>
      </c>
      <c r="J17" s="5"/>
      <c r="K17" s="5"/>
      <c r="L17" s="5">
        <f>COUNTIFS(Afirmaciones!$A$2:$A$401,$A17,Afirmaciones!$B$2:$B$401,$B17)</f>
        <v>0</v>
      </c>
      <c r="M17" s="5">
        <f>COUNTIFS(Hechos!$A$2:$A$201,$A17)</f>
        <v>3</v>
      </c>
      <c r="N17" s="5">
        <f>IF($B17="rag",SUMIFS(Hechos!$F$2:$F$201,Hechos!$A$2:$A$201,$A17),SUMIFS(Hechos!$G$2:$G$201,Hechos!$A$2:$A$201,$A17))</f>
        <v>0</v>
      </c>
      <c r="O17" s="5" t="str">
        <f t="shared" si="0"/>
        <v>0/3</v>
      </c>
      <c r="P17" s="5">
        <f>COUNTIFS(Afirmaciones!$A$2:$A$401,$A17,Afirmaciones!$B$2:$B$401,$B17,Afirmaciones!$E$2:$E$401,"hecho",Afirmaciones!$F$2:$F$401,"INCORRECTA")</f>
        <v>0</v>
      </c>
      <c r="Q17" s="5">
        <f>COUNTIFS(Afirmaciones!$A$2:$A$401,$A17,Afirmaciones!$B$2:$B$401,$B17,Afirmaciones!$E$2:$E$401,"abstencion",Afirmaciones!$F$2:$F$401,"INCORRECTA")</f>
        <v>0</v>
      </c>
      <c r="R17" s="5">
        <f>COUNTIFS(Afirmaciones!$A$2:$A$401,$A17,Afirmaciones!$B$2:$B$401,$B17,Afirmaciones!$E$2:$E$401,"hecho",Afirmaciones!$F$2:$F$401,"FUERA_REF",Afirmaciones!$H$2:$H$401,"no_resp")</f>
        <v>0</v>
      </c>
      <c r="S17" s="5">
        <f>COUNTIFS(Afirmaciones!$A$2:$A$401,$A17,Afirmaciones!$B$2:$B$401,$B17,Afirmaciones!$E$2:$E$401,"hecho",Afirmaciones!$F$2:$F$401,"FUERA_REF")</f>
        <v>0</v>
      </c>
      <c r="T17" s="5">
        <f>COUNTIFS(Afirmaciones!$A$2:$A$401,$A17,Afirmaciones!$B$2:$B$401,$B17,Afirmaciones!$E$2:$E$401,"hecho",Afirmaciones!$I$2:$I$401,"SIN-RESPALDO")</f>
        <v>0</v>
      </c>
      <c r="U17" s="5">
        <f>COUNTIFS(Afirmaciones!$A$2:$A$401,$A17,Afirmaciones!$B$2:$B$401,$B17,Afirmaciones!$E$2:$E$401,"hecho",Afirmaciones!$I$2:$I$401,"CITA-X")</f>
        <v>0</v>
      </c>
      <c r="V17" s="5">
        <f>COUNTIFS(Afirmaciones!$A$2:$A$401,$A17,Afirmaciones!$B$2:$B$401,$B17,Afirmaciones!$E$2:$E$401,"hecho",Afirmaciones!$I$2:$I$401,"SIN-CITA")</f>
        <v>0</v>
      </c>
      <c r="W17" s="5">
        <f>COUNTIFS(Afirmaciones!$A$2:$A$401,$A17,Afirmaciones!$B$2:$B$401,$B17,Afirmaciones!$E$2:$E$401,"hecho")</f>
        <v>0</v>
      </c>
      <c r="X17" s="5">
        <f>COUNTIFS(Afirmaciones!$A$2:$A$401,$A17,Afirmaciones!$B$2:$B$401,$B17,Afirmaciones!$E$2:$E$401,"hecho",Afirmaciones!$I$2:$I$401,"SOSTENIDA")</f>
        <v>0</v>
      </c>
      <c r="Y17" s="5" t="str">
        <f t="shared" si="1"/>
        <v/>
      </c>
      <c r="Z17" s="5" t="str">
        <f t="shared" si="2"/>
        <v/>
      </c>
      <c r="AA17" s="5" t="str">
        <f t="shared" si="3"/>
        <v/>
      </c>
      <c r="AB17" s="5" t="str">
        <f t="shared" si="4"/>
        <v/>
      </c>
      <c r="AC17" s="5" t="str">
        <f t="shared" si="5"/>
        <v/>
      </c>
      <c r="AD17" s="5" t="str">
        <f t="shared" si="6"/>
        <v>-</v>
      </c>
      <c r="AE17" s="5" t="str">
        <f>IF(OR($L17=0,$B17&lt;&gt;"rag",$M17=0),"-",SUMIFS(Hechos!$H$2:$H$201,Hechos!$A$2:$A$201,$A17)&amp;"/"&amp;$M17)</f>
        <v>-</v>
      </c>
      <c r="AF17" s="5">
        <f>IF($B17="rag",SUMPRODUCT((Hechos!$A$2:$A$201=$A17)*(Hechos!$F$2:$F$201=0)*((Hechos!$E$2:$E$201="NO")+(Hechos!$E$2:$E$201="ALT-P")+(Hechos!$E$2:$E$201=""))),0)</f>
        <v>0</v>
      </c>
      <c r="AG17" s="5">
        <f>IF($B17="rag",SUMPRODUCT((Hechos!$A$2:$A$201=$A17)*(Hechos!$F$2:$F$201=0)*((Hechos!$E$2:$E$201="SI")+(Hechos!$E$2:$E$201="ALT"))),$M17-$N17)</f>
        <v>3</v>
      </c>
      <c r="AH17" s="6"/>
    </row>
    <row r="18" spans="1:34" ht="150" customHeight="1" x14ac:dyDescent="0.25">
      <c r="A18" s="4" t="s">
        <v>124</v>
      </c>
      <c r="B18" s="4" t="s">
        <v>65</v>
      </c>
      <c r="C18" s="4" t="s">
        <v>78</v>
      </c>
      <c r="D18" s="4" t="s">
        <v>93</v>
      </c>
      <c r="E18" s="4" t="s">
        <v>125</v>
      </c>
      <c r="F18" s="4" t="s">
        <v>126</v>
      </c>
      <c r="G18" s="4" t="s">
        <v>127</v>
      </c>
      <c r="H18" s="4" t="s">
        <v>128</v>
      </c>
      <c r="I18" s="5" t="s">
        <v>71</v>
      </c>
      <c r="J18" s="5" t="s">
        <v>82</v>
      </c>
      <c r="K18" s="5" t="s">
        <v>129</v>
      </c>
      <c r="L18" s="5">
        <f>COUNTIFS(Afirmaciones!$A$2:$A$401,$A18,Afirmaciones!$B$2:$B$401,$B18)</f>
        <v>3</v>
      </c>
      <c r="M18" s="5">
        <f>COUNTIFS(Hechos!$A$2:$A$201,$A18)</f>
        <v>6</v>
      </c>
      <c r="N18" s="5">
        <f>IF($B18="rag",SUMIFS(Hechos!$F$2:$F$201,Hechos!$A$2:$A$201,$A18),SUMIFS(Hechos!$G$2:$G$201,Hechos!$A$2:$A$201,$A18))</f>
        <v>0</v>
      </c>
      <c r="O18" s="5" t="str">
        <f t="shared" si="0"/>
        <v>0/6</v>
      </c>
      <c r="P18" s="5">
        <f>COUNTIFS(Afirmaciones!$A$2:$A$401,$A18,Afirmaciones!$B$2:$B$401,$B18,Afirmaciones!$E$2:$E$401,"hecho",Afirmaciones!$F$2:$F$401,"INCORRECTA")</f>
        <v>0</v>
      </c>
      <c r="Q18" s="5">
        <f>COUNTIFS(Afirmaciones!$A$2:$A$401,$A18,Afirmaciones!$B$2:$B$401,$B18,Afirmaciones!$E$2:$E$401,"abstencion",Afirmaciones!$F$2:$F$401,"INCORRECTA")</f>
        <v>1</v>
      </c>
      <c r="R18" s="5">
        <f>COUNTIFS(Afirmaciones!$A$2:$A$401,$A18,Afirmaciones!$B$2:$B$401,$B18,Afirmaciones!$E$2:$E$401,"hecho",Afirmaciones!$F$2:$F$401,"FUERA_REF",Afirmaciones!$H$2:$H$401,"no_resp")</f>
        <v>0</v>
      </c>
      <c r="S18" s="5">
        <f>COUNTIFS(Afirmaciones!$A$2:$A$401,$A18,Afirmaciones!$B$2:$B$401,$B18,Afirmaciones!$E$2:$E$401,"hecho",Afirmaciones!$F$2:$F$401,"FUERA_REF")</f>
        <v>0</v>
      </c>
      <c r="T18" s="5">
        <f>COUNTIFS(Afirmaciones!$A$2:$A$401,$A18,Afirmaciones!$B$2:$B$401,$B18,Afirmaciones!$E$2:$E$401,"hecho",Afirmaciones!$I$2:$I$401,"SIN-RESPALDO")</f>
        <v>0</v>
      </c>
      <c r="U18" s="5">
        <f>COUNTIFS(Afirmaciones!$A$2:$A$401,$A18,Afirmaciones!$B$2:$B$401,$B18,Afirmaciones!$E$2:$E$401,"hecho",Afirmaciones!$I$2:$I$401,"CITA-X")</f>
        <v>0</v>
      </c>
      <c r="V18" s="5">
        <f>COUNTIFS(Afirmaciones!$A$2:$A$401,$A18,Afirmaciones!$B$2:$B$401,$B18,Afirmaciones!$E$2:$E$401,"hecho",Afirmaciones!$I$2:$I$401,"SIN-CITA")</f>
        <v>0</v>
      </c>
      <c r="W18" s="5">
        <f>COUNTIFS(Afirmaciones!$A$2:$A$401,$A18,Afirmaciones!$B$2:$B$401,$B18,Afirmaciones!$E$2:$E$401,"hecho")</f>
        <v>1</v>
      </c>
      <c r="X18" s="5">
        <f>COUNTIFS(Afirmaciones!$A$2:$A$401,$A18,Afirmaciones!$B$2:$B$401,$B18,Afirmaciones!$E$2:$E$401,"hecho",Afirmaciones!$I$2:$I$401,"SOSTENIDA")</f>
        <v>1</v>
      </c>
      <c r="Y18" s="5">
        <f t="shared" si="1"/>
        <v>0</v>
      </c>
      <c r="Z18" s="5">
        <f t="shared" si="2"/>
        <v>2</v>
      </c>
      <c r="AA18" s="5" t="str">
        <f t="shared" si="3"/>
        <v>CRITICA</v>
      </c>
      <c r="AB18" s="5" t="str">
        <f t="shared" si="4"/>
        <v>E1 E2</v>
      </c>
      <c r="AC18" s="5" t="str">
        <f t="shared" si="5"/>
        <v>E1</v>
      </c>
      <c r="AD18" s="5" t="str">
        <f t="shared" si="6"/>
        <v>1/1</v>
      </c>
      <c r="AE18" s="5" t="str">
        <f>IF(OR($L18=0,$B18&lt;&gt;"rag",$M18=0),"-",SUMIFS(Hechos!$H$2:$H$201,Hechos!$A$2:$A$201,$A18)&amp;"/"&amp;$M18)</f>
        <v>0/6</v>
      </c>
      <c r="AF18" s="5">
        <f>IF($B18="rag",SUMPRODUCT((Hechos!$A$2:$A$201=$A18)*(Hechos!$F$2:$F$201=0)*((Hechos!$E$2:$E$201="NO")+(Hechos!$E$2:$E$201="ALT-P")+(Hechos!$E$2:$E$201=""))),0)</f>
        <v>4</v>
      </c>
      <c r="AG18" s="5">
        <f>IF($B18="rag",SUMPRODUCT((Hechos!$A$2:$A$201=$A18)*(Hechos!$F$2:$F$201=0)*((Hechos!$E$2:$E$201="SI")+(Hechos!$E$2:$E$201="ALT"))),$M18-$N18)</f>
        <v>2</v>
      </c>
      <c r="AH18" s="6"/>
    </row>
    <row r="19" spans="1:34" ht="150" customHeight="1" x14ac:dyDescent="0.25">
      <c r="A19" s="4" t="s">
        <v>124</v>
      </c>
      <c r="B19" s="4" t="s">
        <v>74</v>
      </c>
      <c r="C19" s="4" t="s">
        <v>78</v>
      </c>
      <c r="D19" s="4" t="s">
        <v>93</v>
      </c>
      <c r="E19" s="4" t="s">
        <v>125</v>
      </c>
      <c r="F19" s="4" t="s">
        <v>126</v>
      </c>
      <c r="G19" s="4" t="s">
        <v>127</v>
      </c>
      <c r="H19" s="4" t="s">
        <v>130</v>
      </c>
      <c r="I19" s="5" t="s">
        <v>71</v>
      </c>
      <c r="J19" s="5"/>
      <c r="K19" s="5"/>
      <c r="L19" s="5">
        <f>COUNTIFS(Afirmaciones!$A$2:$A$401,$A19,Afirmaciones!$B$2:$B$401,$B19)</f>
        <v>6</v>
      </c>
      <c r="M19" s="5">
        <f>COUNTIFS(Hechos!$A$2:$A$201,$A19)</f>
        <v>6</v>
      </c>
      <c r="N19" s="5">
        <f>IF($B19="rag",SUMIFS(Hechos!$F$2:$F$201,Hechos!$A$2:$A$201,$A19),SUMIFS(Hechos!$G$2:$G$201,Hechos!$A$2:$A$201,$A19))</f>
        <v>2</v>
      </c>
      <c r="O19" s="5" t="str">
        <f t="shared" si="0"/>
        <v>2/6</v>
      </c>
      <c r="P19" s="5">
        <f>COUNTIFS(Afirmaciones!$A$2:$A$401,$A19,Afirmaciones!$B$2:$B$401,$B19,Afirmaciones!$E$2:$E$401,"hecho",Afirmaciones!$F$2:$F$401,"INCORRECTA")</f>
        <v>1</v>
      </c>
      <c r="Q19" s="5">
        <f>COUNTIFS(Afirmaciones!$A$2:$A$401,$A19,Afirmaciones!$B$2:$B$401,$B19,Afirmaciones!$E$2:$E$401,"abstencion",Afirmaciones!$F$2:$F$401,"INCORRECTA")</f>
        <v>0</v>
      </c>
      <c r="R19" s="5">
        <f>COUNTIFS(Afirmaciones!$A$2:$A$401,$A19,Afirmaciones!$B$2:$B$401,$B19,Afirmaciones!$E$2:$E$401,"hecho",Afirmaciones!$F$2:$F$401,"FUERA_REF",Afirmaciones!$H$2:$H$401,"no_resp")</f>
        <v>1</v>
      </c>
      <c r="S19" s="5">
        <f>COUNTIFS(Afirmaciones!$A$2:$A$401,$A19,Afirmaciones!$B$2:$B$401,$B19,Afirmaciones!$E$2:$E$401,"hecho",Afirmaciones!$F$2:$F$401,"FUERA_REF")</f>
        <v>2</v>
      </c>
      <c r="T19" s="5">
        <f>COUNTIFS(Afirmaciones!$A$2:$A$401,$A19,Afirmaciones!$B$2:$B$401,$B19,Afirmaciones!$E$2:$E$401,"hecho",Afirmaciones!$I$2:$I$401,"SIN-RESPALDO")</f>
        <v>0</v>
      </c>
      <c r="U19" s="5">
        <f>COUNTIFS(Afirmaciones!$A$2:$A$401,$A19,Afirmaciones!$B$2:$B$401,$B19,Afirmaciones!$E$2:$E$401,"hecho",Afirmaciones!$I$2:$I$401,"CITA-X")</f>
        <v>0</v>
      </c>
      <c r="V19" s="5">
        <f>COUNTIFS(Afirmaciones!$A$2:$A$401,$A19,Afirmaciones!$B$2:$B$401,$B19,Afirmaciones!$E$2:$E$401,"hecho",Afirmaciones!$I$2:$I$401,"SIN-CITA")</f>
        <v>0</v>
      </c>
      <c r="W19" s="5">
        <f>COUNTIFS(Afirmaciones!$A$2:$A$401,$A19,Afirmaciones!$B$2:$B$401,$B19,Afirmaciones!$E$2:$E$401,"hecho")</f>
        <v>6</v>
      </c>
      <c r="X19" s="5">
        <f>COUNTIFS(Afirmaciones!$A$2:$A$401,$A19,Afirmaciones!$B$2:$B$401,$B19,Afirmaciones!$E$2:$E$401,"hecho",Afirmaciones!$I$2:$I$401,"SOSTENIDA")</f>
        <v>0</v>
      </c>
      <c r="Y19" s="5">
        <f t="shared" si="1"/>
        <v>1</v>
      </c>
      <c r="Z19" s="5" t="str">
        <f t="shared" si="2"/>
        <v>N/A</v>
      </c>
      <c r="AA19" s="5" t="str">
        <f t="shared" si="3"/>
        <v>CRITICA</v>
      </c>
      <c r="AB19" s="5" t="str">
        <f t="shared" si="4"/>
        <v>E0 E2</v>
      </c>
      <c r="AC19" s="5" t="str">
        <f t="shared" si="5"/>
        <v>E0</v>
      </c>
      <c r="AD19" s="5" t="str">
        <f t="shared" si="6"/>
        <v>-</v>
      </c>
      <c r="AE19" s="5" t="str">
        <f>IF(OR($L19=0,$B19&lt;&gt;"rag",$M19=0),"-",SUMIFS(Hechos!$H$2:$H$201,Hechos!$A$2:$A$201,$A19)&amp;"/"&amp;$M19)</f>
        <v>-</v>
      </c>
      <c r="AF19" s="5">
        <f>IF($B19="rag",SUMPRODUCT((Hechos!$A$2:$A$201=$A19)*(Hechos!$F$2:$F$201=0)*((Hechos!$E$2:$E$201="NO")+(Hechos!$E$2:$E$201="ALT-P")+(Hechos!$E$2:$E$201=""))),0)</f>
        <v>0</v>
      </c>
      <c r="AG19" s="5">
        <f>IF($B19="rag",SUMPRODUCT((Hechos!$A$2:$A$201=$A19)*(Hechos!$F$2:$F$201=0)*((Hechos!$E$2:$E$201="SI")+(Hechos!$E$2:$E$201="ALT"))),$M19-$N19)</f>
        <v>4</v>
      </c>
      <c r="AH19" s="6"/>
    </row>
    <row r="20" spans="1:34" ht="150" customHeight="1" x14ac:dyDescent="0.25">
      <c r="A20" s="4" t="s">
        <v>131</v>
      </c>
      <c r="B20" s="4" t="s">
        <v>65</v>
      </c>
      <c r="C20" s="4" t="s">
        <v>66</v>
      </c>
      <c r="D20" s="4" t="s">
        <v>132</v>
      </c>
      <c r="E20" s="4" t="s">
        <v>133</v>
      </c>
      <c r="F20" s="4" t="s">
        <v>134</v>
      </c>
      <c r="G20" s="4" t="s">
        <v>135</v>
      </c>
      <c r="H20" s="4" t="s">
        <v>136</v>
      </c>
      <c r="I20" s="5" t="s">
        <v>71</v>
      </c>
      <c r="J20" s="5" t="s">
        <v>137</v>
      </c>
      <c r="K20" s="5" t="s">
        <v>138</v>
      </c>
      <c r="L20" s="5">
        <f>COUNTIFS(Afirmaciones!$A$2:$A$401,$A20,Afirmaciones!$B$2:$B$401,$B20)</f>
        <v>0</v>
      </c>
      <c r="M20" s="5">
        <f>COUNTIFS(Hechos!$A$2:$A$201,$A20)</f>
        <v>0</v>
      </c>
      <c r="N20" s="5">
        <f>IF($B20="rag",SUMIFS(Hechos!$F$2:$F$201,Hechos!$A$2:$A$201,$A20),SUMIFS(Hechos!$G$2:$G$201,Hechos!$A$2:$A$201,$A20))</f>
        <v>0</v>
      </c>
      <c r="O20" s="5" t="str">
        <f t="shared" si="0"/>
        <v>-</v>
      </c>
      <c r="P20" s="5">
        <f>COUNTIFS(Afirmaciones!$A$2:$A$401,$A20,Afirmaciones!$B$2:$B$401,$B20,Afirmaciones!$E$2:$E$401,"hecho",Afirmaciones!$F$2:$F$401,"INCORRECTA")</f>
        <v>0</v>
      </c>
      <c r="Q20" s="5">
        <f>COUNTIFS(Afirmaciones!$A$2:$A$401,$A20,Afirmaciones!$B$2:$B$401,$B20,Afirmaciones!$E$2:$E$401,"abstencion",Afirmaciones!$F$2:$F$401,"INCORRECTA")</f>
        <v>0</v>
      </c>
      <c r="R20" s="5">
        <f>COUNTIFS(Afirmaciones!$A$2:$A$401,$A20,Afirmaciones!$B$2:$B$401,$B20,Afirmaciones!$E$2:$E$401,"hecho",Afirmaciones!$F$2:$F$401,"FUERA_REF",Afirmaciones!$H$2:$H$401,"no_resp")</f>
        <v>0</v>
      </c>
      <c r="S20" s="5">
        <f>COUNTIFS(Afirmaciones!$A$2:$A$401,$A20,Afirmaciones!$B$2:$B$401,$B20,Afirmaciones!$E$2:$E$401,"hecho",Afirmaciones!$F$2:$F$401,"FUERA_REF")</f>
        <v>0</v>
      </c>
      <c r="T20" s="5">
        <f>COUNTIFS(Afirmaciones!$A$2:$A$401,$A20,Afirmaciones!$B$2:$B$401,$B20,Afirmaciones!$E$2:$E$401,"hecho",Afirmaciones!$I$2:$I$401,"SIN-RESPALDO")</f>
        <v>0</v>
      </c>
      <c r="U20" s="5">
        <f>COUNTIFS(Afirmaciones!$A$2:$A$401,$A20,Afirmaciones!$B$2:$B$401,$B20,Afirmaciones!$E$2:$E$401,"hecho",Afirmaciones!$I$2:$I$401,"CITA-X")</f>
        <v>0</v>
      </c>
      <c r="V20" s="5">
        <f>COUNTIFS(Afirmaciones!$A$2:$A$401,$A20,Afirmaciones!$B$2:$B$401,$B20,Afirmaciones!$E$2:$E$401,"hecho",Afirmaciones!$I$2:$I$401,"SIN-CITA")</f>
        <v>0</v>
      </c>
      <c r="W20" s="5">
        <f>COUNTIFS(Afirmaciones!$A$2:$A$401,$A20,Afirmaciones!$B$2:$B$401,$B20,Afirmaciones!$E$2:$E$401,"hecho")</f>
        <v>0</v>
      </c>
      <c r="X20" s="5">
        <f>COUNTIFS(Afirmaciones!$A$2:$A$401,$A20,Afirmaciones!$B$2:$B$401,$B20,Afirmaciones!$E$2:$E$401,"hecho",Afirmaciones!$I$2:$I$401,"SOSTENIDA")</f>
        <v>0</v>
      </c>
      <c r="Y20" s="5" t="str">
        <f t="shared" si="1"/>
        <v/>
      </c>
      <c r="Z20" s="5" t="str">
        <f t="shared" si="2"/>
        <v/>
      </c>
      <c r="AA20" s="5" t="str">
        <f t="shared" si="3"/>
        <v/>
      </c>
      <c r="AB20" s="5" t="str">
        <f t="shared" si="4"/>
        <v/>
      </c>
      <c r="AC20" s="5" t="str">
        <f t="shared" si="5"/>
        <v/>
      </c>
      <c r="AD20" s="5" t="str">
        <f t="shared" si="6"/>
        <v>-</v>
      </c>
      <c r="AE20" s="5" t="str">
        <f>IF(OR($L20=0,$B20&lt;&gt;"rag",$M20=0),"-",SUMIFS(Hechos!$H$2:$H$201,Hechos!$A$2:$A$201,$A20)&amp;"/"&amp;$M20)</f>
        <v>-</v>
      </c>
      <c r="AF20" s="5">
        <f>IF($B20="rag",SUMPRODUCT((Hechos!$A$2:$A$201=$A20)*(Hechos!$F$2:$F$201=0)*((Hechos!$E$2:$E$201="NO")+(Hechos!$E$2:$E$201="ALT-P")+(Hechos!$E$2:$E$201=""))),0)</f>
        <v>0</v>
      </c>
      <c r="AG20" s="5">
        <f>IF($B20="rag",SUMPRODUCT((Hechos!$A$2:$A$201=$A20)*(Hechos!$F$2:$F$201=0)*((Hechos!$E$2:$E$201="SI")+(Hechos!$E$2:$E$201="ALT"))),$M20-$N20)</f>
        <v>0</v>
      </c>
      <c r="AH20" s="6"/>
    </row>
    <row r="21" spans="1:34" ht="150" customHeight="1" x14ac:dyDescent="0.25">
      <c r="A21" s="4" t="s">
        <v>131</v>
      </c>
      <c r="B21" s="4" t="s">
        <v>74</v>
      </c>
      <c r="C21" s="4" t="s">
        <v>66</v>
      </c>
      <c r="D21" s="4" t="s">
        <v>132</v>
      </c>
      <c r="E21" s="4" t="s">
        <v>133</v>
      </c>
      <c r="F21" s="4" t="s">
        <v>134</v>
      </c>
      <c r="G21" s="4" t="s">
        <v>135</v>
      </c>
      <c r="H21" s="4" t="s">
        <v>139</v>
      </c>
      <c r="I21" s="5" t="s">
        <v>71</v>
      </c>
      <c r="J21" s="5"/>
      <c r="K21" s="5"/>
      <c r="L21" s="5">
        <f>COUNTIFS(Afirmaciones!$A$2:$A$401,$A21,Afirmaciones!$B$2:$B$401,$B21)</f>
        <v>0</v>
      </c>
      <c r="M21" s="5">
        <f>COUNTIFS(Hechos!$A$2:$A$201,$A21)</f>
        <v>0</v>
      </c>
      <c r="N21" s="5">
        <f>IF($B21="rag",SUMIFS(Hechos!$F$2:$F$201,Hechos!$A$2:$A$201,$A21),SUMIFS(Hechos!$G$2:$G$201,Hechos!$A$2:$A$201,$A21))</f>
        <v>0</v>
      </c>
      <c r="O21" s="5" t="str">
        <f t="shared" si="0"/>
        <v>-</v>
      </c>
      <c r="P21" s="5">
        <f>COUNTIFS(Afirmaciones!$A$2:$A$401,$A21,Afirmaciones!$B$2:$B$401,$B21,Afirmaciones!$E$2:$E$401,"hecho",Afirmaciones!$F$2:$F$401,"INCORRECTA")</f>
        <v>0</v>
      </c>
      <c r="Q21" s="5">
        <f>COUNTIFS(Afirmaciones!$A$2:$A$401,$A21,Afirmaciones!$B$2:$B$401,$B21,Afirmaciones!$E$2:$E$401,"abstencion",Afirmaciones!$F$2:$F$401,"INCORRECTA")</f>
        <v>0</v>
      </c>
      <c r="R21" s="5">
        <f>COUNTIFS(Afirmaciones!$A$2:$A$401,$A21,Afirmaciones!$B$2:$B$401,$B21,Afirmaciones!$E$2:$E$401,"hecho",Afirmaciones!$F$2:$F$401,"FUERA_REF",Afirmaciones!$H$2:$H$401,"no_resp")</f>
        <v>0</v>
      </c>
      <c r="S21" s="5">
        <f>COUNTIFS(Afirmaciones!$A$2:$A$401,$A21,Afirmaciones!$B$2:$B$401,$B21,Afirmaciones!$E$2:$E$401,"hecho",Afirmaciones!$F$2:$F$401,"FUERA_REF")</f>
        <v>0</v>
      </c>
      <c r="T21" s="5">
        <f>COUNTIFS(Afirmaciones!$A$2:$A$401,$A21,Afirmaciones!$B$2:$B$401,$B21,Afirmaciones!$E$2:$E$401,"hecho",Afirmaciones!$I$2:$I$401,"SIN-RESPALDO")</f>
        <v>0</v>
      </c>
      <c r="U21" s="5">
        <f>COUNTIFS(Afirmaciones!$A$2:$A$401,$A21,Afirmaciones!$B$2:$B$401,$B21,Afirmaciones!$E$2:$E$401,"hecho",Afirmaciones!$I$2:$I$401,"CITA-X")</f>
        <v>0</v>
      </c>
      <c r="V21" s="5">
        <f>COUNTIFS(Afirmaciones!$A$2:$A$401,$A21,Afirmaciones!$B$2:$B$401,$B21,Afirmaciones!$E$2:$E$401,"hecho",Afirmaciones!$I$2:$I$401,"SIN-CITA")</f>
        <v>0</v>
      </c>
      <c r="W21" s="5">
        <f>COUNTIFS(Afirmaciones!$A$2:$A$401,$A21,Afirmaciones!$B$2:$B$401,$B21,Afirmaciones!$E$2:$E$401,"hecho")</f>
        <v>0</v>
      </c>
      <c r="X21" s="5">
        <f>COUNTIFS(Afirmaciones!$A$2:$A$401,$A21,Afirmaciones!$B$2:$B$401,$B21,Afirmaciones!$E$2:$E$401,"hecho",Afirmaciones!$I$2:$I$401,"SOSTENIDA")</f>
        <v>0</v>
      </c>
      <c r="Y21" s="5" t="str">
        <f t="shared" si="1"/>
        <v/>
      </c>
      <c r="Z21" s="5" t="str">
        <f t="shared" si="2"/>
        <v/>
      </c>
      <c r="AA21" s="5" t="str">
        <f t="shared" si="3"/>
        <v/>
      </c>
      <c r="AB21" s="5" t="str">
        <f t="shared" si="4"/>
        <v/>
      </c>
      <c r="AC21" s="5" t="str">
        <f t="shared" si="5"/>
        <v/>
      </c>
      <c r="AD21" s="5" t="str">
        <f t="shared" si="6"/>
        <v>-</v>
      </c>
      <c r="AE21" s="5" t="str">
        <f>IF(OR($L21=0,$B21&lt;&gt;"rag",$M21=0),"-",SUMIFS(Hechos!$H$2:$H$201,Hechos!$A$2:$A$201,$A21)&amp;"/"&amp;$M21)</f>
        <v>-</v>
      </c>
      <c r="AF21" s="5">
        <f>IF($B21="rag",SUMPRODUCT((Hechos!$A$2:$A$201=$A21)*(Hechos!$F$2:$F$201=0)*((Hechos!$E$2:$E$201="NO")+(Hechos!$E$2:$E$201="ALT-P")+(Hechos!$E$2:$E$201=""))),0)</f>
        <v>0</v>
      </c>
      <c r="AG21" s="5">
        <f>IF($B21="rag",SUMPRODUCT((Hechos!$A$2:$A$201=$A21)*(Hechos!$F$2:$F$201=0)*((Hechos!$E$2:$E$201="SI")+(Hechos!$E$2:$E$201="ALT"))),$M21-$N21)</f>
        <v>0</v>
      </c>
      <c r="AH21" s="6"/>
    </row>
    <row r="22" spans="1:34" ht="150" customHeight="1" x14ac:dyDescent="0.25">
      <c r="A22" s="4" t="s">
        <v>140</v>
      </c>
      <c r="B22" s="4" t="s">
        <v>65</v>
      </c>
      <c r="C22" s="4" t="s">
        <v>78</v>
      </c>
      <c r="D22" s="4" t="s">
        <v>132</v>
      </c>
      <c r="E22" s="4" t="s">
        <v>141</v>
      </c>
      <c r="F22" s="4" t="s">
        <v>142</v>
      </c>
      <c r="G22" s="4" t="s">
        <v>143</v>
      </c>
      <c r="H22" s="4" t="s">
        <v>144</v>
      </c>
      <c r="I22" s="5" t="s">
        <v>71</v>
      </c>
      <c r="J22" s="5" t="s">
        <v>137</v>
      </c>
      <c r="K22" s="5" t="s">
        <v>138</v>
      </c>
      <c r="L22" s="5">
        <f>COUNTIFS(Afirmaciones!$A$2:$A$401,$A22,Afirmaciones!$B$2:$B$401,$B22)</f>
        <v>0</v>
      </c>
      <c r="M22" s="5">
        <f>COUNTIFS(Hechos!$A$2:$A$201,$A22)</f>
        <v>0</v>
      </c>
      <c r="N22" s="5">
        <f>IF($B22="rag",SUMIFS(Hechos!$F$2:$F$201,Hechos!$A$2:$A$201,$A22),SUMIFS(Hechos!$G$2:$G$201,Hechos!$A$2:$A$201,$A22))</f>
        <v>0</v>
      </c>
      <c r="O22" s="5" t="str">
        <f t="shared" si="0"/>
        <v>-</v>
      </c>
      <c r="P22" s="5">
        <f>COUNTIFS(Afirmaciones!$A$2:$A$401,$A22,Afirmaciones!$B$2:$B$401,$B22,Afirmaciones!$E$2:$E$401,"hecho",Afirmaciones!$F$2:$F$401,"INCORRECTA")</f>
        <v>0</v>
      </c>
      <c r="Q22" s="5">
        <f>COUNTIFS(Afirmaciones!$A$2:$A$401,$A22,Afirmaciones!$B$2:$B$401,$B22,Afirmaciones!$E$2:$E$401,"abstencion",Afirmaciones!$F$2:$F$401,"INCORRECTA")</f>
        <v>0</v>
      </c>
      <c r="R22" s="5">
        <f>COUNTIFS(Afirmaciones!$A$2:$A$401,$A22,Afirmaciones!$B$2:$B$401,$B22,Afirmaciones!$E$2:$E$401,"hecho",Afirmaciones!$F$2:$F$401,"FUERA_REF",Afirmaciones!$H$2:$H$401,"no_resp")</f>
        <v>0</v>
      </c>
      <c r="S22" s="5">
        <f>COUNTIFS(Afirmaciones!$A$2:$A$401,$A22,Afirmaciones!$B$2:$B$401,$B22,Afirmaciones!$E$2:$E$401,"hecho",Afirmaciones!$F$2:$F$401,"FUERA_REF")</f>
        <v>0</v>
      </c>
      <c r="T22" s="5">
        <f>COUNTIFS(Afirmaciones!$A$2:$A$401,$A22,Afirmaciones!$B$2:$B$401,$B22,Afirmaciones!$E$2:$E$401,"hecho",Afirmaciones!$I$2:$I$401,"SIN-RESPALDO")</f>
        <v>0</v>
      </c>
      <c r="U22" s="5">
        <f>COUNTIFS(Afirmaciones!$A$2:$A$401,$A22,Afirmaciones!$B$2:$B$401,$B22,Afirmaciones!$E$2:$E$401,"hecho",Afirmaciones!$I$2:$I$401,"CITA-X")</f>
        <v>0</v>
      </c>
      <c r="V22" s="5">
        <f>COUNTIFS(Afirmaciones!$A$2:$A$401,$A22,Afirmaciones!$B$2:$B$401,$B22,Afirmaciones!$E$2:$E$401,"hecho",Afirmaciones!$I$2:$I$401,"SIN-CITA")</f>
        <v>0</v>
      </c>
      <c r="W22" s="5">
        <f>COUNTIFS(Afirmaciones!$A$2:$A$401,$A22,Afirmaciones!$B$2:$B$401,$B22,Afirmaciones!$E$2:$E$401,"hecho")</f>
        <v>0</v>
      </c>
      <c r="X22" s="5">
        <f>COUNTIFS(Afirmaciones!$A$2:$A$401,$A22,Afirmaciones!$B$2:$B$401,$B22,Afirmaciones!$E$2:$E$401,"hecho",Afirmaciones!$I$2:$I$401,"SOSTENIDA")</f>
        <v>0</v>
      </c>
      <c r="Y22" s="5" t="str">
        <f t="shared" si="1"/>
        <v/>
      </c>
      <c r="Z22" s="5" t="str">
        <f t="shared" si="2"/>
        <v/>
      </c>
      <c r="AA22" s="5" t="str">
        <f t="shared" si="3"/>
        <v/>
      </c>
      <c r="AB22" s="5" t="str">
        <f t="shared" si="4"/>
        <v/>
      </c>
      <c r="AC22" s="5" t="str">
        <f t="shared" si="5"/>
        <v/>
      </c>
      <c r="AD22" s="5" t="str">
        <f t="shared" si="6"/>
        <v>-</v>
      </c>
      <c r="AE22" s="5" t="str">
        <f>IF(OR($L22=0,$B22&lt;&gt;"rag",$M22=0),"-",SUMIFS(Hechos!$H$2:$H$201,Hechos!$A$2:$A$201,$A22)&amp;"/"&amp;$M22)</f>
        <v>-</v>
      </c>
      <c r="AF22" s="5">
        <f>IF($B22="rag",SUMPRODUCT((Hechos!$A$2:$A$201=$A22)*(Hechos!$F$2:$F$201=0)*((Hechos!$E$2:$E$201="NO")+(Hechos!$E$2:$E$201="ALT-P")+(Hechos!$E$2:$E$201=""))),0)</f>
        <v>0</v>
      </c>
      <c r="AG22" s="5">
        <f>IF($B22="rag",SUMPRODUCT((Hechos!$A$2:$A$201=$A22)*(Hechos!$F$2:$F$201=0)*((Hechos!$E$2:$E$201="SI")+(Hechos!$E$2:$E$201="ALT"))),$M22-$N22)</f>
        <v>0</v>
      </c>
      <c r="AH22" s="6"/>
    </row>
    <row r="23" spans="1:34" ht="150" customHeight="1" x14ac:dyDescent="0.25">
      <c r="A23" s="4" t="s">
        <v>140</v>
      </c>
      <c r="B23" s="4" t="s">
        <v>74</v>
      </c>
      <c r="C23" s="4" t="s">
        <v>78</v>
      </c>
      <c r="D23" s="4" t="s">
        <v>132</v>
      </c>
      <c r="E23" s="4" t="s">
        <v>141</v>
      </c>
      <c r="F23" s="4" t="s">
        <v>142</v>
      </c>
      <c r="G23" s="4" t="s">
        <v>143</v>
      </c>
      <c r="H23" s="4" t="s">
        <v>145</v>
      </c>
      <c r="I23" s="5" t="s">
        <v>71</v>
      </c>
      <c r="J23" s="5"/>
      <c r="K23" s="5"/>
      <c r="L23" s="5">
        <f>COUNTIFS(Afirmaciones!$A$2:$A$401,$A23,Afirmaciones!$B$2:$B$401,$B23)</f>
        <v>0</v>
      </c>
      <c r="M23" s="5">
        <f>COUNTIFS(Hechos!$A$2:$A$201,$A23)</f>
        <v>0</v>
      </c>
      <c r="N23" s="5">
        <f>IF($B23="rag",SUMIFS(Hechos!$F$2:$F$201,Hechos!$A$2:$A$201,$A23),SUMIFS(Hechos!$G$2:$G$201,Hechos!$A$2:$A$201,$A23))</f>
        <v>0</v>
      </c>
      <c r="O23" s="5" t="str">
        <f t="shared" si="0"/>
        <v>-</v>
      </c>
      <c r="P23" s="5">
        <f>COUNTIFS(Afirmaciones!$A$2:$A$401,$A23,Afirmaciones!$B$2:$B$401,$B23,Afirmaciones!$E$2:$E$401,"hecho",Afirmaciones!$F$2:$F$401,"INCORRECTA")</f>
        <v>0</v>
      </c>
      <c r="Q23" s="5">
        <f>COUNTIFS(Afirmaciones!$A$2:$A$401,$A23,Afirmaciones!$B$2:$B$401,$B23,Afirmaciones!$E$2:$E$401,"abstencion",Afirmaciones!$F$2:$F$401,"INCORRECTA")</f>
        <v>0</v>
      </c>
      <c r="R23" s="5">
        <f>COUNTIFS(Afirmaciones!$A$2:$A$401,$A23,Afirmaciones!$B$2:$B$401,$B23,Afirmaciones!$E$2:$E$401,"hecho",Afirmaciones!$F$2:$F$401,"FUERA_REF",Afirmaciones!$H$2:$H$401,"no_resp")</f>
        <v>0</v>
      </c>
      <c r="S23" s="5">
        <f>COUNTIFS(Afirmaciones!$A$2:$A$401,$A23,Afirmaciones!$B$2:$B$401,$B23,Afirmaciones!$E$2:$E$401,"hecho",Afirmaciones!$F$2:$F$401,"FUERA_REF")</f>
        <v>0</v>
      </c>
      <c r="T23" s="5">
        <f>COUNTIFS(Afirmaciones!$A$2:$A$401,$A23,Afirmaciones!$B$2:$B$401,$B23,Afirmaciones!$E$2:$E$401,"hecho",Afirmaciones!$I$2:$I$401,"SIN-RESPALDO")</f>
        <v>0</v>
      </c>
      <c r="U23" s="5">
        <f>COUNTIFS(Afirmaciones!$A$2:$A$401,$A23,Afirmaciones!$B$2:$B$401,$B23,Afirmaciones!$E$2:$E$401,"hecho",Afirmaciones!$I$2:$I$401,"CITA-X")</f>
        <v>0</v>
      </c>
      <c r="V23" s="5">
        <f>COUNTIFS(Afirmaciones!$A$2:$A$401,$A23,Afirmaciones!$B$2:$B$401,$B23,Afirmaciones!$E$2:$E$401,"hecho",Afirmaciones!$I$2:$I$401,"SIN-CITA")</f>
        <v>0</v>
      </c>
      <c r="W23" s="5">
        <f>COUNTIFS(Afirmaciones!$A$2:$A$401,$A23,Afirmaciones!$B$2:$B$401,$B23,Afirmaciones!$E$2:$E$401,"hecho")</f>
        <v>0</v>
      </c>
      <c r="X23" s="5">
        <f>COUNTIFS(Afirmaciones!$A$2:$A$401,$A23,Afirmaciones!$B$2:$B$401,$B23,Afirmaciones!$E$2:$E$401,"hecho",Afirmaciones!$I$2:$I$401,"SOSTENIDA")</f>
        <v>0</v>
      </c>
      <c r="Y23" s="5" t="str">
        <f t="shared" si="1"/>
        <v/>
      </c>
      <c r="Z23" s="5" t="str">
        <f t="shared" si="2"/>
        <v/>
      </c>
      <c r="AA23" s="5" t="str">
        <f t="shared" si="3"/>
        <v/>
      </c>
      <c r="AB23" s="5" t="str">
        <f t="shared" si="4"/>
        <v/>
      </c>
      <c r="AC23" s="5" t="str">
        <f t="shared" si="5"/>
        <v/>
      </c>
      <c r="AD23" s="5" t="str">
        <f t="shared" si="6"/>
        <v>-</v>
      </c>
      <c r="AE23" s="5" t="str">
        <f>IF(OR($L23=0,$B23&lt;&gt;"rag",$M23=0),"-",SUMIFS(Hechos!$H$2:$H$201,Hechos!$A$2:$A$201,$A23)&amp;"/"&amp;$M23)</f>
        <v>-</v>
      </c>
      <c r="AF23" s="5">
        <f>IF($B23="rag",SUMPRODUCT((Hechos!$A$2:$A$201=$A23)*(Hechos!$F$2:$F$201=0)*((Hechos!$E$2:$E$201="NO")+(Hechos!$E$2:$E$201="ALT-P")+(Hechos!$E$2:$E$201=""))),0)</f>
        <v>0</v>
      </c>
      <c r="AG23" s="5">
        <f>IF($B23="rag",SUMPRODUCT((Hechos!$A$2:$A$201=$A23)*(Hechos!$F$2:$F$201=0)*((Hechos!$E$2:$E$201="SI")+(Hechos!$E$2:$E$201="ALT"))),$M23-$N23)</f>
        <v>0</v>
      </c>
      <c r="AH23" s="6"/>
    </row>
    <row r="24" spans="1:34" ht="150" customHeight="1" x14ac:dyDescent="0.25">
      <c r="A24" s="4" t="s">
        <v>146</v>
      </c>
      <c r="B24" s="4" t="s">
        <v>65</v>
      </c>
      <c r="C24" s="4" t="s">
        <v>66</v>
      </c>
      <c r="D24" s="4" t="s">
        <v>132</v>
      </c>
      <c r="E24" s="4" t="s">
        <v>147</v>
      </c>
      <c r="F24" s="4" t="s">
        <v>148</v>
      </c>
      <c r="G24" s="4" t="s">
        <v>135</v>
      </c>
      <c r="H24" s="4" t="s">
        <v>149</v>
      </c>
      <c r="I24" s="5" t="s">
        <v>71</v>
      </c>
      <c r="J24" s="5" t="s">
        <v>137</v>
      </c>
      <c r="K24" s="5" t="s">
        <v>138</v>
      </c>
      <c r="L24" s="5">
        <f>COUNTIFS(Afirmaciones!$A$2:$A$401,$A24,Afirmaciones!$B$2:$B$401,$B24)</f>
        <v>0</v>
      </c>
      <c r="M24" s="5">
        <f>COUNTIFS(Hechos!$A$2:$A$201,$A24)</f>
        <v>0</v>
      </c>
      <c r="N24" s="5">
        <f>IF($B24="rag",SUMIFS(Hechos!$F$2:$F$201,Hechos!$A$2:$A$201,$A24),SUMIFS(Hechos!$G$2:$G$201,Hechos!$A$2:$A$201,$A24))</f>
        <v>0</v>
      </c>
      <c r="O24" s="5" t="str">
        <f t="shared" si="0"/>
        <v>-</v>
      </c>
      <c r="P24" s="5">
        <f>COUNTIFS(Afirmaciones!$A$2:$A$401,$A24,Afirmaciones!$B$2:$B$401,$B24,Afirmaciones!$E$2:$E$401,"hecho",Afirmaciones!$F$2:$F$401,"INCORRECTA")</f>
        <v>0</v>
      </c>
      <c r="Q24" s="5">
        <f>COUNTIFS(Afirmaciones!$A$2:$A$401,$A24,Afirmaciones!$B$2:$B$401,$B24,Afirmaciones!$E$2:$E$401,"abstencion",Afirmaciones!$F$2:$F$401,"INCORRECTA")</f>
        <v>0</v>
      </c>
      <c r="R24" s="5">
        <f>COUNTIFS(Afirmaciones!$A$2:$A$401,$A24,Afirmaciones!$B$2:$B$401,$B24,Afirmaciones!$E$2:$E$401,"hecho",Afirmaciones!$F$2:$F$401,"FUERA_REF",Afirmaciones!$H$2:$H$401,"no_resp")</f>
        <v>0</v>
      </c>
      <c r="S24" s="5">
        <f>COUNTIFS(Afirmaciones!$A$2:$A$401,$A24,Afirmaciones!$B$2:$B$401,$B24,Afirmaciones!$E$2:$E$401,"hecho",Afirmaciones!$F$2:$F$401,"FUERA_REF")</f>
        <v>0</v>
      </c>
      <c r="T24" s="5">
        <f>COUNTIFS(Afirmaciones!$A$2:$A$401,$A24,Afirmaciones!$B$2:$B$401,$B24,Afirmaciones!$E$2:$E$401,"hecho",Afirmaciones!$I$2:$I$401,"SIN-RESPALDO")</f>
        <v>0</v>
      </c>
      <c r="U24" s="5">
        <f>COUNTIFS(Afirmaciones!$A$2:$A$401,$A24,Afirmaciones!$B$2:$B$401,$B24,Afirmaciones!$E$2:$E$401,"hecho",Afirmaciones!$I$2:$I$401,"CITA-X")</f>
        <v>0</v>
      </c>
      <c r="V24" s="5">
        <f>COUNTIFS(Afirmaciones!$A$2:$A$401,$A24,Afirmaciones!$B$2:$B$401,$B24,Afirmaciones!$E$2:$E$401,"hecho",Afirmaciones!$I$2:$I$401,"SIN-CITA")</f>
        <v>0</v>
      </c>
      <c r="W24" s="5">
        <f>COUNTIFS(Afirmaciones!$A$2:$A$401,$A24,Afirmaciones!$B$2:$B$401,$B24,Afirmaciones!$E$2:$E$401,"hecho")</f>
        <v>0</v>
      </c>
      <c r="X24" s="5">
        <f>COUNTIFS(Afirmaciones!$A$2:$A$401,$A24,Afirmaciones!$B$2:$B$401,$B24,Afirmaciones!$E$2:$E$401,"hecho",Afirmaciones!$I$2:$I$401,"SOSTENIDA")</f>
        <v>0</v>
      </c>
      <c r="Y24" s="5" t="str">
        <f t="shared" si="1"/>
        <v/>
      </c>
      <c r="Z24" s="5" t="str">
        <f t="shared" si="2"/>
        <v/>
      </c>
      <c r="AA24" s="5" t="str">
        <f t="shared" si="3"/>
        <v/>
      </c>
      <c r="AB24" s="5" t="str">
        <f t="shared" si="4"/>
        <v/>
      </c>
      <c r="AC24" s="5" t="str">
        <f t="shared" si="5"/>
        <v/>
      </c>
      <c r="AD24" s="5" t="str">
        <f t="shared" si="6"/>
        <v>-</v>
      </c>
      <c r="AE24" s="5" t="str">
        <f>IF(OR($L24=0,$B24&lt;&gt;"rag",$M24=0),"-",SUMIFS(Hechos!$H$2:$H$201,Hechos!$A$2:$A$201,$A24)&amp;"/"&amp;$M24)</f>
        <v>-</v>
      </c>
      <c r="AF24" s="5">
        <f>IF($B24="rag",SUMPRODUCT((Hechos!$A$2:$A$201=$A24)*(Hechos!$F$2:$F$201=0)*((Hechos!$E$2:$E$201="NO")+(Hechos!$E$2:$E$201="ALT-P")+(Hechos!$E$2:$E$201=""))),0)</f>
        <v>0</v>
      </c>
      <c r="AG24" s="5">
        <f>IF($B24="rag",SUMPRODUCT((Hechos!$A$2:$A$201=$A24)*(Hechos!$F$2:$F$201=0)*((Hechos!$E$2:$E$201="SI")+(Hechos!$E$2:$E$201="ALT"))),$M24-$N24)</f>
        <v>0</v>
      </c>
      <c r="AH24" s="6"/>
    </row>
    <row r="25" spans="1:34" ht="150" customHeight="1" x14ac:dyDescent="0.25">
      <c r="A25" s="4" t="s">
        <v>146</v>
      </c>
      <c r="B25" s="4" t="s">
        <v>74</v>
      </c>
      <c r="C25" s="4" t="s">
        <v>66</v>
      </c>
      <c r="D25" s="4" t="s">
        <v>132</v>
      </c>
      <c r="E25" s="4" t="s">
        <v>147</v>
      </c>
      <c r="F25" s="4" t="s">
        <v>148</v>
      </c>
      <c r="G25" s="4" t="s">
        <v>135</v>
      </c>
      <c r="H25" s="4" t="s">
        <v>150</v>
      </c>
      <c r="I25" s="5" t="s">
        <v>71</v>
      </c>
      <c r="J25" s="5"/>
      <c r="K25" s="5"/>
      <c r="L25" s="5">
        <f>COUNTIFS(Afirmaciones!$A$2:$A$401,$A25,Afirmaciones!$B$2:$B$401,$B25)</f>
        <v>0</v>
      </c>
      <c r="M25" s="5">
        <f>COUNTIFS(Hechos!$A$2:$A$201,$A25)</f>
        <v>0</v>
      </c>
      <c r="N25" s="5">
        <f>IF($B25="rag",SUMIFS(Hechos!$F$2:$F$201,Hechos!$A$2:$A$201,$A25),SUMIFS(Hechos!$G$2:$G$201,Hechos!$A$2:$A$201,$A25))</f>
        <v>0</v>
      </c>
      <c r="O25" s="5" t="str">
        <f t="shared" si="0"/>
        <v>-</v>
      </c>
      <c r="P25" s="5">
        <f>COUNTIFS(Afirmaciones!$A$2:$A$401,$A25,Afirmaciones!$B$2:$B$401,$B25,Afirmaciones!$E$2:$E$401,"hecho",Afirmaciones!$F$2:$F$401,"INCORRECTA")</f>
        <v>0</v>
      </c>
      <c r="Q25" s="5">
        <f>COUNTIFS(Afirmaciones!$A$2:$A$401,$A25,Afirmaciones!$B$2:$B$401,$B25,Afirmaciones!$E$2:$E$401,"abstencion",Afirmaciones!$F$2:$F$401,"INCORRECTA")</f>
        <v>0</v>
      </c>
      <c r="R25" s="5">
        <f>COUNTIFS(Afirmaciones!$A$2:$A$401,$A25,Afirmaciones!$B$2:$B$401,$B25,Afirmaciones!$E$2:$E$401,"hecho",Afirmaciones!$F$2:$F$401,"FUERA_REF",Afirmaciones!$H$2:$H$401,"no_resp")</f>
        <v>0</v>
      </c>
      <c r="S25" s="5">
        <f>COUNTIFS(Afirmaciones!$A$2:$A$401,$A25,Afirmaciones!$B$2:$B$401,$B25,Afirmaciones!$E$2:$E$401,"hecho",Afirmaciones!$F$2:$F$401,"FUERA_REF")</f>
        <v>0</v>
      </c>
      <c r="T25" s="5">
        <f>COUNTIFS(Afirmaciones!$A$2:$A$401,$A25,Afirmaciones!$B$2:$B$401,$B25,Afirmaciones!$E$2:$E$401,"hecho",Afirmaciones!$I$2:$I$401,"SIN-RESPALDO")</f>
        <v>0</v>
      </c>
      <c r="U25" s="5">
        <f>COUNTIFS(Afirmaciones!$A$2:$A$401,$A25,Afirmaciones!$B$2:$B$401,$B25,Afirmaciones!$E$2:$E$401,"hecho",Afirmaciones!$I$2:$I$401,"CITA-X")</f>
        <v>0</v>
      </c>
      <c r="V25" s="5">
        <f>COUNTIFS(Afirmaciones!$A$2:$A$401,$A25,Afirmaciones!$B$2:$B$401,$B25,Afirmaciones!$E$2:$E$401,"hecho",Afirmaciones!$I$2:$I$401,"SIN-CITA")</f>
        <v>0</v>
      </c>
      <c r="W25" s="5">
        <f>COUNTIFS(Afirmaciones!$A$2:$A$401,$A25,Afirmaciones!$B$2:$B$401,$B25,Afirmaciones!$E$2:$E$401,"hecho")</f>
        <v>0</v>
      </c>
      <c r="X25" s="5">
        <f>COUNTIFS(Afirmaciones!$A$2:$A$401,$A25,Afirmaciones!$B$2:$B$401,$B25,Afirmaciones!$E$2:$E$401,"hecho",Afirmaciones!$I$2:$I$401,"SOSTENIDA")</f>
        <v>0</v>
      </c>
      <c r="Y25" s="5" t="str">
        <f t="shared" si="1"/>
        <v/>
      </c>
      <c r="Z25" s="5" t="str">
        <f t="shared" si="2"/>
        <v/>
      </c>
      <c r="AA25" s="5" t="str">
        <f t="shared" si="3"/>
        <v/>
      </c>
      <c r="AB25" s="5" t="str">
        <f t="shared" si="4"/>
        <v/>
      </c>
      <c r="AC25" s="5" t="str">
        <f t="shared" si="5"/>
        <v/>
      </c>
      <c r="AD25" s="5" t="str">
        <f t="shared" si="6"/>
        <v>-</v>
      </c>
      <c r="AE25" s="5" t="str">
        <f>IF(OR($L25=0,$B25&lt;&gt;"rag",$M25=0),"-",SUMIFS(Hechos!$H$2:$H$201,Hechos!$A$2:$A$201,$A25)&amp;"/"&amp;$M25)</f>
        <v>-</v>
      </c>
      <c r="AF25" s="5">
        <f>IF($B25="rag",SUMPRODUCT((Hechos!$A$2:$A$201=$A25)*(Hechos!$F$2:$F$201=0)*((Hechos!$E$2:$E$201="NO")+(Hechos!$E$2:$E$201="ALT-P")+(Hechos!$E$2:$E$201=""))),0)</f>
        <v>0</v>
      </c>
      <c r="AG25" s="5">
        <f>IF($B25="rag",SUMPRODUCT((Hechos!$A$2:$A$201=$A25)*(Hechos!$F$2:$F$201=0)*((Hechos!$E$2:$E$201="SI")+(Hechos!$E$2:$E$201="ALT"))),$M25-$N25)</f>
        <v>0</v>
      </c>
      <c r="AH25" s="6"/>
    </row>
    <row r="26" spans="1:34" ht="150" customHeight="1" x14ac:dyDescent="0.25">
      <c r="A26" s="4" t="s">
        <v>151</v>
      </c>
      <c r="B26" s="4" t="s">
        <v>65</v>
      </c>
      <c r="C26" s="4" t="s">
        <v>66</v>
      </c>
      <c r="D26" s="4" t="s">
        <v>132</v>
      </c>
      <c r="E26" s="4" t="s">
        <v>152</v>
      </c>
      <c r="F26" s="4" t="s">
        <v>153</v>
      </c>
      <c r="G26" s="4" t="s">
        <v>135</v>
      </c>
      <c r="H26" s="4" t="s">
        <v>154</v>
      </c>
      <c r="I26" s="5" t="s">
        <v>71</v>
      </c>
      <c r="J26" s="5" t="s">
        <v>137</v>
      </c>
      <c r="K26" s="5" t="s">
        <v>138</v>
      </c>
      <c r="L26" s="5">
        <f>COUNTIFS(Afirmaciones!$A$2:$A$401,$A26,Afirmaciones!$B$2:$B$401,$B26)</f>
        <v>0</v>
      </c>
      <c r="M26" s="5">
        <f>COUNTIFS(Hechos!$A$2:$A$201,$A26)</f>
        <v>0</v>
      </c>
      <c r="N26" s="5">
        <f>IF($B26="rag",SUMIFS(Hechos!$F$2:$F$201,Hechos!$A$2:$A$201,$A26),SUMIFS(Hechos!$G$2:$G$201,Hechos!$A$2:$A$201,$A26))</f>
        <v>0</v>
      </c>
      <c r="O26" s="5" t="str">
        <f t="shared" si="0"/>
        <v>-</v>
      </c>
      <c r="P26" s="5">
        <f>COUNTIFS(Afirmaciones!$A$2:$A$401,$A26,Afirmaciones!$B$2:$B$401,$B26,Afirmaciones!$E$2:$E$401,"hecho",Afirmaciones!$F$2:$F$401,"INCORRECTA")</f>
        <v>0</v>
      </c>
      <c r="Q26" s="5">
        <f>COUNTIFS(Afirmaciones!$A$2:$A$401,$A26,Afirmaciones!$B$2:$B$401,$B26,Afirmaciones!$E$2:$E$401,"abstencion",Afirmaciones!$F$2:$F$401,"INCORRECTA")</f>
        <v>0</v>
      </c>
      <c r="R26" s="5">
        <f>COUNTIFS(Afirmaciones!$A$2:$A$401,$A26,Afirmaciones!$B$2:$B$401,$B26,Afirmaciones!$E$2:$E$401,"hecho",Afirmaciones!$F$2:$F$401,"FUERA_REF",Afirmaciones!$H$2:$H$401,"no_resp")</f>
        <v>0</v>
      </c>
      <c r="S26" s="5">
        <f>COUNTIFS(Afirmaciones!$A$2:$A$401,$A26,Afirmaciones!$B$2:$B$401,$B26,Afirmaciones!$E$2:$E$401,"hecho",Afirmaciones!$F$2:$F$401,"FUERA_REF")</f>
        <v>0</v>
      </c>
      <c r="T26" s="5">
        <f>COUNTIFS(Afirmaciones!$A$2:$A$401,$A26,Afirmaciones!$B$2:$B$401,$B26,Afirmaciones!$E$2:$E$401,"hecho",Afirmaciones!$I$2:$I$401,"SIN-RESPALDO")</f>
        <v>0</v>
      </c>
      <c r="U26" s="5">
        <f>COUNTIFS(Afirmaciones!$A$2:$A$401,$A26,Afirmaciones!$B$2:$B$401,$B26,Afirmaciones!$E$2:$E$401,"hecho",Afirmaciones!$I$2:$I$401,"CITA-X")</f>
        <v>0</v>
      </c>
      <c r="V26" s="5">
        <f>COUNTIFS(Afirmaciones!$A$2:$A$401,$A26,Afirmaciones!$B$2:$B$401,$B26,Afirmaciones!$E$2:$E$401,"hecho",Afirmaciones!$I$2:$I$401,"SIN-CITA")</f>
        <v>0</v>
      </c>
      <c r="W26" s="5">
        <f>COUNTIFS(Afirmaciones!$A$2:$A$401,$A26,Afirmaciones!$B$2:$B$401,$B26,Afirmaciones!$E$2:$E$401,"hecho")</f>
        <v>0</v>
      </c>
      <c r="X26" s="5">
        <f>COUNTIFS(Afirmaciones!$A$2:$A$401,$A26,Afirmaciones!$B$2:$B$401,$B26,Afirmaciones!$E$2:$E$401,"hecho",Afirmaciones!$I$2:$I$401,"SOSTENIDA")</f>
        <v>0</v>
      </c>
      <c r="Y26" s="5" t="str">
        <f t="shared" si="1"/>
        <v/>
      </c>
      <c r="Z26" s="5" t="str">
        <f t="shared" si="2"/>
        <v/>
      </c>
      <c r="AA26" s="5" t="str">
        <f t="shared" si="3"/>
        <v/>
      </c>
      <c r="AB26" s="5" t="str">
        <f t="shared" si="4"/>
        <v/>
      </c>
      <c r="AC26" s="5" t="str">
        <f t="shared" si="5"/>
        <v/>
      </c>
      <c r="AD26" s="5" t="str">
        <f t="shared" si="6"/>
        <v>-</v>
      </c>
      <c r="AE26" s="5" t="str">
        <f>IF(OR($L26=0,$B26&lt;&gt;"rag",$M26=0),"-",SUMIFS(Hechos!$H$2:$H$201,Hechos!$A$2:$A$201,$A26)&amp;"/"&amp;$M26)</f>
        <v>-</v>
      </c>
      <c r="AF26" s="5">
        <f>IF($B26="rag",SUMPRODUCT((Hechos!$A$2:$A$201=$A26)*(Hechos!$F$2:$F$201=0)*((Hechos!$E$2:$E$201="NO")+(Hechos!$E$2:$E$201="ALT-P")+(Hechos!$E$2:$E$201=""))),0)</f>
        <v>0</v>
      </c>
      <c r="AG26" s="5">
        <f>IF($B26="rag",SUMPRODUCT((Hechos!$A$2:$A$201=$A26)*(Hechos!$F$2:$F$201=0)*((Hechos!$E$2:$E$201="SI")+(Hechos!$E$2:$E$201="ALT"))),$M26-$N26)</f>
        <v>0</v>
      </c>
      <c r="AH26" s="6"/>
    </row>
    <row r="27" spans="1:34" ht="150" customHeight="1" x14ac:dyDescent="0.25">
      <c r="A27" s="4" t="s">
        <v>151</v>
      </c>
      <c r="B27" s="4" t="s">
        <v>74</v>
      </c>
      <c r="C27" s="4" t="s">
        <v>66</v>
      </c>
      <c r="D27" s="4" t="s">
        <v>132</v>
      </c>
      <c r="E27" s="4" t="s">
        <v>152</v>
      </c>
      <c r="F27" s="4" t="s">
        <v>153</v>
      </c>
      <c r="G27" s="4" t="s">
        <v>135</v>
      </c>
      <c r="H27" s="4" t="s">
        <v>155</v>
      </c>
      <c r="I27" s="5" t="s">
        <v>71</v>
      </c>
      <c r="J27" s="5"/>
      <c r="K27" s="5"/>
      <c r="L27" s="5">
        <f>COUNTIFS(Afirmaciones!$A$2:$A$401,$A27,Afirmaciones!$B$2:$B$401,$B27)</f>
        <v>0</v>
      </c>
      <c r="M27" s="5">
        <f>COUNTIFS(Hechos!$A$2:$A$201,$A27)</f>
        <v>0</v>
      </c>
      <c r="N27" s="5">
        <f>IF($B27="rag",SUMIFS(Hechos!$F$2:$F$201,Hechos!$A$2:$A$201,$A27),SUMIFS(Hechos!$G$2:$G$201,Hechos!$A$2:$A$201,$A27))</f>
        <v>0</v>
      </c>
      <c r="O27" s="5" t="str">
        <f t="shared" si="0"/>
        <v>-</v>
      </c>
      <c r="P27" s="5">
        <f>COUNTIFS(Afirmaciones!$A$2:$A$401,$A27,Afirmaciones!$B$2:$B$401,$B27,Afirmaciones!$E$2:$E$401,"hecho",Afirmaciones!$F$2:$F$401,"INCORRECTA")</f>
        <v>0</v>
      </c>
      <c r="Q27" s="5">
        <f>COUNTIFS(Afirmaciones!$A$2:$A$401,$A27,Afirmaciones!$B$2:$B$401,$B27,Afirmaciones!$E$2:$E$401,"abstencion",Afirmaciones!$F$2:$F$401,"INCORRECTA")</f>
        <v>0</v>
      </c>
      <c r="R27" s="5">
        <f>COUNTIFS(Afirmaciones!$A$2:$A$401,$A27,Afirmaciones!$B$2:$B$401,$B27,Afirmaciones!$E$2:$E$401,"hecho",Afirmaciones!$F$2:$F$401,"FUERA_REF",Afirmaciones!$H$2:$H$401,"no_resp")</f>
        <v>0</v>
      </c>
      <c r="S27" s="5">
        <f>COUNTIFS(Afirmaciones!$A$2:$A$401,$A27,Afirmaciones!$B$2:$B$401,$B27,Afirmaciones!$E$2:$E$401,"hecho",Afirmaciones!$F$2:$F$401,"FUERA_REF")</f>
        <v>0</v>
      </c>
      <c r="T27" s="5">
        <f>COUNTIFS(Afirmaciones!$A$2:$A$401,$A27,Afirmaciones!$B$2:$B$401,$B27,Afirmaciones!$E$2:$E$401,"hecho",Afirmaciones!$I$2:$I$401,"SIN-RESPALDO")</f>
        <v>0</v>
      </c>
      <c r="U27" s="5">
        <f>COUNTIFS(Afirmaciones!$A$2:$A$401,$A27,Afirmaciones!$B$2:$B$401,$B27,Afirmaciones!$E$2:$E$401,"hecho",Afirmaciones!$I$2:$I$401,"CITA-X")</f>
        <v>0</v>
      </c>
      <c r="V27" s="5">
        <f>COUNTIFS(Afirmaciones!$A$2:$A$401,$A27,Afirmaciones!$B$2:$B$401,$B27,Afirmaciones!$E$2:$E$401,"hecho",Afirmaciones!$I$2:$I$401,"SIN-CITA")</f>
        <v>0</v>
      </c>
      <c r="W27" s="5">
        <f>COUNTIFS(Afirmaciones!$A$2:$A$401,$A27,Afirmaciones!$B$2:$B$401,$B27,Afirmaciones!$E$2:$E$401,"hecho")</f>
        <v>0</v>
      </c>
      <c r="X27" s="5">
        <f>COUNTIFS(Afirmaciones!$A$2:$A$401,$A27,Afirmaciones!$B$2:$B$401,$B27,Afirmaciones!$E$2:$E$401,"hecho",Afirmaciones!$I$2:$I$401,"SOSTENIDA")</f>
        <v>0</v>
      </c>
      <c r="Y27" s="5" t="str">
        <f t="shared" si="1"/>
        <v/>
      </c>
      <c r="Z27" s="5" t="str">
        <f t="shared" si="2"/>
        <v/>
      </c>
      <c r="AA27" s="5" t="str">
        <f t="shared" si="3"/>
        <v/>
      </c>
      <c r="AB27" s="5" t="str">
        <f t="shared" si="4"/>
        <v/>
      </c>
      <c r="AC27" s="5" t="str">
        <f t="shared" si="5"/>
        <v/>
      </c>
      <c r="AD27" s="5" t="str">
        <f t="shared" si="6"/>
        <v>-</v>
      </c>
      <c r="AE27" s="5" t="str">
        <f>IF(OR($L27=0,$B27&lt;&gt;"rag",$M27=0),"-",SUMIFS(Hechos!$H$2:$H$201,Hechos!$A$2:$A$201,$A27)&amp;"/"&amp;$M27)</f>
        <v>-</v>
      </c>
      <c r="AF27" s="5">
        <f>IF($B27="rag",SUMPRODUCT((Hechos!$A$2:$A$201=$A27)*(Hechos!$F$2:$F$201=0)*((Hechos!$E$2:$E$201="NO")+(Hechos!$E$2:$E$201="ALT-P")+(Hechos!$E$2:$E$201=""))),0)</f>
        <v>0</v>
      </c>
      <c r="AG27" s="5">
        <f>IF($B27="rag",SUMPRODUCT((Hechos!$A$2:$A$201=$A27)*(Hechos!$F$2:$F$201=0)*((Hechos!$E$2:$E$201="SI")+(Hechos!$E$2:$E$201="ALT"))),$M27-$N27)</f>
        <v>0</v>
      </c>
      <c r="AH27" s="6"/>
    </row>
  </sheetData>
  <sheetProtection sheet="1" formatColumns="0" formatRows="0" sort="0" autoFilter="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01"/>
  <sheetViews>
    <sheetView workbookViewId="0">
      <pane ySplit="1" topLeftCell="A2" activePane="bottomLeft" state="frozen"/>
      <selection pane="bottomLeft" activeCell="J2" sqref="J2:K28"/>
    </sheetView>
  </sheetViews>
  <sheetFormatPr baseColWidth="10" defaultColWidth="9.140625" defaultRowHeight="15" x14ac:dyDescent="0.25"/>
  <cols>
    <col min="1" max="2" width="7" customWidth="1"/>
    <col min="3" max="3" width="5" customWidth="1"/>
    <col min="4" max="4" width="60" customWidth="1"/>
    <col min="5" max="5" width="13" customWidth="1"/>
    <col min="6" max="7" width="14" customWidth="1"/>
    <col min="8" max="8" width="10" customWidth="1"/>
    <col min="9" max="9" width="17" customWidth="1"/>
    <col min="10" max="10" width="9" customWidth="1"/>
    <col min="11" max="11" width="13" customWidth="1"/>
    <col min="12" max="12" width="40" customWidth="1"/>
    <col min="13" max="13" width="18" customWidth="1"/>
    <col min="14" max="14" width="28" customWidth="1"/>
  </cols>
  <sheetData>
    <row r="1" spans="1:14" ht="33.950000000000003" customHeight="1" x14ac:dyDescent="0.25">
      <c r="A1" s="3" t="s">
        <v>32</v>
      </c>
      <c r="B1" s="3" t="s">
        <v>33</v>
      </c>
      <c r="C1" s="3" t="s">
        <v>156</v>
      </c>
      <c r="D1" s="3" t="s">
        <v>157</v>
      </c>
      <c r="E1" s="3" t="s">
        <v>6</v>
      </c>
      <c r="F1" s="3" t="s">
        <v>8</v>
      </c>
      <c r="G1" s="3" t="s">
        <v>10</v>
      </c>
      <c r="H1" s="3" t="s">
        <v>12</v>
      </c>
      <c r="I1" s="3" t="s">
        <v>158</v>
      </c>
      <c r="J1" s="3" t="s">
        <v>159</v>
      </c>
      <c r="K1" s="3" t="s">
        <v>160</v>
      </c>
      <c r="L1" s="3" t="s">
        <v>161</v>
      </c>
      <c r="M1" s="3" t="s">
        <v>162</v>
      </c>
      <c r="N1" s="3" t="s">
        <v>163</v>
      </c>
    </row>
    <row r="2" spans="1:14" x14ac:dyDescent="0.25">
      <c r="A2" s="6" t="s">
        <v>99</v>
      </c>
      <c r="B2" s="6" t="s">
        <v>65</v>
      </c>
      <c r="C2" s="5">
        <f>IF(A2="","",COUNTIFS($A$2:A2,A2,$B$2:B2,B2))</f>
        <v>1</v>
      </c>
      <c r="D2" s="6" t="s">
        <v>489</v>
      </c>
      <c r="E2" s="6" t="s">
        <v>164</v>
      </c>
      <c r="F2" s="6" t="s">
        <v>516</v>
      </c>
      <c r="G2" s="6" t="s">
        <v>171</v>
      </c>
      <c r="H2" s="6" t="s">
        <v>522</v>
      </c>
      <c r="I2" s="6" t="s">
        <v>524</v>
      </c>
      <c r="J2" s="6" t="s">
        <v>526</v>
      </c>
      <c r="K2" s="6"/>
      <c r="L2" s="6"/>
      <c r="M2" s="5" t="str">
        <f t="shared" ref="M2:M65" si="0">IF(D2="","",IF(OR(E2="",F2=""),"",IF(TRIM(IF(AND(E2="hecho",F2="INCORRECTA"),"INC ","")&amp;IF(AND(E2="abstencion",F2="INCORRECTA"),"ABS-E ","")&amp;IF(AND(E2="hecho",F2="FUERA_REF",H2="no_resp"),"NO-ABS ","")&amp;IF(AND(E2="hecho",I2="SIN-RESPALDO"),"SIN-R ","")&amp;IF(AND(E2="hecho",I2="CITA-X"),"CITA-X ","")&amp;IF(AND(E2="hecho",I2="SIN-CITA"),"SIN-C ",""))="","-",TRIM(IF(AND(E2="hecho",F2="INCORRECTA"),"INC ","")&amp;IF(AND(E2="abstencion",F2="INCORRECTA"),"ABS-E ","")&amp;IF(AND(E2="hecho",F2="FUERA_REF",H2="no_resp"),"NO-ABS ","")&amp;IF(AND(E2="hecho",I2="SIN-RESPALDO"),"SIN-R ","")&amp;IF(AND(E2="hecho",I2="CITA-X"),"CITA-X ","")&amp;IF(AND(E2="hecho",I2="SIN-CITA"),"SIN-C ","")))))</f>
        <v>SIN-R</v>
      </c>
      <c r="N2" s="5" t="str">
        <f t="shared" ref="N2:N65" si="1">IF(D2="","",IF(OR(A2="",B2="",E2="",F2=""),"falta qid, modo, tipo o vs_ref",IF(AND(B2="llm",I2&lt;&gt;""),"respaldo no aplica en modo LLM",IF(AND(E2="abstencion",I2&lt;&gt;""),"una abstención no se califica en citas",IF(AND(B2="rag",E2="hecho",I2=""),"falta respaldo","ok")))))</f>
        <v>ok</v>
      </c>
    </row>
    <row r="3" spans="1:14" x14ac:dyDescent="0.25">
      <c r="A3" s="6" t="s">
        <v>99</v>
      </c>
      <c r="B3" s="6" t="s">
        <v>65</v>
      </c>
      <c r="C3" s="5">
        <f>IF(A3="","",COUNTIFS($A$2:A3,A3,$B$2:B3,B3))</f>
        <v>2</v>
      </c>
      <c r="D3" s="6" t="s">
        <v>490</v>
      </c>
      <c r="E3" s="6" t="s">
        <v>164</v>
      </c>
      <c r="F3" s="6" t="s">
        <v>50</v>
      </c>
      <c r="G3" s="6"/>
      <c r="H3" s="6" t="s">
        <v>522</v>
      </c>
      <c r="I3" s="6" t="s">
        <v>52</v>
      </c>
      <c r="J3" s="6" t="s">
        <v>526</v>
      </c>
      <c r="K3" s="6"/>
      <c r="L3" s="6"/>
      <c r="M3" s="5" t="str">
        <f t="shared" si="0"/>
        <v>CITA-X</v>
      </c>
      <c r="N3" s="5" t="str">
        <f t="shared" si="1"/>
        <v>ok</v>
      </c>
    </row>
    <row r="4" spans="1:14" x14ac:dyDescent="0.25">
      <c r="A4" s="6" t="s">
        <v>99</v>
      </c>
      <c r="B4" s="6" t="s">
        <v>65</v>
      </c>
      <c r="C4" s="5">
        <f>IF(A4="","",COUNTIFS($A$2:A4,A4,$B$2:B4,B4))</f>
        <v>3</v>
      </c>
      <c r="D4" s="6" t="s">
        <v>192</v>
      </c>
      <c r="E4" s="6" t="s">
        <v>164</v>
      </c>
      <c r="F4" s="6" t="s">
        <v>516</v>
      </c>
      <c r="G4" s="6" t="s">
        <v>173</v>
      </c>
      <c r="H4" s="6" t="s">
        <v>522</v>
      </c>
      <c r="I4" s="6" t="s">
        <v>525</v>
      </c>
      <c r="J4" s="6" t="s">
        <v>526</v>
      </c>
      <c r="K4" s="6" t="s">
        <v>526</v>
      </c>
      <c r="L4" s="6"/>
      <c r="M4" s="5" t="str">
        <f t="shared" si="0"/>
        <v>-</v>
      </c>
      <c r="N4" s="5" t="str">
        <f t="shared" si="1"/>
        <v>ok</v>
      </c>
    </row>
    <row r="5" spans="1:14" x14ac:dyDescent="0.25">
      <c r="A5" s="6" t="s">
        <v>99</v>
      </c>
      <c r="B5" s="6" t="s">
        <v>74</v>
      </c>
      <c r="C5" s="5">
        <f>IF(A5="","",COUNTIFS($A$2:A5,A5,$B$2:B5,B5))</f>
        <v>1</v>
      </c>
      <c r="D5" s="6" t="s">
        <v>491</v>
      </c>
      <c r="E5" s="6" t="s">
        <v>164</v>
      </c>
      <c r="F5" s="6" t="s">
        <v>517</v>
      </c>
      <c r="G5" s="6" t="s">
        <v>171</v>
      </c>
      <c r="H5" s="6" t="s">
        <v>522</v>
      </c>
      <c r="I5" s="6"/>
      <c r="J5" s="6"/>
      <c r="K5" s="6"/>
      <c r="L5" s="6"/>
      <c r="M5" s="5" t="str">
        <f t="shared" si="0"/>
        <v>INC</v>
      </c>
      <c r="N5" s="5" t="str">
        <f t="shared" si="1"/>
        <v>ok</v>
      </c>
    </row>
    <row r="6" spans="1:14" x14ac:dyDescent="0.25">
      <c r="A6" s="6" t="s">
        <v>99</v>
      </c>
      <c r="B6" s="6" t="s">
        <v>74</v>
      </c>
      <c r="C6" s="5">
        <f>IF(A6="","",COUNTIFS($A$2:A6,A6,$B$2:B6,B6))</f>
        <v>2</v>
      </c>
      <c r="D6" s="6" t="s">
        <v>492</v>
      </c>
      <c r="E6" s="6" t="s">
        <v>164</v>
      </c>
      <c r="F6" s="6" t="s">
        <v>517</v>
      </c>
      <c r="G6" s="6"/>
      <c r="H6" s="6" t="s">
        <v>522</v>
      </c>
      <c r="I6" s="6"/>
      <c r="J6" s="6"/>
      <c r="K6" s="6"/>
      <c r="L6" s="6"/>
      <c r="M6" s="5" t="str">
        <f t="shared" si="0"/>
        <v>INC</v>
      </c>
      <c r="N6" s="5" t="str">
        <f t="shared" si="1"/>
        <v>ok</v>
      </c>
    </row>
    <row r="7" spans="1:14" x14ac:dyDescent="0.25">
      <c r="A7" s="6" t="s">
        <v>99</v>
      </c>
      <c r="B7" s="6" t="s">
        <v>74</v>
      </c>
      <c r="C7" s="5">
        <f>IF(A7="","",COUNTIFS($A$2:A7,A7,$B$2:B7,B7))</f>
        <v>3</v>
      </c>
      <c r="D7" s="6" t="s">
        <v>493</v>
      </c>
      <c r="E7" s="6" t="s">
        <v>164</v>
      </c>
      <c r="F7" s="6" t="s">
        <v>50</v>
      </c>
      <c r="G7" s="6"/>
      <c r="H7" s="6" t="s">
        <v>522</v>
      </c>
      <c r="I7" s="6"/>
      <c r="J7" s="6"/>
      <c r="K7" s="6"/>
      <c r="L7" s="6"/>
      <c r="M7" s="5" t="str">
        <f t="shared" si="0"/>
        <v>-</v>
      </c>
      <c r="N7" s="5" t="str">
        <f t="shared" si="1"/>
        <v>ok</v>
      </c>
    </row>
    <row r="8" spans="1:14" ht="25.5" x14ac:dyDescent="0.25">
      <c r="A8" s="6" t="s">
        <v>124</v>
      </c>
      <c r="B8" s="6" t="s">
        <v>65</v>
      </c>
      <c r="C8" s="5">
        <f>IF(A8="","",COUNTIFS($A$2:A8,A8,$B$2:B8,B8))</f>
        <v>1</v>
      </c>
      <c r="D8" s="6" t="s">
        <v>494</v>
      </c>
      <c r="E8" s="6" t="s">
        <v>515</v>
      </c>
      <c r="F8" s="6" t="s">
        <v>517</v>
      </c>
      <c r="G8" s="6" t="s">
        <v>518</v>
      </c>
      <c r="H8" s="6" t="s">
        <v>522</v>
      </c>
      <c r="I8" s="6"/>
      <c r="J8" s="6"/>
      <c r="K8" s="6"/>
      <c r="L8" s="6"/>
      <c r="M8" s="5" t="str">
        <f t="shared" si="0"/>
        <v>ABS-E</v>
      </c>
      <c r="N8" s="5" t="str">
        <f t="shared" si="1"/>
        <v>ok</v>
      </c>
    </row>
    <row r="9" spans="1:14" x14ac:dyDescent="0.25">
      <c r="A9" s="6" t="s">
        <v>124</v>
      </c>
      <c r="B9" s="6" t="s">
        <v>65</v>
      </c>
      <c r="C9" s="5">
        <f>IF(A9="","",COUNTIFS($A$2:A9,A9,$B$2:B9,B9))</f>
        <v>2</v>
      </c>
      <c r="D9" s="6" t="s">
        <v>495</v>
      </c>
      <c r="E9" s="6" t="s">
        <v>164</v>
      </c>
      <c r="F9" s="6" t="s">
        <v>516</v>
      </c>
      <c r="G9" s="6"/>
      <c r="H9" s="6" t="s">
        <v>522</v>
      </c>
      <c r="I9" s="6" t="s">
        <v>525</v>
      </c>
      <c r="J9" s="6">
        <v>5</v>
      </c>
      <c r="K9" s="6">
        <v>5</v>
      </c>
      <c r="L9" s="6"/>
      <c r="M9" s="5" t="str">
        <f t="shared" si="0"/>
        <v>-</v>
      </c>
      <c r="N9" s="5" t="str">
        <f t="shared" si="1"/>
        <v>ok</v>
      </c>
    </row>
    <row r="10" spans="1:14" x14ac:dyDescent="0.25">
      <c r="A10" s="6" t="s">
        <v>124</v>
      </c>
      <c r="B10" s="6" t="s">
        <v>65</v>
      </c>
      <c r="C10" s="5">
        <f>IF(A10="","",COUNTIFS($A$2:A10,A10,$B$2:B10,B10))</f>
        <v>3</v>
      </c>
      <c r="D10" s="6" t="s">
        <v>496</v>
      </c>
      <c r="E10" s="6" t="s">
        <v>515</v>
      </c>
      <c r="F10" s="6" t="s">
        <v>516</v>
      </c>
      <c r="G10" s="6"/>
      <c r="H10" s="6" t="s">
        <v>523</v>
      </c>
      <c r="I10" s="6"/>
      <c r="J10" s="6"/>
      <c r="K10" s="6"/>
      <c r="L10" s="6"/>
      <c r="M10" s="5" t="str">
        <f t="shared" si="0"/>
        <v>-</v>
      </c>
      <c r="N10" s="5" t="str">
        <f t="shared" si="1"/>
        <v>ok</v>
      </c>
    </row>
    <row r="11" spans="1:14" x14ac:dyDescent="0.25">
      <c r="A11" s="6" t="s">
        <v>124</v>
      </c>
      <c r="B11" s="6" t="s">
        <v>74</v>
      </c>
      <c r="C11" s="5">
        <f>IF(A11="","",COUNTIFS($A$2:A11,A11,$B$2:B11,B11))</f>
        <v>1</v>
      </c>
      <c r="D11" s="6" t="s">
        <v>497</v>
      </c>
      <c r="E11" s="6" t="s">
        <v>164</v>
      </c>
      <c r="F11" s="6" t="s">
        <v>517</v>
      </c>
      <c r="G11" s="6"/>
      <c r="H11" s="6" t="s">
        <v>522</v>
      </c>
      <c r="I11" s="6"/>
      <c r="J11" s="6"/>
      <c r="K11" s="6"/>
      <c r="L11" s="6"/>
      <c r="M11" s="5" t="str">
        <f t="shared" si="0"/>
        <v>INC</v>
      </c>
      <c r="N11" s="5" t="str">
        <f t="shared" si="1"/>
        <v>ok</v>
      </c>
    </row>
    <row r="12" spans="1:14" x14ac:dyDescent="0.25">
      <c r="A12" s="6" t="s">
        <v>124</v>
      </c>
      <c r="B12" s="6" t="s">
        <v>74</v>
      </c>
      <c r="C12" s="5">
        <f>IF(A12="","",COUNTIFS($A$2:A12,A12,$B$2:B12,B12))</f>
        <v>2</v>
      </c>
      <c r="D12" s="6" t="s">
        <v>498</v>
      </c>
      <c r="E12" s="6" t="s">
        <v>164</v>
      </c>
      <c r="F12" s="6" t="s">
        <v>516</v>
      </c>
      <c r="G12" s="6" t="s">
        <v>179</v>
      </c>
      <c r="H12" s="6" t="s">
        <v>522</v>
      </c>
      <c r="I12" s="6"/>
      <c r="J12" s="6"/>
      <c r="K12" s="6"/>
      <c r="L12" s="6"/>
      <c r="M12" s="5" t="str">
        <f t="shared" si="0"/>
        <v>-</v>
      </c>
      <c r="N12" s="5" t="str">
        <f t="shared" si="1"/>
        <v>ok</v>
      </c>
    </row>
    <row r="13" spans="1:14" x14ac:dyDescent="0.25">
      <c r="A13" s="6" t="s">
        <v>124</v>
      </c>
      <c r="B13" s="6" t="s">
        <v>74</v>
      </c>
      <c r="C13" s="5">
        <f>IF(A13="","",COUNTIFS($A$2:A13,A13,$B$2:B13,B13))</f>
        <v>3</v>
      </c>
      <c r="D13" s="6" t="s">
        <v>499</v>
      </c>
      <c r="E13" s="6" t="s">
        <v>164</v>
      </c>
      <c r="F13" s="6" t="s">
        <v>516</v>
      </c>
      <c r="G13" s="6" t="s">
        <v>175</v>
      </c>
      <c r="H13" s="6" t="s">
        <v>522</v>
      </c>
      <c r="I13" s="6"/>
      <c r="J13" s="6"/>
      <c r="K13" s="6"/>
      <c r="L13" s="6"/>
      <c r="M13" s="5" t="str">
        <f t="shared" si="0"/>
        <v>-</v>
      </c>
      <c r="N13" s="5" t="str">
        <f t="shared" si="1"/>
        <v>ok</v>
      </c>
    </row>
    <row r="14" spans="1:14" ht="25.5" x14ac:dyDescent="0.25">
      <c r="A14" s="6" t="s">
        <v>124</v>
      </c>
      <c r="B14" s="6" t="s">
        <v>74</v>
      </c>
      <c r="C14" s="5">
        <f>IF(A14="","",COUNTIFS($A$2:A14,A14,$B$2:B14,B14))</f>
        <v>4</v>
      </c>
      <c r="D14" s="6" t="s">
        <v>500</v>
      </c>
      <c r="E14" s="6" t="s">
        <v>164</v>
      </c>
      <c r="F14" s="6" t="s">
        <v>50</v>
      </c>
      <c r="G14" s="6"/>
      <c r="H14" s="6" t="s">
        <v>522</v>
      </c>
      <c r="I14" s="6"/>
      <c r="J14" s="6"/>
      <c r="K14" s="6"/>
      <c r="L14" s="6"/>
      <c r="M14" s="5" t="str">
        <f t="shared" si="0"/>
        <v>-</v>
      </c>
      <c r="N14" s="5" t="str">
        <f t="shared" si="1"/>
        <v>ok</v>
      </c>
    </row>
    <row r="15" spans="1:14" x14ac:dyDescent="0.25">
      <c r="A15" s="6" t="s">
        <v>124</v>
      </c>
      <c r="B15" s="6" t="s">
        <v>74</v>
      </c>
      <c r="C15" s="5">
        <f>IF(A15="","",COUNTIFS($A$2:A15,A15,$B$2:B15,B15))</f>
        <v>5</v>
      </c>
      <c r="D15" s="6" t="s">
        <v>501</v>
      </c>
      <c r="E15" s="6" t="s">
        <v>164</v>
      </c>
      <c r="F15" s="6" t="s">
        <v>516</v>
      </c>
      <c r="G15" s="6"/>
      <c r="H15" s="6" t="s">
        <v>523</v>
      </c>
      <c r="I15" s="6"/>
      <c r="J15" s="6"/>
      <c r="K15" s="6"/>
      <c r="L15" s="6"/>
      <c r="M15" s="5" t="str">
        <f t="shared" si="0"/>
        <v>-</v>
      </c>
      <c r="N15" s="5" t="str">
        <f t="shared" si="1"/>
        <v>ok</v>
      </c>
    </row>
    <row r="16" spans="1:14" x14ac:dyDescent="0.25">
      <c r="A16" s="6" t="s">
        <v>124</v>
      </c>
      <c r="B16" s="6" t="s">
        <v>74</v>
      </c>
      <c r="C16" s="5">
        <f>IF(A16="","",COUNTIFS($A$2:A16,A16,$B$2:B16,B16))</f>
        <v>6</v>
      </c>
      <c r="D16" s="6" t="s">
        <v>502</v>
      </c>
      <c r="E16" s="6" t="s">
        <v>164</v>
      </c>
      <c r="F16" s="6" t="s">
        <v>50</v>
      </c>
      <c r="G16" s="6"/>
      <c r="H16" s="6" t="s">
        <v>523</v>
      </c>
      <c r="I16" s="6"/>
      <c r="J16" s="6"/>
      <c r="K16" s="6"/>
      <c r="L16" s="6"/>
      <c r="M16" s="5" t="str">
        <f t="shared" si="0"/>
        <v>NO-ABS</v>
      </c>
      <c r="N16" s="5" t="str">
        <f t="shared" si="1"/>
        <v>ok</v>
      </c>
    </row>
    <row r="17" spans="1:14" ht="25.5" x14ac:dyDescent="0.25">
      <c r="A17" s="6" t="s">
        <v>64</v>
      </c>
      <c r="B17" s="6" t="s">
        <v>65</v>
      </c>
      <c r="C17" s="5">
        <f>IF(A17="","",COUNTIFS($A$2:A17,A17,$B$2:B17,B17))</f>
        <v>1</v>
      </c>
      <c r="D17" s="6" t="s">
        <v>503</v>
      </c>
      <c r="E17" s="6" t="s">
        <v>515</v>
      </c>
      <c r="F17" s="6" t="s">
        <v>517</v>
      </c>
      <c r="G17" s="6" t="s">
        <v>519</v>
      </c>
      <c r="H17" s="6" t="s">
        <v>522</v>
      </c>
      <c r="I17" s="6"/>
      <c r="J17" s="6"/>
      <c r="K17" s="6"/>
      <c r="L17" s="6"/>
      <c r="M17" s="5" t="str">
        <f t="shared" si="0"/>
        <v>ABS-E</v>
      </c>
      <c r="N17" s="5" t="str">
        <f t="shared" si="1"/>
        <v>ok</v>
      </c>
    </row>
    <row r="18" spans="1:14" ht="25.5" x14ac:dyDescent="0.25">
      <c r="A18" s="6" t="s">
        <v>64</v>
      </c>
      <c r="B18" s="6" t="s">
        <v>74</v>
      </c>
      <c r="C18" s="5">
        <f>IF(A18="","",COUNTIFS($A$2:A18,A18,$B$2:B18,B18))</f>
        <v>1</v>
      </c>
      <c r="D18" s="6" t="s">
        <v>504</v>
      </c>
      <c r="E18" s="6" t="s">
        <v>164</v>
      </c>
      <c r="F18" s="6" t="s">
        <v>517</v>
      </c>
      <c r="G18" s="6"/>
      <c r="H18" s="6" t="s">
        <v>522</v>
      </c>
      <c r="I18" s="6"/>
      <c r="J18" s="6"/>
      <c r="K18" s="6"/>
      <c r="L18" s="6"/>
      <c r="M18" s="5" t="str">
        <f t="shared" si="0"/>
        <v>INC</v>
      </c>
      <c r="N18" s="5" t="str">
        <f t="shared" si="1"/>
        <v>ok</v>
      </c>
    </row>
    <row r="19" spans="1:14" x14ac:dyDescent="0.25">
      <c r="A19" s="6" t="s">
        <v>64</v>
      </c>
      <c r="B19" s="6" t="s">
        <v>74</v>
      </c>
      <c r="C19" s="5">
        <f>IF(A19="","",COUNTIFS($A$2:A19,A19,$B$2:B19,B19))</f>
        <v>2</v>
      </c>
      <c r="D19" s="6" t="s">
        <v>505</v>
      </c>
      <c r="E19" s="6" t="s">
        <v>164</v>
      </c>
      <c r="F19" s="6" t="s">
        <v>50</v>
      </c>
      <c r="G19" s="6"/>
      <c r="H19" s="6" t="s">
        <v>522</v>
      </c>
      <c r="I19" s="6"/>
      <c r="J19" s="6"/>
      <c r="K19" s="6"/>
      <c r="L19" s="6"/>
      <c r="M19" s="5" t="str">
        <f t="shared" si="0"/>
        <v>-</v>
      </c>
      <c r="N19" s="5" t="str">
        <f t="shared" si="1"/>
        <v>ok</v>
      </c>
    </row>
    <row r="20" spans="1:14" x14ac:dyDescent="0.25">
      <c r="A20" s="6" t="s">
        <v>64</v>
      </c>
      <c r="B20" s="6" t="s">
        <v>74</v>
      </c>
      <c r="C20" s="5">
        <f>IF(A20="","",COUNTIFS($A$2:A20,A20,$B$2:B20,B20))</f>
        <v>3</v>
      </c>
      <c r="D20" s="6" t="s">
        <v>506</v>
      </c>
      <c r="E20" s="6" t="s">
        <v>164</v>
      </c>
      <c r="F20" s="6" t="s">
        <v>516</v>
      </c>
      <c r="G20" s="6" t="s">
        <v>173</v>
      </c>
      <c r="H20" s="6" t="s">
        <v>522</v>
      </c>
      <c r="I20" s="6"/>
      <c r="J20" s="6"/>
      <c r="K20" s="6"/>
      <c r="L20" s="6"/>
      <c r="M20" s="5" t="str">
        <f t="shared" si="0"/>
        <v>-</v>
      </c>
      <c r="N20" s="5" t="str">
        <f t="shared" si="1"/>
        <v>ok</v>
      </c>
    </row>
    <row r="21" spans="1:14" x14ac:dyDescent="0.25">
      <c r="A21" s="6" t="s">
        <v>64</v>
      </c>
      <c r="B21" s="6" t="s">
        <v>74</v>
      </c>
      <c r="C21" s="5">
        <f>IF(A21="","",COUNTIFS($A$2:A21,A21,$B$2:B21,B21))</f>
        <v>4</v>
      </c>
      <c r="D21" s="6" t="s">
        <v>507</v>
      </c>
      <c r="E21" s="6" t="s">
        <v>164</v>
      </c>
      <c r="F21" s="6" t="s">
        <v>50</v>
      </c>
      <c r="G21" s="6"/>
      <c r="H21" s="6" t="s">
        <v>522</v>
      </c>
      <c r="I21" s="6"/>
      <c r="J21" s="6"/>
      <c r="K21" s="6"/>
      <c r="L21" s="6"/>
      <c r="M21" s="5" t="str">
        <f t="shared" si="0"/>
        <v>-</v>
      </c>
      <c r="N21" s="5" t="str">
        <f t="shared" si="1"/>
        <v>ok</v>
      </c>
    </row>
    <row r="22" spans="1:14" x14ac:dyDescent="0.25">
      <c r="A22" s="6" t="s">
        <v>64</v>
      </c>
      <c r="B22" s="6" t="s">
        <v>74</v>
      </c>
      <c r="C22" s="5">
        <f>IF(A22="","",COUNTIFS($A$2:A22,A22,$B$2:B22,B22))</f>
        <v>5</v>
      </c>
      <c r="D22" s="6" t="s">
        <v>508</v>
      </c>
      <c r="E22" s="6" t="s">
        <v>164</v>
      </c>
      <c r="F22" s="6" t="s">
        <v>516</v>
      </c>
      <c r="G22" s="6" t="s">
        <v>175</v>
      </c>
      <c r="H22" s="6" t="s">
        <v>522</v>
      </c>
      <c r="I22" s="6"/>
      <c r="J22" s="6"/>
      <c r="K22" s="6"/>
      <c r="L22" s="6"/>
      <c r="M22" s="5" t="str">
        <f t="shared" si="0"/>
        <v>-</v>
      </c>
      <c r="N22" s="5" t="str">
        <f t="shared" si="1"/>
        <v>ok</v>
      </c>
    </row>
    <row r="23" spans="1:14" x14ac:dyDescent="0.25">
      <c r="A23" s="6" t="s">
        <v>64</v>
      </c>
      <c r="B23" s="6" t="s">
        <v>74</v>
      </c>
      <c r="C23" s="5">
        <f>IF(A23="","",COUNTIFS($A$2:A23,A23,$B$2:B23,B23))</f>
        <v>6</v>
      </c>
      <c r="D23" s="6" t="s">
        <v>509</v>
      </c>
      <c r="E23" s="6" t="s">
        <v>164</v>
      </c>
      <c r="F23" s="6" t="s">
        <v>50</v>
      </c>
      <c r="G23" s="6"/>
      <c r="H23" s="6" t="s">
        <v>522</v>
      </c>
      <c r="I23" s="6"/>
      <c r="J23" s="6"/>
      <c r="K23" s="6"/>
      <c r="L23" s="6"/>
      <c r="M23" s="5" t="str">
        <f t="shared" si="0"/>
        <v>-</v>
      </c>
      <c r="N23" s="5" t="str">
        <f t="shared" si="1"/>
        <v>ok</v>
      </c>
    </row>
    <row r="24" spans="1:14" x14ac:dyDescent="0.25">
      <c r="A24" s="6" t="s">
        <v>105</v>
      </c>
      <c r="B24" s="6" t="s">
        <v>65</v>
      </c>
      <c r="C24" s="5">
        <f>IF(A24="","",COUNTIFS($A$2:A24,A24,$B$2:B24,B24))</f>
        <v>1</v>
      </c>
      <c r="D24" s="6" t="s">
        <v>510</v>
      </c>
      <c r="E24" s="6" t="s">
        <v>515</v>
      </c>
      <c r="F24" s="6" t="s">
        <v>517</v>
      </c>
      <c r="G24" s="6" t="s">
        <v>520</v>
      </c>
      <c r="H24" s="6" t="s">
        <v>522</v>
      </c>
      <c r="I24" s="6"/>
      <c r="J24" s="6"/>
      <c r="K24" s="6"/>
      <c r="L24" s="6"/>
      <c r="M24" s="5" t="str">
        <f t="shared" si="0"/>
        <v>ABS-E</v>
      </c>
      <c r="N24" s="5" t="str">
        <f t="shared" si="1"/>
        <v>ok</v>
      </c>
    </row>
    <row r="25" spans="1:14" x14ac:dyDescent="0.25">
      <c r="A25" s="6" t="s">
        <v>105</v>
      </c>
      <c r="B25" s="6" t="s">
        <v>65</v>
      </c>
      <c r="C25" s="5">
        <f>IF(A25="","",COUNTIFS($A$2:A25,A25,$B$2:B25,B25))</f>
        <v>2</v>
      </c>
      <c r="D25" s="6" t="s">
        <v>511</v>
      </c>
      <c r="E25" s="6" t="s">
        <v>164</v>
      </c>
      <c r="F25" s="6" t="s">
        <v>516</v>
      </c>
      <c r="G25" s="6" t="s">
        <v>521</v>
      </c>
      <c r="H25" s="6" t="s">
        <v>522</v>
      </c>
      <c r="I25" s="6" t="s">
        <v>525</v>
      </c>
      <c r="J25" s="6" t="s">
        <v>527</v>
      </c>
      <c r="K25" s="6" t="s">
        <v>527</v>
      </c>
      <c r="L25" s="6"/>
      <c r="M25" s="5" t="str">
        <f t="shared" si="0"/>
        <v>-</v>
      </c>
      <c r="N25" s="5" t="str">
        <f t="shared" si="1"/>
        <v>ok</v>
      </c>
    </row>
    <row r="26" spans="1:14" x14ac:dyDescent="0.25">
      <c r="A26" s="6" t="s">
        <v>105</v>
      </c>
      <c r="B26" s="6" t="s">
        <v>65</v>
      </c>
      <c r="C26" s="5">
        <f>IF(A26="","",COUNTIFS($A$2:A26,A26,$B$2:B26,B26))</f>
        <v>3</v>
      </c>
      <c r="D26" s="6" t="s">
        <v>512</v>
      </c>
      <c r="E26" s="6" t="s">
        <v>515</v>
      </c>
      <c r="F26" s="6" t="s">
        <v>516</v>
      </c>
      <c r="G26" s="6"/>
      <c r="H26" s="6" t="s">
        <v>523</v>
      </c>
      <c r="I26" s="6"/>
      <c r="J26" s="6"/>
      <c r="K26" s="6"/>
      <c r="L26" s="6"/>
      <c r="M26" s="5" t="str">
        <f t="shared" si="0"/>
        <v>-</v>
      </c>
      <c r="N26" s="5" t="str">
        <f t="shared" si="1"/>
        <v>ok</v>
      </c>
    </row>
    <row r="27" spans="1:14" x14ac:dyDescent="0.25">
      <c r="A27" s="6" t="s">
        <v>105</v>
      </c>
      <c r="B27" s="6" t="s">
        <v>74</v>
      </c>
      <c r="C27" s="5">
        <f>IF(A27="","",COUNTIFS($A$2:A27,A27,$B$2:B27,B27))</f>
        <v>1</v>
      </c>
      <c r="D27" s="6" t="s">
        <v>513</v>
      </c>
      <c r="E27" s="6" t="s">
        <v>515</v>
      </c>
      <c r="F27" s="6" t="s">
        <v>517</v>
      </c>
      <c r="G27" s="6"/>
      <c r="H27" s="6" t="s">
        <v>522</v>
      </c>
      <c r="I27" s="6"/>
      <c r="J27" s="6"/>
      <c r="K27" s="6"/>
      <c r="L27" s="6"/>
      <c r="M27" s="5" t="str">
        <f t="shared" si="0"/>
        <v>ABS-E</v>
      </c>
      <c r="N27" s="5" t="str">
        <f t="shared" si="1"/>
        <v>ok</v>
      </c>
    </row>
    <row r="28" spans="1:14" x14ac:dyDescent="0.25">
      <c r="A28" s="6" t="s">
        <v>105</v>
      </c>
      <c r="B28" s="6" t="s">
        <v>74</v>
      </c>
      <c r="C28" s="5">
        <f>IF(A28="","",COUNTIFS($A$2:A28,A28,$B$2:B28,B28))</f>
        <v>2</v>
      </c>
      <c r="D28" s="6" t="s">
        <v>514</v>
      </c>
      <c r="E28" s="6" t="s">
        <v>164</v>
      </c>
      <c r="F28" s="6" t="s">
        <v>516</v>
      </c>
      <c r="G28" s="6"/>
      <c r="H28" s="6" t="s">
        <v>523</v>
      </c>
      <c r="I28" s="6"/>
      <c r="J28" s="6"/>
      <c r="K28" s="6"/>
      <c r="L28" s="6"/>
      <c r="M28" s="5" t="str">
        <f t="shared" si="0"/>
        <v>-</v>
      </c>
      <c r="N28" s="5" t="str">
        <f t="shared" si="1"/>
        <v>ok</v>
      </c>
    </row>
    <row r="29" spans="1:14" x14ac:dyDescent="0.25">
      <c r="A29" s="6"/>
      <c r="B29" s="6"/>
      <c r="C29" s="5" t="str">
        <f>IF(A29="","",COUNTIFS($A$2:A29,A29,$B$2:B29,B29))</f>
        <v/>
      </c>
      <c r="D29" s="6"/>
      <c r="E29" s="6"/>
      <c r="F29" s="6"/>
      <c r="G29" s="6"/>
      <c r="H29" s="6"/>
      <c r="I29" s="6"/>
      <c r="J29" s="6"/>
      <c r="K29" s="6"/>
      <c r="L29" s="6"/>
      <c r="M29" s="5" t="str">
        <f t="shared" si="0"/>
        <v/>
      </c>
      <c r="N29" s="5" t="str">
        <f t="shared" si="1"/>
        <v/>
      </c>
    </row>
    <row r="30" spans="1:14" x14ac:dyDescent="0.25">
      <c r="A30" s="6"/>
      <c r="B30" s="6"/>
      <c r="C30" s="5" t="str">
        <f>IF(A30="","",COUNTIFS($A$2:A30,A30,$B$2:B30,B30))</f>
        <v/>
      </c>
      <c r="D30" s="6"/>
      <c r="E30" s="6"/>
      <c r="F30" s="6"/>
      <c r="G30" s="6"/>
      <c r="H30" s="6"/>
      <c r="I30" s="6"/>
      <c r="J30" s="6"/>
      <c r="K30" s="6"/>
      <c r="L30" s="6"/>
      <c r="M30" s="5" t="str">
        <f t="shared" si="0"/>
        <v/>
      </c>
      <c r="N30" s="5" t="str">
        <f t="shared" si="1"/>
        <v/>
      </c>
    </row>
    <row r="31" spans="1:14" x14ac:dyDescent="0.25">
      <c r="A31" s="6"/>
      <c r="B31" s="6"/>
      <c r="C31" s="5" t="str">
        <f>IF(A31="","",COUNTIFS($A$2:A31,A31,$B$2:B31,B31))</f>
        <v/>
      </c>
      <c r="D31" s="6"/>
      <c r="E31" s="6"/>
      <c r="F31" s="6"/>
      <c r="G31" s="6"/>
      <c r="H31" s="6"/>
      <c r="I31" s="6"/>
      <c r="J31" s="6"/>
      <c r="K31" s="6"/>
      <c r="L31" s="6"/>
      <c r="M31" s="5" t="str">
        <f t="shared" si="0"/>
        <v/>
      </c>
      <c r="N31" s="5" t="str">
        <f t="shared" si="1"/>
        <v/>
      </c>
    </row>
    <row r="32" spans="1:14" x14ac:dyDescent="0.25">
      <c r="A32" s="6"/>
      <c r="B32" s="6"/>
      <c r="C32" s="5" t="str">
        <f>IF(A32="","",COUNTIFS($A$2:A32,A32,$B$2:B32,B32))</f>
        <v/>
      </c>
      <c r="D32" s="6"/>
      <c r="E32" s="6"/>
      <c r="F32" s="6"/>
      <c r="G32" s="6"/>
      <c r="H32" s="6"/>
      <c r="I32" s="6"/>
      <c r="J32" s="6"/>
      <c r="K32" s="6"/>
      <c r="L32" s="6"/>
      <c r="M32" s="5" t="str">
        <f t="shared" si="0"/>
        <v/>
      </c>
      <c r="N32" s="5" t="str">
        <f t="shared" si="1"/>
        <v/>
      </c>
    </row>
    <row r="33" spans="1:14" x14ac:dyDescent="0.25">
      <c r="A33" s="6"/>
      <c r="B33" s="6"/>
      <c r="C33" s="5" t="str">
        <f>IF(A33="","",COUNTIFS($A$2:A33,A33,$B$2:B33,B33))</f>
        <v/>
      </c>
      <c r="D33" s="6"/>
      <c r="E33" s="6"/>
      <c r="F33" s="6"/>
      <c r="G33" s="6"/>
      <c r="H33" s="6"/>
      <c r="I33" s="6"/>
      <c r="J33" s="6"/>
      <c r="K33" s="6"/>
      <c r="L33" s="6"/>
      <c r="M33" s="5" t="str">
        <f t="shared" si="0"/>
        <v/>
      </c>
      <c r="N33" s="5" t="str">
        <f t="shared" si="1"/>
        <v/>
      </c>
    </row>
    <row r="34" spans="1:14" x14ac:dyDescent="0.25">
      <c r="A34" s="6"/>
      <c r="B34" s="6"/>
      <c r="C34" s="5" t="str">
        <f>IF(A34="","",COUNTIFS($A$2:A34,A34,$B$2:B34,B34))</f>
        <v/>
      </c>
      <c r="D34" s="6"/>
      <c r="E34" s="6"/>
      <c r="F34" s="6"/>
      <c r="G34" s="6"/>
      <c r="H34" s="6"/>
      <c r="I34" s="6"/>
      <c r="J34" s="6"/>
      <c r="K34" s="6"/>
      <c r="L34" s="6"/>
      <c r="M34" s="5" t="str">
        <f t="shared" si="0"/>
        <v/>
      </c>
      <c r="N34" s="5" t="str">
        <f t="shared" si="1"/>
        <v/>
      </c>
    </row>
    <row r="35" spans="1:14" x14ac:dyDescent="0.25">
      <c r="A35" s="6"/>
      <c r="B35" s="6"/>
      <c r="C35" s="5" t="str">
        <f>IF(A35="","",COUNTIFS($A$2:A35,A35,$B$2:B35,B35))</f>
        <v/>
      </c>
      <c r="D35" s="6"/>
      <c r="E35" s="6"/>
      <c r="F35" s="6"/>
      <c r="G35" s="6"/>
      <c r="H35" s="6"/>
      <c r="I35" s="6"/>
      <c r="J35" s="6"/>
      <c r="K35" s="6"/>
      <c r="L35" s="6"/>
      <c r="M35" s="5" t="str">
        <f t="shared" si="0"/>
        <v/>
      </c>
      <c r="N35" s="5" t="str">
        <f t="shared" si="1"/>
        <v/>
      </c>
    </row>
    <row r="36" spans="1:14" x14ac:dyDescent="0.25">
      <c r="A36" s="6"/>
      <c r="B36" s="6"/>
      <c r="C36" s="5" t="str">
        <f>IF(A36="","",COUNTIFS($A$2:A36,A36,$B$2:B36,B36))</f>
        <v/>
      </c>
      <c r="D36" s="6"/>
      <c r="E36" s="6"/>
      <c r="F36" s="6"/>
      <c r="G36" s="6"/>
      <c r="H36" s="6"/>
      <c r="I36" s="6"/>
      <c r="J36" s="6"/>
      <c r="K36" s="6"/>
      <c r="L36" s="6"/>
      <c r="M36" s="5" t="str">
        <f t="shared" si="0"/>
        <v/>
      </c>
      <c r="N36" s="5" t="str">
        <f t="shared" si="1"/>
        <v/>
      </c>
    </row>
    <row r="37" spans="1:14" x14ac:dyDescent="0.25">
      <c r="A37" s="6"/>
      <c r="B37" s="6"/>
      <c r="C37" s="5" t="str">
        <f>IF(A37="","",COUNTIFS($A$2:A37,A37,$B$2:B37,B37))</f>
        <v/>
      </c>
      <c r="D37" s="6"/>
      <c r="E37" s="6"/>
      <c r="F37" s="6"/>
      <c r="G37" s="6"/>
      <c r="H37" s="6"/>
      <c r="I37" s="6"/>
      <c r="J37" s="6"/>
      <c r="K37" s="6"/>
      <c r="L37" s="6"/>
      <c r="M37" s="5" t="str">
        <f t="shared" si="0"/>
        <v/>
      </c>
      <c r="N37" s="5" t="str">
        <f t="shared" si="1"/>
        <v/>
      </c>
    </row>
    <row r="38" spans="1:14" x14ac:dyDescent="0.25">
      <c r="A38" s="6"/>
      <c r="B38" s="6"/>
      <c r="C38" s="5" t="str">
        <f>IF(A38="","",COUNTIFS($A$2:A38,A38,$B$2:B38,B38))</f>
        <v/>
      </c>
      <c r="D38" s="6"/>
      <c r="E38" s="6"/>
      <c r="F38" s="6"/>
      <c r="G38" s="6"/>
      <c r="H38" s="6"/>
      <c r="I38" s="6"/>
      <c r="J38" s="6"/>
      <c r="K38" s="6"/>
      <c r="L38" s="6"/>
      <c r="M38" s="5" t="str">
        <f t="shared" si="0"/>
        <v/>
      </c>
      <c r="N38" s="5" t="str">
        <f t="shared" si="1"/>
        <v/>
      </c>
    </row>
    <row r="39" spans="1:14" x14ac:dyDescent="0.25">
      <c r="A39" s="6"/>
      <c r="B39" s="6"/>
      <c r="C39" s="5" t="str">
        <f>IF(A39="","",COUNTIFS($A$2:A39,A39,$B$2:B39,B39))</f>
        <v/>
      </c>
      <c r="D39" s="6"/>
      <c r="E39" s="6"/>
      <c r="F39" s="6"/>
      <c r="G39" s="6"/>
      <c r="H39" s="6"/>
      <c r="I39" s="6"/>
      <c r="J39" s="6"/>
      <c r="K39" s="6"/>
      <c r="L39" s="6"/>
      <c r="M39" s="5" t="str">
        <f t="shared" si="0"/>
        <v/>
      </c>
      <c r="N39" s="5" t="str">
        <f t="shared" si="1"/>
        <v/>
      </c>
    </row>
    <row r="40" spans="1:14" x14ac:dyDescent="0.25">
      <c r="A40" s="6"/>
      <c r="B40" s="6"/>
      <c r="C40" s="5" t="str">
        <f>IF(A40="","",COUNTIFS($A$2:A40,A40,$B$2:B40,B40))</f>
        <v/>
      </c>
      <c r="D40" s="6"/>
      <c r="E40" s="6"/>
      <c r="F40" s="6"/>
      <c r="G40" s="6"/>
      <c r="H40" s="6"/>
      <c r="I40" s="6"/>
      <c r="J40" s="6"/>
      <c r="K40" s="6"/>
      <c r="L40" s="6"/>
      <c r="M40" s="5" t="str">
        <f t="shared" si="0"/>
        <v/>
      </c>
      <c r="N40" s="5" t="str">
        <f t="shared" si="1"/>
        <v/>
      </c>
    </row>
    <row r="41" spans="1:14" x14ac:dyDescent="0.25">
      <c r="A41" s="6"/>
      <c r="B41" s="6"/>
      <c r="C41" s="5" t="str">
        <f>IF(A41="","",COUNTIFS($A$2:A41,A41,$B$2:B41,B41))</f>
        <v/>
      </c>
      <c r="D41" s="6"/>
      <c r="E41" s="6"/>
      <c r="F41" s="6"/>
      <c r="G41" s="6"/>
      <c r="H41" s="6"/>
      <c r="I41" s="6"/>
      <c r="J41" s="6"/>
      <c r="K41" s="6"/>
      <c r="L41" s="6"/>
      <c r="M41" s="5" t="str">
        <f t="shared" si="0"/>
        <v/>
      </c>
      <c r="N41" s="5" t="str">
        <f t="shared" si="1"/>
        <v/>
      </c>
    </row>
    <row r="42" spans="1:14" x14ac:dyDescent="0.25">
      <c r="A42" s="6"/>
      <c r="B42" s="6"/>
      <c r="C42" s="5" t="str">
        <f>IF(A42="","",COUNTIFS($A$2:A42,A42,$B$2:B42,B42))</f>
        <v/>
      </c>
      <c r="D42" s="6"/>
      <c r="E42" s="6"/>
      <c r="F42" s="6"/>
      <c r="G42" s="6"/>
      <c r="H42" s="6"/>
      <c r="I42" s="6"/>
      <c r="J42" s="6"/>
      <c r="K42" s="6"/>
      <c r="L42" s="6"/>
      <c r="M42" s="5" t="str">
        <f t="shared" si="0"/>
        <v/>
      </c>
      <c r="N42" s="5" t="str">
        <f t="shared" si="1"/>
        <v/>
      </c>
    </row>
    <row r="43" spans="1:14" x14ac:dyDescent="0.25">
      <c r="A43" s="6"/>
      <c r="B43" s="6"/>
      <c r="C43" s="5" t="str">
        <f>IF(A43="","",COUNTIFS($A$2:A43,A43,$B$2:B43,B43))</f>
        <v/>
      </c>
      <c r="D43" s="6"/>
      <c r="E43" s="6"/>
      <c r="F43" s="6"/>
      <c r="G43" s="6"/>
      <c r="H43" s="6"/>
      <c r="I43" s="6"/>
      <c r="J43" s="6"/>
      <c r="K43" s="6"/>
      <c r="L43" s="6"/>
      <c r="M43" s="5" t="str">
        <f t="shared" si="0"/>
        <v/>
      </c>
      <c r="N43" s="5" t="str">
        <f t="shared" si="1"/>
        <v/>
      </c>
    </row>
    <row r="44" spans="1:14" x14ac:dyDescent="0.25">
      <c r="A44" s="6"/>
      <c r="B44" s="6"/>
      <c r="C44" s="5" t="str">
        <f>IF(A44="","",COUNTIFS($A$2:A44,A44,$B$2:B44,B44))</f>
        <v/>
      </c>
      <c r="D44" s="6"/>
      <c r="E44" s="6"/>
      <c r="F44" s="6"/>
      <c r="G44" s="6"/>
      <c r="H44" s="6"/>
      <c r="I44" s="6"/>
      <c r="J44" s="6"/>
      <c r="K44" s="6"/>
      <c r="L44" s="6"/>
      <c r="M44" s="5" t="str">
        <f t="shared" si="0"/>
        <v/>
      </c>
      <c r="N44" s="5" t="str">
        <f t="shared" si="1"/>
        <v/>
      </c>
    </row>
    <row r="45" spans="1:14" x14ac:dyDescent="0.25">
      <c r="A45" s="6"/>
      <c r="B45" s="6"/>
      <c r="C45" s="5" t="str">
        <f>IF(A45="","",COUNTIFS($A$2:A45,A45,$B$2:B45,B45))</f>
        <v/>
      </c>
      <c r="D45" s="6"/>
      <c r="E45" s="6"/>
      <c r="F45" s="6"/>
      <c r="G45" s="6"/>
      <c r="H45" s="6"/>
      <c r="I45" s="6"/>
      <c r="J45" s="6"/>
      <c r="K45" s="6"/>
      <c r="L45" s="6"/>
      <c r="M45" s="5" t="str">
        <f t="shared" si="0"/>
        <v/>
      </c>
      <c r="N45" s="5" t="str">
        <f t="shared" si="1"/>
        <v/>
      </c>
    </row>
    <row r="46" spans="1:14" x14ac:dyDescent="0.25">
      <c r="A46" s="6"/>
      <c r="B46" s="6"/>
      <c r="C46" s="5" t="str">
        <f>IF(A46="","",COUNTIFS($A$2:A46,A46,$B$2:B46,B46))</f>
        <v/>
      </c>
      <c r="D46" s="6"/>
      <c r="E46" s="6"/>
      <c r="F46" s="6"/>
      <c r="G46" s="6"/>
      <c r="H46" s="6"/>
      <c r="I46" s="6"/>
      <c r="J46" s="6"/>
      <c r="K46" s="6"/>
      <c r="L46" s="6"/>
      <c r="M46" s="5" t="str">
        <f t="shared" si="0"/>
        <v/>
      </c>
      <c r="N46" s="5" t="str">
        <f t="shared" si="1"/>
        <v/>
      </c>
    </row>
    <row r="47" spans="1:14" x14ac:dyDescent="0.25">
      <c r="A47" s="6"/>
      <c r="B47" s="6"/>
      <c r="C47" s="5" t="str">
        <f>IF(A47="","",COUNTIFS($A$2:A47,A47,$B$2:B47,B47))</f>
        <v/>
      </c>
      <c r="D47" s="6"/>
      <c r="E47" s="6"/>
      <c r="F47" s="6"/>
      <c r="G47" s="6"/>
      <c r="H47" s="6"/>
      <c r="I47" s="6"/>
      <c r="J47" s="6"/>
      <c r="K47" s="6"/>
      <c r="L47" s="6"/>
      <c r="M47" s="5" t="str">
        <f t="shared" si="0"/>
        <v/>
      </c>
      <c r="N47" s="5" t="str">
        <f t="shared" si="1"/>
        <v/>
      </c>
    </row>
    <row r="48" spans="1:14" x14ac:dyDescent="0.25">
      <c r="A48" s="6"/>
      <c r="B48" s="6"/>
      <c r="C48" s="5" t="str">
        <f>IF(A48="","",COUNTIFS($A$2:A48,A48,$B$2:B48,B48))</f>
        <v/>
      </c>
      <c r="D48" s="6"/>
      <c r="E48" s="6"/>
      <c r="F48" s="6"/>
      <c r="G48" s="6"/>
      <c r="H48" s="6"/>
      <c r="I48" s="6"/>
      <c r="J48" s="6"/>
      <c r="K48" s="6"/>
      <c r="L48" s="6"/>
      <c r="M48" s="5" t="str">
        <f t="shared" si="0"/>
        <v/>
      </c>
      <c r="N48" s="5" t="str">
        <f t="shared" si="1"/>
        <v/>
      </c>
    </row>
    <row r="49" spans="1:14" x14ac:dyDescent="0.25">
      <c r="A49" s="6"/>
      <c r="B49" s="6"/>
      <c r="C49" s="5" t="str">
        <f>IF(A49="","",COUNTIFS($A$2:A49,A49,$B$2:B49,B49))</f>
        <v/>
      </c>
      <c r="D49" s="6"/>
      <c r="E49" s="6"/>
      <c r="F49" s="6"/>
      <c r="G49" s="6"/>
      <c r="H49" s="6"/>
      <c r="I49" s="6"/>
      <c r="J49" s="6"/>
      <c r="K49" s="6"/>
      <c r="L49" s="6"/>
      <c r="M49" s="5" t="str">
        <f t="shared" si="0"/>
        <v/>
      </c>
      <c r="N49" s="5" t="str">
        <f t="shared" si="1"/>
        <v/>
      </c>
    </row>
    <row r="50" spans="1:14" x14ac:dyDescent="0.25">
      <c r="A50" s="6"/>
      <c r="B50" s="6"/>
      <c r="C50" s="5" t="str">
        <f>IF(A50="","",COUNTIFS($A$2:A50,A50,$B$2:B50,B50))</f>
        <v/>
      </c>
      <c r="D50" s="6"/>
      <c r="E50" s="6"/>
      <c r="F50" s="6"/>
      <c r="G50" s="6"/>
      <c r="H50" s="6"/>
      <c r="I50" s="6"/>
      <c r="J50" s="6"/>
      <c r="K50" s="6"/>
      <c r="L50" s="6"/>
      <c r="M50" s="5" t="str">
        <f t="shared" si="0"/>
        <v/>
      </c>
      <c r="N50" s="5" t="str">
        <f t="shared" si="1"/>
        <v/>
      </c>
    </row>
    <row r="51" spans="1:14" x14ac:dyDescent="0.25">
      <c r="A51" s="6"/>
      <c r="B51" s="6"/>
      <c r="C51" s="5" t="str">
        <f>IF(A51="","",COUNTIFS($A$2:A51,A51,$B$2:B51,B51))</f>
        <v/>
      </c>
      <c r="D51" s="6"/>
      <c r="E51" s="6"/>
      <c r="F51" s="6"/>
      <c r="G51" s="6"/>
      <c r="H51" s="6"/>
      <c r="I51" s="6"/>
      <c r="J51" s="6"/>
      <c r="K51" s="6"/>
      <c r="L51" s="6"/>
      <c r="M51" s="5" t="str">
        <f t="shared" si="0"/>
        <v/>
      </c>
      <c r="N51" s="5" t="str">
        <f t="shared" si="1"/>
        <v/>
      </c>
    </row>
    <row r="52" spans="1:14" x14ac:dyDescent="0.25">
      <c r="A52" s="6"/>
      <c r="B52" s="6"/>
      <c r="C52" s="5" t="str">
        <f>IF(A52="","",COUNTIFS($A$2:A52,A52,$B$2:B52,B52))</f>
        <v/>
      </c>
      <c r="D52" s="6"/>
      <c r="E52" s="6"/>
      <c r="F52" s="6"/>
      <c r="G52" s="6"/>
      <c r="H52" s="6"/>
      <c r="I52" s="6"/>
      <c r="J52" s="6"/>
      <c r="K52" s="6"/>
      <c r="L52" s="6"/>
      <c r="M52" s="5" t="str">
        <f t="shared" si="0"/>
        <v/>
      </c>
      <c r="N52" s="5" t="str">
        <f t="shared" si="1"/>
        <v/>
      </c>
    </row>
    <row r="53" spans="1:14" x14ac:dyDescent="0.25">
      <c r="A53" s="6"/>
      <c r="B53" s="6"/>
      <c r="C53" s="5" t="str">
        <f>IF(A53="","",COUNTIFS($A$2:A53,A53,$B$2:B53,B53))</f>
        <v/>
      </c>
      <c r="D53" s="6"/>
      <c r="E53" s="6"/>
      <c r="F53" s="6"/>
      <c r="G53" s="6"/>
      <c r="H53" s="6"/>
      <c r="I53" s="6"/>
      <c r="J53" s="6"/>
      <c r="K53" s="6"/>
      <c r="L53" s="6"/>
      <c r="M53" s="5" t="str">
        <f t="shared" si="0"/>
        <v/>
      </c>
      <c r="N53" s="5" t="str">
        <f t="shared" si="1"/>
        <v/>
      </c>
    </row>
    <row r="54" spans="1:14" x14ac:dyDescent="0.25">
      <c r="A54" s="6"/>
      <c r="B54" s="6"/>
      <c r="C54" s="5" t="str">
        <f>IF(A54="","",COUNTIFS($A$2:A54,A54,$B$2:B54,B54))</f>
        <v/>
      </c>
      <c r="D54" s="6"/>
      <c r="E54" s="6"/>
      <c r="F54" s="6"/>
      <c r="G54" s="6"/>
      <c r="H54" s="6"/>
      <c r="I54" s="6"/>
      <c r="J54" s="6"/>
      <c r="K54" s="6"/>
      <c r="L54" s="6"/>
      <c r="M54" s="5" t="str">
        <f t="shared" si="0"/>
        <v/>
      </c>
      <c r="N54" s="5" t="str">
        <f t="shared" si="1"/>
        <v/>
      </c>
    </row>
    <row r="55" spans="1:14" x14ac:dyDescent="0.25">
      <c r="A55" s="6"/>
      <c r="B55" s="6"/>
      <c r="C55" s="5" t="str">
        <f>IF(A55="","",COUNTIFS($A$2:A55,A55,$B$2:B55,B55))</f>
        <v/>
      </c>
      <c r="D55" s="6"/>
      <c r="E55" s="6"/>
      <c r="F55" s="6"/>
      <c r="G55" s="6"/>
      <c r="H55" s="6"/>
      <c r="I55" s="6"/>
      <c r="J55" s="6"/>
      <c r="K55" s="6"/>
      <c r="L55" s="6"/>
      <c r="M55" s="5" t="str">
        <f t="shared" si="0"/>
        <v/>
      </c>
      <c r="N55" s="5" t="str">
        <f t="shared" si="1"/>
        <v/>
      </c>
    </row>
    <row r="56" spans="1:14" x14ac:dyDescent="0.25">
      <c r="A56" s="6"/>
      <c r="B56" s="6"/>
      <c r="C56" s="5" t="str">
        <f>IF(A56="","",COUNTIFS($A$2:A56,A56,$B$2:B56,B56))</f>
        <v/>
      </c>
      <c r="D56" s="6"/>
      <c r="E56" s="6"/>
      <c r="F56" s="6"/>
      <c r="G56" s="6"/>
      <c r="H56" s="6"/>
      <c r="I56" s="6"/>
      <c r="J56" s="6"/>
      <c r="K56" s="6"/>
      <c r="L56" s="6"/>
      <c r="M56" s="5" t="str">
        <f t="shared" si="0"/>
        <v/>
      </c>
      <c r="N56" s="5" t="str">
        <f t="shared" si="1"/>
        <v/>
      </c>
    </row>
    <row r="57" spans="1:14" x14ac:dyDescent="0.25">
      <c r="A57" s="6"/>
      <c r="B57" s="6"/>
      <c r="C57" s="5" t="str">
        <f>IF(A57="","",COUNTIFS($A$2:A57,A57,$B$2:B57,B57))</f>
        <v/>
      </c>
      <c r="D57" s="6"/>
      <c r="E57" s="6"/>
      <c r="F57" s="6"/>
      <c r="G57" s="6"/>
      <c r="H57" s="6"/>
      <c r="I57" s="6"/>
      <c r="J57" s="6"/>
      <c r="K57" s="6"/>
      <c r="L57" s="6"/>
      <c r="M57" s="5" t="str">
        <f t="shared" si="0"/>
        <v/>
      </c>
      <c r="N57" s="5" t="str">
        <f t="shared" si="1"/>
        <v/>
      </c>
    </row>
    <row r="58" spans="1:14" x14ac:dyDescent="0.25">
      <c r="A58" s="6"/>
      <c r="B58" s="6"/>
      <c r="C58" s="5" t="str">
        <f>IF(A58="","",COUNTIFS($A$2:A58,A58,$B$2:B58,B58))</f>
        <v/>
      </c>
      <c r="D58" s="6"/>
      <c r="E58" s="6"/>
      <c r="F58" s="6"/>
      <c r="G58" s="6"/>
      <c r="H58" s="6"/>
      <c r="I58" s="6"/>
      <c r="J58" s="6"/>
      <c r="K58" s="6"/>
      <c r="L58" s="6"/>
      <c r="M58" s="5" t="str">
        <f t="shared" si="0"/>
        <v/>
      </c>
      <c r="N58" s="5" t="str">
        <f t="shared" si="1"/>
        <v/>
      </c>
    </row>
    <row r="59" spans="1:14" x14ac:dyDescent="0.25">
      <c r="A59" s="6"/>
      <c r="B59" s="6"/>
      <c r="C59" s="5" t="str">
        <f>IF(A59="","",COUNTIFS($A$2:A59,A59,$B$2:B59,B59))</f>
        <v/>
      </c>
      <c r="D59" s="6"/>
      <c r="E59" s="6"/>
      <c r="F59" s="6"/>
      <c r="G59" s="6"/>
      <c r="H59" s="6"/>
      <c r="I59" s="6"/>
      <c r="J59" s="6"/>
      <c r="K59" s="6"/>
      <c r="L59" s="6"/>
      <c r="M59" s="5" t="str">
        <f t="shared" si="0"/>
        <v/>
      </c>
      <c r="N59" s="5" t="str">
        <f t="shared" si="1"/>
        <v/>
      </c>
    </row>
    <row r="60" spans="1:14" x14ac:dyDescent="0.25">
      <c r="A60" s="6"/>
      <c r="B60" s="6"/>
      <c r="C60" s="5" t="str">
        <f>IF(A60="","",COUNTIFS($A$2:A60,A60,$B$2:B60,B60))</f>
        <v/>
      </c>
      <c r="D60" s="6"/>
      <c r="E60" s="6"/>
      <c r="F60" s="6"/>
      <c r="G60" s="6"/>
      <c r="H60" s="6"/>
      <c r="I60" s="6"/>
      <c r="J60" s="6"/>
      <c r="K60" s="6"/>
      <c r="L60" s="6"/>
      <c r="M60" s="5" t="str">
        <f t="shared" si="0"/>
        <v/>
      </c>
      <c r="N60" s="5" t="str">
        <f t="shared" si="1"/>
        <v/>
      </c>
    </row>
    <row r="61" spans="1:14" x14ac:dyDescent="0.25">
      <c r="A61" s="6"/>
      <c r="B61" s="6"/>
      <c r="C61" s="5" t="str">
        <f>IF(A61="","",COUNTIFS($A$2:A61,A61,$B$2:B61,B61))</f>
        <v/>
      </c>
      <c r="D61" s="6"/>
      <c r="E61" s="6"/>
      <c r="F61" s="6"/>
      <c r="G61" s="6"/>
      <c r="H61" s="6"/>
      <c r="I61" s="6"/>
      <c r="J61" s="6"/>
      <c r="K61" s="6"/>
      <c r="L61" s="6"/>
      <c r="M61" s="5" t="str">
        <f t="shared" si="0"/>
        <v/>
      </c>
      <c r="N61" s="5" t="str">
        <f t="shared" si="1"/>
        <v/>
      </c>
    </row>
    <row r="62" spans="1:14" x14ac:dyDescent="0.25">
      <c r="A62" s="6"/>
      <c r="B62" s="6"/>
      <c r="C62" s="5" t="str">
        <f>IF(A62="","",COUNTIFS($A$2:A62,A62,$B$2:B62,B62))</f>
        <v/>
      </c>
      <c r="D62" s="6"/>
      <c r="E62" s="6"/>
      <c r="F62" s="6"/>
      <c r="G62" s="6"/>
      <c r="H62" s="6"/>
      <c r="I62" s="6"/>
      <c r="J62" s="6"/>
      <c r="K62" s="6"/>
      <c r="L62" s="6"/>
      <c r="M62" s="5" t="str">
        <f t="shared" si="0"/>
        <v/>
      </c>
      <c r="N62" s="5" t="str">
        <f t="shared" si="1"/>
        <v/>
      </c>
    </row>
    <row r="63" spans="1:14" x14ac:dyDescent="0.25">
      <c r="A63" s="6"/>
      <c r="B63" s="6"/>
      <c r="C63" s="5" t="str">
        <f>IF(A63="","",COUNTIFS($A$2:A63,A63,$B$2:B63,B63))</f>
        <v/>
      </c>
      <c r="D63" s="6"/>
      <c r="E63" s="6"/>
      <c r="F63" s="6"/>
      <c r="G63" s="6"/>
      <c r="H63" s="6"/>
      <c r="I63" s="6"/>
      <c r="J63" s="6"/>
      <c r="K63" s="6"/>
      <c r="L63" s="6"/>
      <c r="M63" s="5" t="str">
        <f t="shared" si="0"/>
        <v/>
      </c>
      <c r="N63" s="5" t="str">
        <f t="shared" si="1"/>
        <v/>
      </c>
    </row>
    <row r="64" spans="1:14" x14ac:dyDescent="0.25">
      <c r="A64" s="6"/>
      <c r="B64" s="6"/>
      <c r="C64" s="5" t="str">
        <f>IF(A64="","",COUNTIFS($A$2:A64,A64,$B$2:B64,B64))</f>
        <v/>
      </c>
      <c r="D64" s="6"/>
      <c r="E64" s="6"/>
      <c r="F64" s="6"/>
      <c r="G64" s="6"/>
      <c r="H64" s="6"/>
      <c r="I64" s="6"/>
      <c r="J64" s="6"/>
      <c r="K64" s="6"/>
      <c r="L64" s="6"/>
      <c r="M64" s="5" t="str">
        <f t="shared" si="0"/>
        <v/>
      </c>
      <c r="N64" s="5" t="str">
        <f t="shared" si="1"/>
        <v/>
      </c>
    </row>
    <row r="65" spans="1:14" x14ac:dyDescent="0.25">
      <c r="A65" s="6"/>
      <c r="B65" s="6"/>
      <c r="C65" s="5" t="str">
        <f>IF(A65="","",COUNTIFS($A$2:A65,A65,$B$2:B65,B65))</f>
        <v/>
      </c>
      <c r="D65" s="6"/>
      <c r="E65" s="6"/>
      <c r="F65" s="6"/>
      <c r="G65" s="6"/>
      <c r="H65" s="6"/>
      <c r="I65" s="6"/>
      <c r="J65" s="6"/>
      <c r="K65" s="6"/>
      <c r="L65" s="6"/>
      <c r="M65" s="5" t="str">
        <f t="shared" si="0"/>
        <v/>
      </c>
      <c r="N65" s="5" t="str">
        <f t="shared" si="1"/>
        <v/>
      </c>
    </row>
    <row r="66" spans="1:14" x14ac:dyDescent="0.25">
      <c r="A66" s="6"/>
      <c r="B66" s="6"/>
      <c r="C66" s="5" t="str">
        <f>IF(A66="","",COUNTIFS($A$2:A66,A66,$B$2:B66,B66))</f>
        <v/>
      </c>
      <c r="D66" s="6"/>
      <c r="E66" s="6"/>
      <c r="F66" s="6"/>
      <c r="G66" s="6"/>
      <c r="H66" s="6"/>
      <c r="I66" s="6"/>
      <c r="J66" s="6"/>
      <c r="K66" s="6"/>
      <c r="L66" s="6"/>
      <c r="M66" s="5" t="str">
        <f t="shared" ref="M66:M129" si="2">IF(D66="","",IF(OR(E66="",F66=""),"",IF(TRIM(IF(AND(E66="hecho",F66="INCORRECTA"),"INC ","")&amp;IF(AND(E66="abstencion",F66="INCORRECTA"),"ABS-E ","")&amp;IF(AND(E66="hecho",F66="FUERA_REF",H66="no_resp"),"NO-ABS ","")&amp;IF(AND(E66="hecho",I66="SIN-RESPALDO"),"SIN-R ","")&amp;IF(AND(E66="hecho",I66="CITA-X"),"CITA-X ","")&amp;IF(AND(E66="hecho",I66="SIN-CITA"),"SIN-C ",""))="","-",TRIM(IF(AND(E66="hecho",F66="INCORRECTA"),"INC ","")&amp;IF(AND(E66="abstencion",F66="INCORRECTA"),"ABS-E ","")&amp;IF(AND(E66="hecho",F66="FUERA_REF",H66="no_resp"),"NO-ABS ","")&amp;IF(AND(E66="hecho",I66="SIN-RESPALDO"),"SIN-R ","")&amp;IF(AND(E66="hecho",I66="CITA-X"),"CITA-X ","")&amp;IF(AND(E66="hecho",I66="SIN-CITA"),"SIN-C ","")))))</f>
        <v/>
      </c>
      <c r="N66" s="5" t="str">
        <f t="shared" ref="N66:N129" si="3">IF(D66="","",IF(OR(A66="",B66="",E66="",F66=""),"falta qid, modo, tipo o vs_ref",IF(AND(B66="llm",I66&lt;&gt;""),"respaldo no aplica en modo LLM",IF(AND(E66="abstencion",I66&lt;&gt;""),"una abstención no se califica en citas",IF(AND(B66="rag",E66="hecho",I66=""),"falta respaldo","ok")))))</f>
        <v/>
      </c>
    </row>
    <row r="67" spans="1:14" x14ac:dyDescent="0.25">
      <c r="A67" s="6"/>
      <c r="B67" s="6"/>
      <c r="C67" s="5" t="str">
        <f>IF(A67="","",COUNTIFS($A$2:A67,A67,$B$2:B67,B67))</f>
        <v/>
      </c>
      <c r="D67" s="6"/>
      <c r="E67" s="6"/>
      <c r="F67" s="6"/>
      <c r="G67" s="6"/>
      <c r="H67" s="6"/>
      <c r="I67" s="6"/>
      <c r="J67" s="6"/>
      <c r="K67" s="6"/>
      <c r="L67" s="6"/>
      <c r="M67" s="5" t="str">
        <f t="shared" si="2"/>
        <v/>
      </c>
      <c r="N67" s="5" t="str">
        <f t="shared" si="3"/>
        <v/>
      </c>
    </row>
    <row r="68" spans="1:14" x14ac:dyDescent="0.25">
      <c r="A68" s="6"/>
      <c r="B68" s="6"/>
      <c r="C68" s="5" t="str">
        <f>IF(A68="","",COUNTIFS($A$2:A68,A68,$B$2:B68,B68))</f>
        <v/>
      </c>
      <c r="D68" s="6"/>
      <c r="E68" s="6"/>
      <c r="F68" s="6"/>
      <c r="G68" s="6"/>
      <c r="H68" s="6"/>
      <c r="I68" s="6"/>
      <c r="J68" s="6"/>
      <c r="K68" s="6"/>
      <c r="L68" s="6"/>
      <c r="M68" s="5" t="str">
        <f t="shared" si="2"/>
        <v/>
      </c>
      <c r="N68" s="5" t="str">
        <f t="shared" si="3"/>
        <v/>
      </c>
    </row>
    <row r="69" spans="1:14" x14ac:dyDescent="0.25">
      <c r="A69" s="6"/>
      <c r="B69" s="6"/>
      <c r="C69" s="5" t="str">
        <f>IF(A69="","",COUNTIFS($A$2:A69,A69,$B$2:B69,B69))</f>
        <v/>
      </c>
      <c r="D69" s="6"/>
      <c r="E69" s="6"/>
      <c r="F69" s="6"/>
      <c r="G69" s="6"/>
      <c r="H69" s="6"/>
      <c r="I69" s="6"/>
      <c r="J69" s="6"/>
      <c r="K69" s="6"/>
      <c r="L69" s="6"/>
      <c r="M69" s="5" t="str">
        <f t="shared" si="2"/>
        <v/>
      </c>
      <c r="N69" s="5" t="str">
        <f t="shared" si="3"/>
        <v/>
      </c>
    </row>
    <row r="70" spans="1:14" x14ac:dyDescent="0.25">
      <c r="A70" s="6"/>
      <c r="B70" s="6"/>
      <c r="C70" s="5" t="str">
        <f>IF(A70="","",COUNTIFS($A$2:A70,A70,$B$2:B70,B70))</f>
        <v/>
      </c>
      <c r="D70" s="6"/>
      <c r="E70" s="6"/>
      <c r="F70" s="6"/>
      <c r="G70" s="6"/>
      <c r="H70" s="6"/>
      <c r="I70" s="6"/>
      <c r="J70" s="6"/>
      <c r="K70" s="6"/>
      <c r="L70" s="6"/>
      <c r="M70" s="5" t="str">
        <f t="shared" si="2"/>
        <v/>
      </c>
      <c r="N70" s="5" t="str">
        <f t="shared" si="3"/>
        <v/>
      </c>
    </row>
    <row r="71" spans="1:14" x14ac:dyDescent="0.25">
      <c r="A71" s="6"/>
      <c r="B71" s="6"/>
      <c r="C71" s="5" t="str">
        <f>IF(A71="","",COUNTIFS($A$2:A71,A71,$B$2:B71,B71))</f>
        <v/>
      </c>
      <c r="D71" s="6"/>
      <c r="E71" s="6"/>
      <c r="F71" s="6"/>
      <c r="G71" s="6"/>
      <c r="H71" s="6"/>
      <c r="I71" s="6"/>
      <c r="J71" s="6"/>
      <c r="K71" s="6"/>
      <c r="L71" s="6"/>
      <c r="M71" s="5" t="str">
        <f t="shared" si="2"/>
        <v/>
      </c>
      <c r="N71" s="5" t="str">
        <f t="shared" si="3"/>
        <v/>
      </c>
    </row>
    <row r="72" spans="1:14" x14ac:dyDescent="0.25">
      <c r="A72" s="6"/>
      <c r="B72" s="6"/>
      <c r="C72" s="5" t="str">
        <f>IF(A72="","",COUNTIFS($A$2:A72,A72,$B$2:B72,B72))</f>
        <v/>
      </c>
      <c r="D72" s="6"/>
      <c r="E72" s="6"/>
      <c r="F72" s="6"/>
      <c r="G72" s="6"/>
      <c r="H72" s="6"/>
      <c r="I72" s="6"/>
      <c r="J72" s="6"/>
      <c r="K72" s="6"/>
      <c r="L72" s="6"/>
      <c r="M72" s="5" t="str">
        <f t="shared" si="2"/>
        <v/>
      </c>
      <c r="N72" s="5" t="str">
        <f t="shared" si="3"/>
        <v/>
      </c>
    </row>
    <row r="73" spans="1:14" x14ac:dyDescent="0.25">
      <c r="A73" s="6"/>
      <c r="B73" s="6"/>
      <c r="C73" s="5" t="str">
        <f>IF(A73="","",COUNTIFS($A$2:A73,A73,$B$2:B73,B73))</f>
        <v/>
      </c>
      <c r="D73" s="6"/>
      <c r="E73" s="6"/>
      <c r="F73" s="6"/>
      <c r="G73" s="6"/>
      <c r="H73" s="6"/>
      <c r="I73" s="6"/>
      <c r="J73" s="6"/>
      <c r="K73" s="6"/>
      <c r="L73" s="6"/>
      <c r="M73" s="5" t="str">
        <f t="shared" si="2"/>
        <v/>
      </c>
      <c r="N73" s="5" t="str">
        <f t="shared" si="3"/>
        <v/>
      </c>
    </row>
    <row r="74" spans="1:14" x14ac:dyDescent="0.25">
      <c r="A74" s="6"/>
      <c r="B74" s="6"/>
      <c r="C74" s="5" t="str">
        <f>IF(A74="","",COUNTIFS($A$2:A74,A74,$B$2:B74,B74))</f>
        <v/>
      </c>
      <c r="D74" s="6"/>
      <c r="E74" s="6"/>
      <c r="F74" s="6"/>
      <c r="G74" s="6"/>
      <c r="H74" s="6"/>
      <c r="I74" s="6"/>
      <c r="J74" s="6"/>
      <c r="K74" s="6"/>
      <c r="L74" s="6"/>
      <c r="M74" s="5" t="str">
        <f t="shared" si="2"/>
        <v/>
      </c>
      <c r="N74" s="5" t="str">
        <f t="shared" si="3"/>
        <v/>
      </c>
    </row>
    <row r="75" spans="1:14" x14ac:dyDescent="0.25">
      <c r="A75" s="6"/>
      <c r="B75" s="6"/>
      <c r="C75" s="5" t="str">
        <f>IF(A75="","",COUNTIFS($A$2:A75,A75,$B$2:B75,B75))</f>
        <v/>
      </c>
      <c r="D75" s="6"/>
      <c r="E75" s="6"/>
      <c r="F75" s="6"/>
      <c r="G75" s="6"/>
      <c r="H75" s="6"/>
      <c r="I75" s="6"/>
      <c r="J75" s="6"/>
      <c r="K75" s="6"/>
      <c r="L75" s="6"/>
      <c r="M75" s="5" t="str">
        <f t="shared" si="2"/>
        <v/>
      </c>
      <c r="N75" s="5" t="str">
        <f t="shared" si="3"/>
        <v/>
      </c>
    </row>
    <row r="76" spans="1:14" x14ac:dyDescent="0.25">
      <c r="A76" s="6"/>
      <c r="B76" s="6"/>
      <c r="C76" s="5" t="str">
        <f>IF(A76="","",COUNTIFS($A$2:A76,A76,$B$2:B76,B76))</f>
        <v/>
      </c>
      <c r="D76" s="6"/>
      <c r="E76" s="6"/>
      <c r="F76" s="6"/>
      <c r="G76" s="6"/>
      <c r="H76" s="6"/>
      <c r="I76" s="6"/>
      <c r="J76" s="6"/>
      <c r="K76" s="6"/>
      <c r="L76" s="6"/>
      <c r="M76" s="5" t="str">
        <f t="shared" si="2"/>
        <v/>
      </c>
      <c r="N76" s="5" t="str">
        <f t="shared" si="3"/>
        <v/>
      </c>
    </row>
    <row r="77" spans="1:14" x14ac:dyDescent="0.25">
      <c r="A77" s="6"/>
      <c r="B77" s="6"/>
      <c r="C77" s="5" t="str">
        <f>IF(A77="","",COUNTIFS($A$2:A77,A77,$B$2:B77,B77))</f>
        <v/>
      </c>
      <c r="D77" s="6"/>
      <c r="E77" s="6"/>
      <c r="F77" s="6"/>
      <c r="G77" s="6"/>
      <c r="H77" s="6"/>
      <c r="I77" s="6"/>
      <c r="J77" s="6"/>
      <c r="K77" s="6"/>
      <c r="L77" s="6"/>
      <c r="M77" s="5" t="str">
        <f t="shared" si="2"/>
        <v/>
      </c>
      <c r="N77" s="5" t="str">
        <f t="shared" si="3"/>
        <v/>
      </c>
    </row>
    <row r="78" spans="1:14" x14ac:dyDescent="0.25">
      <c r="A78" s="6"/>
      <c r="B78" s="6"/>
      <c r="C78" s="5" t="str">
        <f>IF(A78="","",COUNTIFS($A$2:A78,A78,$B$2:B78,B78))</f>
        <v/>
      </c>
      <c r="D78" s="6"/>
      <c r="E78" s="6"/>
      <c r="F78" s="6"/>
      <c r="G78" s="6"/>
      <c r="H78" s="6"/>
      <c r="I78" s="6"/>
      <c r="J78" s="6"/>
      <c r="K78" s="6"/>
      <c r="L78" s="6"/>
      <c r="M78" s="5" t="str">
        <f t="shared" si="2"/>
        <v/>
      </c>
      <c r="N78" s="5" t="str">
        <f t="shared" si="3"/>
        <v/>
      </c>
    </row>
    <row r="79" spans="1:14" x14ac:dyDescent="0.25">
      <c r="A79" s="6"/>
      <c r="B79" s="6"/>
      <c r="C79" s="5" t="str">
        <f>IF(A79="","",COUNTIFS($A$2:A79,A79,$B$2:B79,B79))</f>
        <v/>
      </c>
      <c r="D79" s="6"/>
      <c r="E79" s="6"/>
      <c r="F79" s="6"/>
      <c r="G79" s="6"/>
      <c r="H79" s="6"/>
      <c r="I79" s="6"/>
      <c r="J79" s="6"/>
      <c r="K79" s="6"/>
      <c r="L79" s="6"/>
      <c r="M79" s="5" t="str">
        <f t="shared" si="2"/>
        <v/>
      </c>
      <c r="N79" s="5" t="str">
        <f t="shared" si="3"/>
        <v/>
      </c>
    </row>
    <row r="80" spans="1:14" x14ac:dyDescent="0.25">
      <c r="A80" s="6"/>
      <c r="B80" s="6"/>
      <c r="C80" s="5" t="str">
        <f>IF(A80="","",COUNTIFS($A$2:A80,A80,$B$2:B80,B80))</f>
        <v/>
      </c>
      <c r="D80" s="6"/>
      <c r="E80" s="6"/>
      <c r="F80" s="6"/>
      <c r="G80" s="6"/>
      <c r="H80" s="6"/>
      <c r="I80" s="6"/>
      <c r="J80" s="6"/>
      <c r="K80" s="6"/>
      <c r="L80" s="6"/>
      <c r="M80" s="5" t="str">
        <f t="shared" si="2"/>
        <v/>
      </c>
      <c r="N80" s="5" t="str">
        <f t="shared" si="3"/>
        <v/>
      </c>
    </row>
    <row r="81" spans="1:14" x14ac:dyDescent="0.25">
      <c r="A81" s="6"/>
      <c r="B81" s="6"/>
      <c r="C81" s="5" t="str">
        <f>IF(A81="","",COUNTIFS($A$2:A81,A81,$B$2:B81,B81))</f>
        <v/>
      </c>
      <c r="D81" s="6"/>
      <c r="E81" s="6"/>
      <c r="F81" s="6"/>
      <c r="G81" s="6"/>
      <c r="H81" s="6"/>
      <c r="I81" s="6"/>
      <c r="J81" s="6"/>
      <c r="K81" s="6"/>
      <c r="L81" s="6"/>
      <c r="M81" s="5" t="str">
        <f t="shared" si="2"/>
        <v/>
      </c>
      <c r="N81" s="5" t="str">
        <f t="shared" si="3"/>
        <v/>
      </c>
    </row>
    <row r="82" spans="1:14" x14ac:dyDescent="0.25">
      <c r="A82" s="6"/>
      <c r="B82" s="6"/>
      <c r="C82" s="5" t="str">
        <f>IF(A82="","",COUNTIFS($A$2:A82,A82,$B$2:B82,B82))</f>
        <v/>
      </c>
      <c r="D82" s="6"/>
      <c r="E82" s="6"/>
      <c r="F82" s="6"/>
      <c r="G82" s="6"/>
      <c r="H82" s="6"/>
      <c r="I82" s="6"/>
      <c r="J82" s="6"/>
      <c r="K82" s="6"/>
      <c r="L82" s="6"/>
      <c r="M82" s="5" t="str">
        <f t="shared" si="2"/>
        <v/>
      </c>
      <c r="N82" s="5" t="str">
        <f t="shared" si="3"/>
        <v/>
      </c>
    </row>
    <row r="83" spans="1:14" x14ac:dyDescent="0.25">
      <c r="A83" s="6"/>
      <c r="B83" s="6"/>
      <c r="C83" s="5" t="str">
        <f>IF(A83="","",COUNTIFS($A$2:A83,A83,$B$2:B83,B83))</f>
        <v/>
      </c>
      <c r="D83" s="6"/>
      <c r="E83" s="6"/>
      <c r="F83" s="6"/>
      <c r="G83" s="6"/>
      <c r="H83" s="6"/>
      <c r="I83" s="6"/>
      <c r="J83" s="6"/>
      <c r="K83" s="6"/>
      <c r="L83" s="6"/>
      <c r="M83" s="5" t="str">
        <f t="shared" si="2"/>
        <v/>
      </c>
      <c r="N83" s="5" t="str">
        <f t="shared" si="3"/>
        <v/>
      </c>
    </row>
    <row r="84" spans="1:14" x14ac:dyDescent="0.25">
      <c r="A84" s="6"/>
      <c r="B84" s="6"/>
      <c r="C84" s="5" t="str">
        <f>IF(A84="","",COUNTIFS($A$2:A84,A84,$B$2:B84,B84))</f>
        <v/>
      </c>
      <c r="D84" s="6"/>
      <c r="E84" s="6"/>
      <c r="F84" s="6"/>
      <c r="G84" s="6"/>
      <c r="H84" s="6"/>
      <c r="I84" s="6"/>
      <c r="J84" s="6"/>
      <c r="K84" s="6"/>
      <c r="L84" s="6"/>
      <c r="M84" s="5" t="str">
        <f t="shared" si="2"/>
        <v/>
      </c>
      <c r="N84" s="5" t="str">
        <f t="shared" si="3"/>
        <v/>
      </c>
    </row>
    <row r="85" spans="1:14" x14ac:dyDescent="0.25">
      <c r="A85" s="6"/>
      <c r="B85" s="6"/>
      <c r="C85" s="5" t="str">
        <f>IF(A85="","",COUNTIFS($A$2:A85,A85,$B$2:B85,B85))</f>
        <v/>
      </c>
      <c r="D85" s="6"/>
      <c r="E85" s="6"/>
      <c r="F85" s="6"/>
      <c r="G85" s="6"/>
      <c r="H85" s="6"/>
      <c r="I85" s="6"/>
      <c r="J85" s="6"/>
      <c r="K85" s="6"/>
      <c r="L85" s="6"/>
      <c r="M85" s="5" t="str">
        <f t="shared" si="2"/>
        <v/>
      </c>
      <c r="N85" s="5" t="str">
        <f t="shared" si="3"/>
        <v/>
      </c>
    </row>
    <row r="86" spans="1:14" x14ac:dyDescent="0.25">
      <c r="A86" s="6"/>
      <c r="B86" s="6"/>
      <c r="C86" s="5" t="str">
        <f>IF(A86="","",COUNTIFS($A$2:A86,A86,$B$2:B86,B86))</f>
        <v/>
      </c>
      <c r="D86" s="6"/>
      <c r="E86" s="6"/>
      <c r="F86" s="6"/>
      <c r="G86" s="6"/>
      <c r="H86" s="6"/>
      <c r="I86" s="6"/>
      <c r="J86" s="6"/>
      <c r="K86" s="6"/>
      <c r="L86" s="6"/>
      <c r="M86" s="5" t="str">
        <f t="shared" si="2"/>
        <v/>
      </c>
      <c r="N86" s="5" t="str">
        <f t="shared" si="3"/>
        <v/>
      </c>
    </row>
    <row r="87" spans="1:14" x14ac:dyDescent="0.25">
      <c r="A87" s="6"/>
      <c r="B87" s="6"/>
      <c r="C87" s="5" t="str">
        <f>IF(A87="","",COUNTIFS($A$2:A87,A87,$B$2:B87,B87))</f>
        <v/>
      </c>
      <c r="D87" s="6"/>
      <c r="E87" s="6"/>
      <c r="F87" s="6"/>
      <c r="G87" s="6"/>
      <c r="H87" s="6"/>
      <c r="I87" s="6"/>
      <c r="J87" s="6"/>
      <c r="K87" s="6"/>
      <c r="L87" s="6"/>
      <c r="M87" s="5" t="str">
        <f t="shared" si="2"/>
        <v/>
      </c>
      <c r="N87" s="5" t="str">
        <f t="shared" si="3"/>
        <v/>
      </c>
    </row>
    <row r="88" spans="1:14" x14ac:dyDescent="0.25">
      <c r="A88" s="6"/>
      <c r="B88" s="6"/>
      <c r="C88" s="5" t="str">
        <f>IF(A88="","",COUNTIFS($A$2:A88,A88,$B$2:B88,B88))</f>
        <v/>
      </c>
      <c r="D88" s="6"/>
      <c r="E88" s="6"/>
      <c r="F88" s="6"/>
      <c r="G88" s="6"/>
      <c r="H88" s="6"/>
      <c r="I88" s="6"/>
      <c r="J88" s="6"/>
      <c r="K88" s="6"/>
      <c r="L88" s="6"/>
      <c r="M88" s="5" t="str">
        <f t="shared" si="2"/>
        <v/>
      </c>
      <c r="N88" s="5" t="str">
        <f t="shared" si="3"/>
        <v/>
      </c>
    </row>
    <row r="89" spans="1:14" x14ac:dyDescent="0.25">
      <c r="A89" s="6"/>
      <c r="B89" s="6"/>
      <c r="C89" s="5" t="str">
        <f>IF(A89="","",COUNTIFS($A$2:A89,A89,$B$2:B89,B89))</f>
        <v/>
      </c>
      <c r="D89" s="6"/>
      <c r="E89" s="6"/>
      <c r="F89" s="6"/>
      <c r="G89" s="6"/>
      <c r="H89" s="6"/>
      <c r="I89" s="6"/>
      <c r="J89" s="6"/>
      <c r="K89" s="6"/>
      <c r="L89" s="6"/>
      <c r="M89" s="5" t="str">
        <f t="shared" si="2"/>
        <v/>
      </c>
      <c r="N89" s="5" t="str">
        <f t="shared" si="3"/>
        <v/>
      </c>
    </row>
    <row r="90" spans="1:14" x14ac:dyDescent="0.25">
      <c r="A90" s="6"/>
      <c r="B90" s="6"/>
      <c r="C90" s="5" t="str">
        <f>IF(A90="","",COUNTIFS($A$2:A90,A90,$B$2:B90,B90))</f>
        <v/>
      </c>
      <c r="D90" s="6"/>
      <c r="E90" s="6"/>
      <c r="F90" s="6"/>
      <c r="G90" s="6"/>
      <c r="H90" s="6"/>
      <c r="I90" s="6"/>
      <c r="J90" s="6"/>
      <c r="K90" s="6"/>
      <c r="L90" s="6"/>
      <c r="M90" s="5" t="str">
        <f t="shared" si="2"/>
        <v/>
      </c>
      <c r="N90" s="5" t="str">
        <f t="shared" si="3"/>
        <v/>
      </c>
    </row>
    <row r="91" spans="1:14" x14ac:dyDescent="0.25">
      <c r="A91" s="6"/>
      <c r="B91" s="6"/>
      <c r="C91" s="5" t="str">
        <f>IF(A91="","",COUNTIFS($A$2:A91,A91,$B$2:B91,B91))</f>
        <v/>
      </c>
      <c r="D91" s="6"/>
      <c r="E91" s="6"/>
      <c r="F91" s="6"/>
      <c r="G91" s="6"/>
      <c r="H91" s="6"/>
      <c r="I91" s="6"/>
      <c r="J91" s="6"/>
      <c r="K91" s="6"/>
      <c r="L91" s="6"/>
      <c r="M91" s="5" t="str">
        <f t="shared" si="2"/>
        <v/>
      </c>
      <c r="N91" s="5" t="str">
        <f t="shared" si="3"/>
        <v/>
      </c>
    </row>
    <row r="92" spans="1:14" x14ac:dyDescent="0.25">
      <c r="A92" s="6"/>
      <c r="B92" s="6"/>
      <c r="C92" s="5" t="str">
        <f>IF(A92="","",COUNTIFS($A$2:A92,A92,$B$2:B92,B92))</f>
        <v/>
      </c>
      <c r="D92" s="6"/>
      <c r="E92" s="6"/>
      <c r="F92" s="6"/>
      <c r="G92" s="6"/>
      <c r="H92" s="6"/>
      <c r="I92" s="6"/>
      <c r="J92" s="6"/>
      <c r="K92" s="6"/>
      <c r="L92" s="6"/>
      <c r="M92" s="5" t="str">
        <f t="shared" si="2"/>
        <v/>
      </c>
      <c r="N92" s="5" t="str">
        <f t="shared" si="3"/>
        <v/>
      </c>
    </row>
    <row r="93" spans="1:14" x14ac:dyDescent="0.25">
      <c r="A93" s="6"/>
      <c r="B93" s="6"/>
      <c r="C93" s="5" t="str">
        <f>IF(A93="","",COUNTIFS($A$2:A93,A93,$B$2:B93,B93))</f>
        <v/>
      </c>
      <c r="D93" s="6"/>
      <c r="E93" s="6"/>
      <c r="F93" s="6"/>
      <c r="G93" s="6"/>
      <c r="H93" s="6"/>
      <c r="I93" s="6"/>
      <c r="J93" s="6"/>
      <c r="K93" s="6"/>
      <c r="L93" s="6"/>
      <c r="M93" s="5" t="str">
        <f t="shared" si="2"/>
        <v/>
      </c>
      <c r="N93" s="5" t="str">
        <f t="shared" si="3"/>
        <v/>
      </c>
    </row>
    <row r="94" spans="1:14" x14ac:dyDescent="0.25">
      <c r="A94" s="6"/>
      <c r="B94" s="6"/>
      <c r="C94" s="5" t="str">
        <f>IF(A94="","",COUNTIFS($A$2:A94,A94,$B$2:B94,B94))</f>
        <v/>
      </c>
      <c r="D94" s="6"/>
      <c r="E94" s="6"/>
      <c r="F94" s="6"/>
      <c r="G94" s="6"/>
      <c r="H94" s="6"/>
      <c r="I94" s="6"/>
      <c r="J94" s="6"/>
      <c r="K94" s="6"/>
      <c r="L94" s="6"/>
      <c r="M94" s="5" t="str">
        <f t="shared" si="2"/>
        <v/>
      </c>
      <c r="N94" s="5" t="str">
        <f t="shared" si="3"/>
        <v/>
      </c>
    </row>
    <row r="95" spans="1:14" x14ac:dyDescent="0.25">
      <c r="A95" s="6"/>
      <c r="B95" s="6"/>
      <c r="C95" s="5" t="str">
        <f>IF(A95="","",COUNTIFS($A$2:A95,A95,$B$2:B95,B95))</f>
        <v/>
      </c>
      <c r="D95" s="6"/>
      <c r="E95" s="6"/>
      <c r="F95" s="6"/>
      <c r="G95" s="6"/>
      <c r="H95" s="6"/>
      <c r="I95" s="6"/>
      <c r="J95" s="6"/>
      <c r="K95" s="6"/>
      <c r="L95" s="6"/>
      <c r="M95" s="5" t="str">
        <f t="shared" si="2"/>
        <v/>
      </c>
      <c r="N95" s="5" t="str">
        <f t="shared" si="3"/>
        <v/>
      </c>
    </row>
    <row r="96" spans="1:14" x14ac:dyDescent="0.25">
      <c r="A96" s="6"/>
      <c r="B96" s="6"/>
      <c r="C96" s="5" t="str">
        <f>IF(A96="","",COUNTIFS($A$2:A96,A96,$B$2:B96,B96))</f>
        <v/>
      </c>
      <c r="D96" s="6"/>
      <c r="E96" s="6"/>
      <c r="F96" s="6"/>
      <c r="G96" s="6"/>
      <c r="H96" s="6"/>
      <c r="I96" s="6"/>
      <c r="J96" s="6"/>
      <c r="K96" s="6"/>
      <c r="L96" s="6"/>
      <c r="M96" s="5" t="str">
        <f t="shared" si="2"/>
        <v/>
      </c>
      <c r="N96" s="5" t="str">
        <f t="shared" si="3"/>
        <v/>
      </c>
    </row>
    <row r="97" spans="1:14" x14ac:dyDescent="0.25">
      <c r="A97" s="6"/>
      <c r="B97" s="6"/>
      <c r="C97" s="5" t="str">
        <f>IF(A97="","",COUNTIFS($A$2:A97,A97,$B$2:B97,B97))</f>
        <v/>
      </c>
      <c r="D97" s="6"/>
      <c r="E97" s="6"/>
      <c r="F97" s="6"/>
      <c r="G97" s="6"/>
      <c r="H97" s="6"/>
      <c r="I97" s="6"/>
      <c r="J97" s="6"/>
      <c r="K97" s="6"/>
      <c r="L97" s="6"/>
      <c r="M97" s="5" t="str">
        <f t="shared" si="2"/>
        <v/>
      </c>
      <c r="N97" s="5" t="str">
        <f t="shared" si="3"/>
        <v/>
      </c>
    </row>
    <row r="98" spans="1:14" x14ac:dyDescent="0.25">
      <c r="A98" s="6"/>
      <c r="B98" s="6"/>
      <c r="C98" s="5" t="str">
        <f>IF(A98="","",COUNTIFS($A$2:A98,A98,$B$2:B98,B98))</f>
        <v/>
      </c>
      <c r="D98" s="6"/>
      <c r="E98" s="6"/>
      <c r="F98" s="6"/>
      <c r="G98" s="6"/>
      <c r="H98" s="6"/>
      <c r="I98" s="6"/>
      <c r="J98" s="6"/>
      <c r="K98" s="6"/>
      <c r="L98" s="6"/>
      <c r="M98" s="5" t="str">
        <f t="shared" si="2"/>
        <v/>
      </c>
      <c r="N98" s="5" t="str">
        <f t="shared" si="3"/>
        <v/>
      </c>
    </row>
    <row r="99" spans="1:14" x14ac:dyDescent="0.25">
      <c r="A99" s="6"/>
      <c r="B99" s="6"/>
      <c r="C99" s="5" t="str">
        <f>IF(A99="","",COUNTIFS($A$2:A99,A99,$B$2:B99,B99))</f>
        <v/>
      </c>
      <c r="D99" s="6"/>
      <c r="E99" s="6"/>
      <c r="F99" s="6"/>
      <c r="G99" s="6"/>
      <c r="H99" s="6"/>
      <c r="I99" s="6"/>
      <c r="J99" s="6"/>
      <c r="K99" s="6"/>
      <c r="L99" s="6"/>
      <c r="M99" s="5" t="str">
        <f t="shared" si="2"/>
        <v/>
      </c>
      <c r="N99" s="5" t="str">
        <f t="shared" si="3"/>
        <v/>
      </c>
    </row>
    <row r="100" spans="1:14" x14ac:dyDescent="0.25">
      <c r="A100" s="6"/>
      <c r="B100" s="6"/>
      <c r="C100" s="5" t="str">
        <f>IF(A100="","",COUNTIFS($A$2:A100,A100,$B$2:B100,B100))</f>
        <v/>
      </c>
      <c r="D100" s="6"/>
      <c r="E100" s="6"/>
      <c r="F100" s="6"/>
      <c r="G100" s="6"/>
      <c r="H100" s="6"/>
      <c r="I100" s="6"/>
      <c r="J100" s="6"/>
      <c r="K100" s="6"/>
      <c r="L100" s="6"/>
      <c r="M100" s="5" t="str">
        <f t="shared" si="2"/>
        <v/>
      </c>
      <c r="N100" s="5" t="str">
        <f t="shared" si="3"/>
        <v/>
      </c>
    </row>
    <row r="101" spans="1:14" x14ac:dyDescent="0.25">
      <c r="A101" s="6"/>
      <c r="B101" s="6"/>
      <c r="C101" s="5" t="str">
        <f>IF(A101="","",COUNTIFS($A$2:A101,A101,$B$2:B101,B101))</f>
        <v/>
      </c>
      <c r="D101" s="6"/>
      <c r="E101" s="6"/>
      <c r="F101" s="6"/>
      <c r="G101" s="6"/>
      <c r="H101" s="6"/>
      <c r="I101" s="6"/>
      <c r="J101" s="6"/>
      <c r="K101" s="6"/>
      <c r="L101" s="6"/>
      <c r="M101" s="5" t="str">
        <f t="shared" si="2"/>
        <v/>
      </c>
      <c r="N101" s="5" t="str">
        <f t="shared" si="3"/>
        <v/>
      </c>
    </row>
    <row r="102" spans="1:14" x14ac:dyDescent="0.25">
      <c r="A102" s="6"/>
      <c r="B102" s="6"/>
      <c r="C102" s="5" t="str">
        <f>IF(A102="","",COUNTIFS($A$2:A102,A102,$B$2:B102,B102))</f>
        <v/>
      </c>
      <c r="D102" s="6"/>
      <c r="E102" s="6"/>
      <c r="F102" s="6"/>
      <c r="G102" s="6"/>
      <c r="H102" s="6"/>
      <c r="I102" s="6"/>
      <c r="J102" s="6"/>
      <c r="K102" s="6"/>
      <c r="L102" s="6"/>
      <c r="M102" s="5" t="str">
        <f t="shared" si="2"/>
        <v/>
      </c>
      <c r="N102" s="5" t="str">
        <f t="shared" si="3"/>
        <v/>
      </c>
    </row>
    <row r="103" spans="1:14" x14ac:dyDescent="0.25">
      <c r="A103" s="6"/>
      <c r="B103" s="6"/>
      <c r="C103" s="5" t="str">
        <f>IF(A103="","",COUNTIFS($A$2:A103,A103,$B$2:B103,B103))</f>
        <v/>
      </c>
      <c r="D103" s="6"/>
      <c r="E103" s="6"/>
      <c r="F103" s="6"/>
      <c r="G103" s="6"/>
      <c r="H103" s="6"/>
      <c r="I103" s="6"/>
      <c r="J103" s="6"/>
      <c r="K103" s="6"/>
      <c r="L103" s="6"/>
      <c r="M103" s="5" t="str">
        <f t="shared" si="2"/>
        <v/>
      </c>
      <c r="N103" s="5" t="str">
        <f t="shared" si="3"/>
        <v/>
      </c>
    </row>
    <row r="104" spans="1:14" x14ac:dyDescent="0.25">
      <c r="A104" s="6"/>
      <c r="B104" s="6"/>
      <c r="C104" s="5" t="str">
        <f>IF(A104="","",COUNTIFS($A$2:A104,A104,$B$2:B104,B104))</f>
        <v/>
      </c>
      <c r="D104" s="6"/>
      <c r="E104" s="6"/>
      <c r="F104" s="6"/>
      <c r="G104" s="6"/>
      <c r="H104" s="6"/>
      <c r="I104" s="6"/>
      <c r="J104" s="6"/>
      <c r="K104" s="6"/>
      <c r="L104" s="6"/>
      <c r="M104" s="5" t="str">
        <f t="shared" si="2"/>
        <v/>
      </c>
      <c r="N104" s="5" t="str">
        <f t="shared" si="3"/>
        <v/>
      </c>
    </row>
    <row r="105" spans="1:14" x14ac:dyDescent="0.25">
      <c r="A105" s="6"/>
      <c r="B105" s="6"/>
      <c r="C105" s="5" t="str">
        <f>IF(A105="","",COUNTIFS($A$2:A105,A105,$B$2:B105,B105))</f>
        <v/>
      </c>
      <c r="D105" s="6"/>
      <c r="E105" s="6"/>
      <c r="F105" s="6"/>
      <c r="G105" s="6"/>
      <c r="H105" s="6"/>
      <c r="I105" s="6"/>
      <c r="J105" s="6"/>
      <c r="K105" s="6"/>
      <c r="L105" s="6"/>
      <c r="M105" s="5" t="str">
        <f t="shared" si="2"/>
        <v/>
      </c>
      <c r="N105" s="5" t="str">
        <f t="shared" si="3"/>
        <v/>
      </c>
    </row>
    <row r="106" spans="1:14" x14ac:dyDescent="0.25">
      <c r="A106" s="6"/>
      <c r="B106" s="6"/>
      <c r="C106" s="5" t="str">
        <f>IF(A106="","",COUNTIFS($A$2:A106,A106,$B$2:B106,B106))</f>
        <v/>
      </c>
      <c r="D106" s="6"/>
      <c r="E106" s="6"/>
      <c r="F106" s="6"/>
      <c r="G106" s="6"/>
      <c r="H106" s="6"/>
      <c r="I106" s="6"/>
      <c r="J106" s="6"/>
      <c r="K106" s="6"/>
      <c r="L106" s="6"/>
      <c r="M106" s="5" t="str">
        <f t="shared" si="2"/>
        <v/>
      </c>
      <c r="N106" s="5" t="str">
        <f t="shared" si="3"/>
        <v/>
      </c>
    </row>
    <row r="107" spans="1:14" x14ac:dyDescent="0.25">
      <c r="A107" s="6"/>
      <c r="B107" s="6"/>
      <c r="C107" s="5" t="str">
        <f>IF(A107="","",COUNTIFS($A$2:A107,A107,$B$2:B107,B107))</f>
        <v/>
      </c>
      <c r="D107" s="6"/>
      <c r="E107" s="6"/>
      <c r="F107" s="6"/>
      <c r="G107" s="6"/>
      <c r="H107" s="6"/>
      <c r="I107" s="6"/>
      <c r="J107" s="6"/>
      <c r="K107" s="6"/>
      <c r="L107" s="6"/>
      <c r="M107" s="5" t="str">
        <f t="shared" si="2"/>
        <v/>
      </c>
      <c r="N107" s="5" t="str">
        <f t="shared" si="3"/>
        <v/>
      </c>
    </row>
    <row r="108" spans="1:14" x14ac:dyDescent="0.25">
      <c r="A108" s="6"/>
      <c r="B108" s="6"/>
      <c r="C108" s="5" t="str">
        <f>IF(A108="","",COUNTIFS($A$2:A108,A108,$B$2:B108,B108))</f>
        <v/>
      </c>
      <c r="D108" s="6"/>
      <c r="E108" s="6"/>
      <c r="F108" s="6"/>
      <c r="G108" s="6"/>
      <c r="H108" s="6"/>
      <c r="I108" s="6"/>
      <c r="J108" s="6"/>
      <c r="K108" s="6"/>
      <c r="L108" s="6"/>
      <c r="M108" s="5" t="str">
        <f t="shared" si="2"/>
        <v/>
      </c>
      <c r="N108" s="5" t="str">
        <f t="shared" si="3"/>
        <v/>
      </c>
    </row>
    <row r="109" spans="1:14" x14ac:dyDescent="0.25">
      <c r="A109" s="6"/>
      <c r="B109" s="6"/>
      <c r="C109" s="5" t="str">
        <f>IF(A109="","",COUNTIFS($A$2:A109,A109,$B$2:B109,B109))</f>
        <v/>
      </c>
      <c r="D109" s="6"/>
      <c r="E109" s="6"/>
      <c r="F109" s="6"/>
      <c r="G109" s="6"/>
      <c r="H109" s="6"/>
      <c r="I109" s="6"/>
      <c r="J109" s="6"/>
      <c r="K109" s="6"/>
      <c r="L109" s="6"/>
      <c r="M109" s="5" t="str">
        <f t="shared" si="2"/>
        <v/>
      </c>
      <c r="N109" s="5" t="str">
        <f t="shared" si="3"/>
        <v/>
      </c>
    </row>
    <row r="110" spans="1:14" x14ac:dyDescent="0.25">
      <c r="A110" s="6"/>
      <c r="B110" s="6"/>
      <c r="C110" s="5" t="str">
        <f>IF(A110="","",COUNTIFS($A$2:A110,A110,$B$2:B110,B110))</f>
        <v/>
      </c>
      <c r="D110" s="6"/>
      <c r="E110" s="6"/>
      <c r="F110" s="6"/>
      <c r="G110" s="6"/>
      <c r="H110" s="6"/>
      <c r="I110" s="6"/>
      <c r="J110" s="6"/>
      <c r="K110" s="6"/>
      <c r="L110" s="6"/>
      <c r="M110" s="5" t="str">
        <f t="shared" si="2"/>
        <v/>
      </c>
      <c r="N110" s="5" t="str">
        <f t="shared" si="3"/>
        <v/>
      </c>
    </row>
    <row r="111" spans="1:14" x14ac:dyDescent="0.25">
      <c r="A111" s="6"/>
      <c r="B111" s="6"/>
      <c r="C111" s="5" t="str">
        <f>IF(A111="","",COUNTIFS($A$2:A111,A111,$B$2:B111,B111))</f>
        <v/>
      </c>
      <c r="D111" s="6"/>
      <c r="E111" s="6"/>
      <c r="F111" s="6"/>
      <c r="G111" s="6"/>
      <c r="H111" s="6"/>
      <c r="I111" s="6"/>
      <c r="J111" s="6"/>
      <c r="K111" s="6"/>
      <c r="L111" s="6"/>
      <c r="M111" s="5" t="str">
        <f t="shared" si="2"/>
        <v/>
      </c>
      <c r="N111" s="5" t="str">
        <f t="shared" si="3"/>
        <v/>
      </c>
    </row>
    <row r="112" spans="1:14" x14ac:dyDescent="0.25">
      <c r="A112" s="6"/>
      <c r="B112" s="6"/>
      <c r="C112" s="5" t="str">
        <f>IF(A112="","",COUNTIFS($A$2:A112,A112,$B$2:B112,B112))</f>
        <v/>
      </c>
      <c r="D112" s="6"/>
      <c r="E112" s="6"/>
      <c r="F112" s="6"/>
      <c r="G112" s="6"/>
      <c r="H112" s="6"/>
      <c r="I112" s="6"/>
      <c r="J112" s="6"/>
      <c r="K112" s="6"/>
      <c r="L112" s="6"/>
      <c r="M112" s="5" t="str">
        <f t="shared" si="2"/>
        <v/>
      </c>
      <c r="N112" s="5" t="str">
        <f t="shared" si="3"/>
        <v/>
      </c>
    </row>
    <row r="113" spans="1:14" x14ac:dyDescent="0.25">
      <c r="A113" s="6"/>
      <c r="B113" s="6"/>
      <c r="C113" s="5" t="str">
        <f>IF(A113="","",COUNTIFS($A$2:A113,A113,$B$2:B113,B113))</f>
        <v/>
      </c>
      <c r="D113" s="6"/>
      <c r="E113" s="6"/>
      <c r="F113" s="6"/>
      <c r="G113" s="6"/>
      <c r="H113" s="6"/>
      <c r="I113" s="6"/>
      <c r="J113" s="6"/>
      <c r="K113" s="6"/>
      <c r="L113" s="6"/>
      <c r="M113" s="5" t="str">
        <f t="shared" si="2"/>
        <v/>
      </c>
      <c r="N113" s="5" t="str">
        <f t="shared" si="3"/>
        <v/>
      </c>
    </row>
    <row r="114" spans="1:14" x14ac:dyDescent="0.25">
      <c r="A114" s="6"/>
      <c r="B114" s="6"/>
      <c r="C114" s="5" t="str">
        <f>IF(A114="","",COUNTIFS($A$2:A114,A114,$B$2:B114,B114))</f>
        <v/>
      </c>
      <c r="D114" s="6"/>
      <c r="E114" s="6"/>
      <c r="F114" s="6"/>
      <c r="G114" s="6"/>
      <c r="H114" s="6"/>
      <c r="I114" s="6"/>
      <c r="J114" s="6"/>
      <c r="K114" s="6"/>
      <c r="L114" s="6"/>
      <c r="M114" s="5" t="str">
        <f t="shared" si="2"/>
        <v/>
      </c>
      <c r="N114" s="5" t="str">
        <f t="shared" si="3"/>
        <v/>
      </c>
    </row>
    <row r="115" spans="1:14" x14ac:dyDescent="0.25">
      <c r="A115" s="6"/>
      <c r="B115" s="6"/>
      <c r="C115" s="5" t="str">
        <f>IF(A115="","",COUNTIFS($A$2:A115,A115,$B$2:B115,B115))</f>
        <v/>
      </c>
      <c r="D115" s="6"/>
      <c r="E115" s="6"/>
      <c r="F115" s="6"/>
      <c r="G115" s="6"/>
      <c r="H115" s="6"/>
      <c r="I115" s="6"/>
      <c r="J115" s="6"/>
      <c r="K115" s="6"/>
      <c r="L115" s="6"/>
      <c r="M115" s="5" t="str">
        <f t="shared" si="2"/>
        <v/>
      </c>
      <c r="N115" s="5" t="str">
        <f t="shared" si="3"/>
        <v/>
      </c>
    </row>
    <row r="116" spans="1:14" x14ac:dyDescent="0.25">
      <c r="A116" s="6"/>
      <c r="B116" s="6"/>
      <c r="C116" s="5" t="str">
        <f>IF(A116="","",COUNTIFS($A$2:A116,A116,$B$2:B116,B116))</f>
        <v/>
      </c>
      <c r="D116" s="6"/>
      <c r="E116" s="6"/>
      <c r="F116" s="6"/>
      <c r="G116" s="6"/>
      <c r="H116" s="6"/>
      <c r="I116" s="6"/>
      <c r="J116" s="6"/>
      <c r="K116" s="6"/>
      <c r="L116" s="6"/>
      <c r="M116" s="5" t="str">
        <f t="shared" si="2"/>
        <v/>
      </c>
      <c r="N116" s="5" t="str">
        <f t="shared" si="3"/>
        <v/>
      </c>
    </row>
    <row r="117" spans="1:14" x14ac:dyDescent="0.25">
      <c r="A117" s="6"/>
      <c r="B117" s="6"/>
      <c r="C117" s="5" t="str">
        <f>IF(A117="","",COUNTIFS($A$2:A117,A117,$B$2:B117,B117))</f>
        <v/>
      </c>
      <c r="D117" s="6"/>
      <c r="E117" s="6"/>
      <c r="F117" s="6"/>
      <c r="G117" s="6"/>
      <c r="H117" s="6"/>
      <c r="I117" s="6"/>
      <c r="J117" s="6"/>
      <c r="K117" s="6"/>
      <c r="L117" s="6"/>
      <c r="M117" s="5" t="str">
        <f t="shared" si="2"/>
        <v/>
      </c>
      <c r="N117" s="5" t="str">
        <f t="shared" si="3"/>
        <v/>
      </c>
    </row>
    <row r="118" spans="1:14" x14ac:dyDescent="0.25">
      <c r="A118" s="6"/>
      <c r="B118" s="6"/>
      <c r="C118" s="5" t="str">
        <f>IF(A118="","",COUNTIFS($A$2:A118,A118,$B$2:B118,B118))</f>
        <v/>
      </c>
      <c r="D118" s="6"/>
      <c r="E118" s="6"/>
      <c r="F118" s="6"/>
      <c r="G118" s="6"/>
      <c r="H118" s="6"/>
      <c r="I118" s="6"/>
      <c r="J118" s="6"/>
      <c r="K118" s="6"/>
      <c r="L118" s="6"/>
      <c r="M118" s="5" t="str">
        <f t="shared" si="2"/>
        <v/>
      </c>
      <c r="N118" s="5" t="str">
        <f t="shared" si="3"/>
        <v/>
      </c>
    </row>
    <row r="119" spans="1:14" x14ac:dyDescent="0.25">
      <c r="A119" s="6"/>
      <c r="B119" s="6"/>
      <c r="C119" s="5" t="str">
        <f>IF(A119="","",COUNTIFS($A$2:A119,A119,$B$2:B119,B119))</f>
        <v/>
      </c>
      <c r="D119" s="6"/>
      <c r="E119" s="6"/>
      <c r="F119" s="6"/>
      <c r="G119" s="6"/>
      <c r="H119" s="6"/>
      <c r="I119" s="6"/>
      <c r="J119" s="6"/>
      <c r="K119" s="6"/>
      <c r="L119" s="6"/>
      <c r="M119" s="5" t="str">
        <f t="shared" si="2"/>
        <v/>
      </c>
      <c r="N119" s="5" t="str">
        <f t="shared" si="3"/>
        <v/>
      </c>
    </row>
    <row r="120" spans="1:14" x14ac:dyDescent="0.25">
      <c r="A120" s="6"/>
      <c r="B120" s="6"/>
      <c r="C120" s="5" t="str">
        <f>IF(A120="","",COUNTIFS($A$2:A120,A120,$B$2:B120,B120))</f>
        <v/>
      </c>
      <c r="D120" s="6"/>
      <c r="E120" s="6"/>
      <c r="F120" s="6"/>
      <c r="G120" s="6"/>
      <c r="H120" s="6"/>
      <c r="I120" s="6"/>
      <c r="J120" s="6"/>
      <c r="K120" s="6"/>
      <c r="L120" s="6"/>
      <c r="M120" s="5" t="str">
        <f t="shared" si="2"/>
        <v/>
      </c>
      <c r="N120" s="5" t="str">
        <f t="shared" si="3"/>
        <v/>
      </c>
    </row>
    <row r="121" spans="1:14" x14ac:dyDescent="0.25">
      <c r="A121" s="6"/>
      <c r="B121" s="6"/>
      <c r="C121" s="5" t="str">
        <f>IF(A121="","",COUNTIFS($A$2:A121,A121,$B$2:B121,B121))</f>
        <v/>
      </c>
      <c r="D121" s="6"/>
      <c r="E121" s="6"/>
      <c r="F121" s="6"/>
      <c r="G121" s="6"/>
      <c r="H121" s="6"/>
      <c r="I121" s="6"/>
      <c r="J121" s="6"/>
      <c r="K121" s="6"/>
      <c r="L121" s="6"/>
      <c r="M121" s="5" t="str">
        <f t="shared" si="2"/>
        <v/>
      </c>
      <c r="N121" s="5" t="str">
        <f t="shared" si="3"/>
        <v/>
      </c>
    </row>
    <row r="122" spans="1:14" x14ac:dyDescent="0.25">
      <c r="A122" s="6"/>
      <c r="B122" s="6"/>
      <c r="C122" s="5" t="str">
        <f>IF(A122="","",COUNTIFS($A$2:A122,A122,$B$2:B122,B122))</f>
        <v/>
      </c>
      <c r="D122" s="6"/>
      <c r="E122" s="6"/>
      <c r="F122" s="6"/>
      <c r="G122" s="6"/>
      <c r="H122" s="6"/>
      <c r="I122" s="6"/>
      <c r="J122" s="6"/>
      <c r="K122" s="6"/>
      <c r="L122" s="6"/>
      <c r="M122" s="5" t="str">
        <f t="shared" si="2"/>
        <v/>
      </c>
      <c r="N122" s="5" t="str">
        <f t="shared" si="3"/>
        <v/>
      </c>
    </row>
    <row r="123" spans="1:14" x14ac:dyDescent="0.25">
      <c r="A123" s="6"/>
      <c r="B123" s="6"/>
      <c r="C123" s="5" t="str">
        <f>IF(A123="","",COUNTIFS($A$2:A123,A123,$B$2:B123,B123))</f>
        <v/>
      </c>
      <c r="D123" s="6"/>
      <c r="E123" s="6"/>
      <c r="F123" s="6"/>
      <c r="G123" s="6"/>
      <c r="H123" s="6"/>
      <c r="I123" s="6"/>
      <c r="J123" s="6"/>
      <c r="K123" s="6"/>
      <c r="L123" s="6"/>
      <c r="M123" s="5" t="str">
        <f t="shared" si="2"/>
        <v/>
      </c>
      <c r="N123" s="5" t="str">
        <f t="shared" si="3"/>
        <v/>
      </c>
    </row>
    <row r="124" spans="1:14" x14ac:dyDescent="0.25">
      <c r="A124" s="6"/>
      <c r="B124" s="6"/>
      <c r="C124" s="5" t="str">
        <f>IF(A124="","",COUNTIFS($A$2:A124,A124,$B$2:B124,B124))</f>
        <v/>
      </c>
      <c r="D124" s="6"/>
      <c r="E124" s="6"/>
      <c r="F124" s="6"/>
      <c r="G124" s="6"/>
      <c r="H124" s="6"/>
      <c r="I124" s="6"/>
      <c r="J124" s="6"/>
      <c r="K124" s="6"/>
      <c r="L124" s="6"/>
      <c r="M124" s="5" t="str">
        <f t="shared" si="2"/>
        <v/>
      </c>
      <c r="N124" s="5" t="str">
        <f t="shared" si="3"/>
        <v/>
      </c>
    </row>
    <row r="125" spans="1:14" x14ac:dyDescent="0.25">
      <c r="A125" s="6"/>
      <c r="B125" s="6"/>
      <c r="C125" s="5" t="str">
        <f>IF(A125="","",COUNTIFS($A$2:A125,A125,$B$2:B125,B125))</f>
        <v/>
      </c>
      <c r="D125" s="6"/>
      <c r="E125" s="6"/>
      <c r="F125" s="6"/>
      <c r="G125" s="6"/>
      <c r="H125" s="6"/>
      <c r="I125" s="6"/>
      <c r="J125" s="6"/>
      <c r="K125" s="6"/>
      <c r="L125" s="6"/>
      <c r="M125" s="5" t="str">
        <f t="shared" si="2"/>
        <v/>
      </c>
      <c r="N125" s="5" t="str">
        <f t="shared" si="3"/>
        <v/>
      </c>
    </row>
    <row r="126" spans="1:14" x14ac:dyDescent="0.25">
      <c r="A126" s="6"/>
      <c r="B126" s="6"/>
      <c r="C126" s="5" t="str">
        <f>IF(A126="","",COUNTIFS($A$2:A126,A126,$B$2:B126,B126))</f>
        <v/>
      </c>
      <c r="D126" s="6"/>
      <c r="E126" s="6"/>
      <c r="F126" s="6"/>
      <c r="G126" s="6"/>
      <c r="H126" s="6"/>
      <c r="I126" s="6"/>
      <c r="J126" s="6"/>
      <c r="K126" s="6"/>
      <c r="L126" s="6"/>
      <c r="M126" s="5" t="str">
        <f t="shared" si="2"/>
        <v/>
      </c>
      <c r="N126" s="5" t="str">
        <f t="shared" si="3"/>
        <v/>
      </c>
    </row>
    <row r="127" spans="1:14" x14ac:dyDescent="0.25">
      <c r="A127" s="6"/>
      <c r="B127" s="6"/>
      <c r="C127" s="5" t="str">
        <f>IF(A127="","",COUNTIFS($A$2:A127,A127,$B$2:B127,B127))</f>
        <v/>
      </c>
      <c r="D127" s="6"/>
      <c r="E127" s="6"/>
      <c r="F127" s="6"/>
      <c r="G127" s="6"/>
      <c r="H127" s="6"/>
      <c r="I127" s="6"/>
      <c r="J127" s="6"/>
      <c r="K127" s="6"/>
      <c r="L127" s="6"/>
      <c r="M127" s="5" t="str">
        <f t="shared" si="2"/>
        <v/>
      </c>
      <c r="N127" s="5" t="str">
        <f t="shared" si="3"/>
        <v/>
      </c>
    </row>
    <row r="128" spans="1:14" x14ac:dyDescent="0.25">
      <c r="A128" s="6"/>
      <c r="B128" s="6"/>
      <c r="C128" s="5" t="str">
        <f>IF(A128="","",COUNTIFS($A$2:A128,A128,$B$2:B128,B128))</f>
        <v/>
      </c>
      <c r="D128" s="6"/>
      <c r="E128" s="6"/>
      <c r="F128" s="6"/>
      <c r="G128" s="6"/>
      <c r="H128" s="6"/>
      <c r="I128" s="6"/>
      <c r="J128" s="6"/>
      <c r="K128" s="6"/>
      <c r="L128" s="6"/>
      <c r="M128" s="5" t="str">
        <f t="shared" si="2"/>
        <v/>
      </c>
      <c r="N128" s="5" t="str">
        <f t="shared" si="3"/>
        <v/>
      </c>
    </row>
    <row r="129" spans="1:14" x14ac:dyDescent="0.25">
      <c r="A129" s="6"/>
      <c r="B129" s="6"/>
      <c r="C129" s="5" t="str">
        <f>IF(A129="","",COUNTIFS($A$2:A129,A129,$B$2:B129,B129))</f>
        <v/>
      </c>
      <c r="D129" s="6"/>
      <c r="E129" s="6"/>
      <c r="F129" s="6"/>
      <c r="G129" s="6"/>
      <c r="H129" s="6"/>
      <c r="I129" s="6"/>
      <c r="J129" s="6"/>
      <c r="K129" s="6"/>
      <c r="L129" s="6"/>
      <c r="M129" s="5" t="str">
        <f t="shared" si="2"/>
        <v/>
      </c>
      <c r="N129" s="5" t="str">
        <f t="shared" si="3"/>
        <v/>
      </c>
    </row>
    <row r="130" spans="1:14" x14ac:dyDescent="0.25">
      <c r="A130" s="6"/>
      <c r="B130" s="6"/>
      <c r="C130" s="5" t="str">
        <f>IF(A130="","",COUNTIFS($A$2:A130,A130,$B$2:B130,B130))</f>
        <v/>
      </c>
      <c r="D130" s="6"/>
      <c r="E130" s="6"/>
      <c r="F130" s="6"/>
      <c r="G130" s="6"/>
      <c r="H130" s="6"/>
      <c r="I130" s="6"/>
      <c r="J130" s="6"/>
      <c r="K130" s="6"/>
      <c r="L130" s="6"/>
      <c r="M130" s="5" t="str">
        <f t="shared" ref="M130:M193" si="4">IF(D130="","",IF(OR(E130="",F130=""),"",IF(TRIM(IF(AND(E130="hecho",F130="INCORRECTA"),"INC ","")&amp;IF(AND(E130="abstencion",F130="INCORRECTA"),"ABS-E ","")&amp;IF(AND(E130="hecho",F130="FUERA_REF",H130="no_resp"),"NO-ABS ","")&amp;IF(AND(E130="hecho",I130="SIN-RESPALDO"),"SIN-R ","")&amp;IF(AND(E130="hecho",I130="CITA-X"),"CITA-X ","")&amp;IF(AND(E130="hecho",I130="SIN-CITA"),"SIN-C ",""))="","-",TRIM(IF(AND(E130="hecho",F130="INCORRECTA"),"INC ","")&amp;IF(AND(E130="abstencion",F130="INCORRECTA"),"ABS-E ","")&amp;IF(AND(E130="hecho",F130="FUERA_REF",H130="no_resp"),"NO-ABS ","")&amp;IF(AND(E130="hecho",I130="SIN-RESPALDO"),"SIN-R ","")&amp;IF(AND(E130="hecho",I130="CITA-X"),"CITA-X ","")&amp;IF(AND(E130="hecho",I130="SIN-CITA"),"SIN-C ","")))))</f>
        <v/>
      </c>
      <c r="N130" s="5" t="str">
        <f t="shared" ref="N130:N193" si="5">IF(D130="","",IF(OR(A130="",B130="",E130="",F130=""),"falta qid, modo, tipo o vs_ref",IF(AND(B130="llm",I130&lt;&gt;""),"respaldo no aplica en modo LLM",IF(AND(E130="abstencion",I130&lt;&gt;""),"una abstención no se califica en citas",IF(AND(B130="rag",E130="hecho",I130=""),"falta respaldo","ok")))))</f>
        <v/>
      </c>
    </row>
    <row r="131" spans="1:14" x14ac:dyDescent="0.25">
      <c r="A131" s="6"/>
      <c r="B131" s="6"/>
      <c r="C131" s="5" t="str">
        <f>IF(A131="","",COUNTIFS($A$2:A131,A131,$B$2:B131,B131))</f>
        <v/>
      </c>
      <c r="D131" s="6"/>
      <c r="E131" s="6"/>
      <c r="F131" s="6"/>
      <c r="G131" s="6"/>
      <c r="H131" s="6"/>
      <c r="I131" s="6"/>
      <c r="J131" s="6"/>
      <c r="K131" s="6"/>
      <c r="L131" s="6"/>
      <c r="M131" s="5" t="str">
        <f t="shared" si="4"/>
        <v/>
      </c>
      <c r="N131" s="5" t="str">
        <f t="shared" si="5"/>
        <v/>
      </c>
    </row>
    <row r="132" spans="1:14" x14ac:dyDescent="0.25">
      <c r="A132" s="6"/>
      <c r="B132" s="6"/>
      <c r="C132" s="5" t="str">
        <f>IF(A132="","",COUNTIFS($A$2:A132,A132,$B$2:B132,B132))</f>
        <v/>
      </c>
      <c r="D132" s="6"/>
      <c r="E132" s="6"/>
      <c r="F132" s="6"/>
      <c r="G132" s="6"/>
      <c r="H132" s="6"/>
      <c r="I132" s="6"/>
      <c r="J132" s="6"/>
      <c r="K132" s="6"/>
      <c r="L132" s="6"/>
      <c r="M132" s="5" t="str">
        <f t="shared" si="4"/>
        <v/>
      </c>
      <c r="N132" s="5" t="str">
        <f t="shared" si="5"/>
        <v/>
      </c>
    </row>
    <row r="133" spans="1:14" x14ac:dyDescent="0.25">
      <c r="A133" s="6"/>
      <c r="B133" s="6"/>
      <c r="C133" s="5" t="str">
        <f>IF(A133="","",COUNTIFS($A$2:A133,A133,$B$2:B133,B133))</f>
        <v/>
      </c>
      <c r="D133" s="6"/>
      <c r="E133" s="6"/>
      <c r="F133" s="6"/>
      <c r="G133" s="6"/>
      <c r="H133" s="6"/>
      <c r="I133" s="6"/>
      <c r="J133" s="6"/>
      <c r="K133" s="6"/>
      <c r="L133" s="6"/>
      <c r="M133" s="5" t="str">
        <f t="shared" si="4"/>
        <v/>
      </c>
      <c r="N133" s="5" t="str">
        <f t="shared" si="5"/>
        <v/>
      </c>
    </row>
    <row r="134" spans="1:14" x14ac:dyDescent="0.25">
      <c r="A134" s="6"/>
      <c r="B134" s="6"/>
      <c r="C134" s="5" t="str">
        <f>IF(A134="","",COUNTIFS($A$2:A134,A134,$B$2:B134,B134))</f>
        <v/>
      </c>
      <c r="D134" s="6"/>
      <c r="E134" s="6"/>
      <c r="F134" s="6"/>
      <c r="G134" s="6"/>
      <c r="H134" s="6"/>
      <c r="I134" s="6"/>
      <c r="J134" s="6"/>
      <c r="K134" s="6"/>
      <c r="L134" s="6"/>
      <c r="M134" s="5" t="str">
        <f t="shared" si="4"/>
        <v/>
      </c>
      <c r="N134" s="5" t="str">
        <f t="shared" si="5"/>
        <v/>
      </c>
    </row>
    <row r="135" spans="1:14" x14ac:dyDescent="0.25">
      <c r="A135" s="6"/>
      <c r="B135" s="6"/>
      <c r="C135" s="5" t="str">
        <f>IF(A135="","",COUNTIFS($A$2:A135,A135,$B$2:B135,B135))</f>
        <v/>
      </c>
      <c r="D135" s="6"/>
      <c r="E135" s="6"/>
      <c r="F135" s="6"/>
      <c r="G135" s="6"/>
      <c r="H135" s="6"/>
      <c r="I135" s="6"/>
      <c r="J135" s="6"/>
      <c r="K135" s="6"/>
      <c r="L135" s="6"/>
      <c r="M135" s="5" t="str">
        <f t="shared" si="4"/>
        <v/>
      </c>
      <c r="N135" s="5" t="str">
        <f t="shared" si="5"/>
        <v/>
      </c>
    </row>
    <row r="136" spans="1:14" x14ac:dyDescent="0.25">
      <c r="A136" s="6"/>
      <c r="B136" s="6"/>
      <c r="C136" s="5" t="str">
        <f>IF(A136="","",COUNTIFS($A$2:A136,A136,$B$2:B136,B136))</f>
        <v/>
      </c>
      <c r="D136" s="6"/>
      <c r="E136" s="6"/>
      <c r="F136" s="6"/>
      <c r="G136" s="6"/>
      <c r="H136" s="6"/>
      <c r="I136" s="6"/>
      <c r="J136" s="6"/>
      <c r="K136" s="6"/>
      <c r="L136" s="6"/>
      <c r="M136" s="5" t="str">
        <f t="shared" si="4"/>
        <v/>
      </c>
      <c r="N136" s="5" t="str">
        <f t="shared" si="5"/>
        <v/>
      </c>
    </row>
    <row r="137" spans="1:14" x14ac:dyDescent="0.25">
      <c r="A137" s="6"/>
      <c r="B137" s="6"/>
      <c r="C137" s="5" t="str">
        <f>IF(A137="","",COUNTIFS($A$2:A137,A137,$B$2:B137,B137))</f>
        <v/>
      </c>
      <c r="D137" s="6"/>
      <c r="E137" s="6"/>
      <c r="F137" s="6"/>
      <c r="G137" s="6"/>
      <c r="H137" s="6"/>
      <c r="I137" s="6"/>
      <c r="J137" s="6"/>
      <c r="K137" s="6"/>
      <c r="L137" s="6"/>
      <c r="M137" s="5" t="str">
        <f t="shared" si="4"/>
        <v/>
      </c>
      <c r="N137" s="5" t="str">
        <f t="shared" si="5"/>
        <v/>
      </c>
    </row>
    <row r="138" spans="1:14" x14ac:dyDescent="0.25">
      <c r="A138" s="6"/>
      <c r="B138" s="6"/>
      <c r="C138" s="5" t="str">
        <f>IF(A138="","",COUNTIFS($A$2:A138,A138,$B$2:B138,B138))</f>
        <v/>
      </c>
      <c r="D138" s="6"/>
      <c r="E138" s="6"/>
      <c r="F138" s="6"/>
      <c r="G138" s="6"/>
      <c r="H138" s="6"/>
      <c r="I138" s="6"/>
      <c r="J138" s="6"/>
      <c r="K138" s="6"/>
      <c r="L138" s="6"/>
      <c r="M138" s="5" t="str">
        <f t="shared" si="4"/>
        <v/>
      </c>
      <c r="N138" s="5" t="str">
        <f t="shared" si="5"/>
        <v/>
      </c>
    </row>
    <row r="139" spans="1:14" x14ac:dyDescent="0.25">
      <c r="A139" s="6"/>
      <c r="B139" s="6"/>
      <c r="C139" s="5" t="str">
        <f>IF(A139="","",COUNTIFS($A$2:A139,A139,$B$2:B139,B139))</f>
        <v/>
      </c>
      <c r="D139" s="6"/>
      <c r="E139" s="6"/>
      <c r="F139" s="6"/>
      <c r="G139" s="6"/>
      <c r="H139" s="6"/>
      <c r="I139" s="6"/>
      <c r="J139" s="6"/>
      <c r="K139" s="6"/>
      <c r="L139" s="6"/>
      <c r="M139" s="5" t="str">
        <f t="shared" si="4"/>
        <v/>
      </c>
      <c r="N139" s="5" t="str">
        <f t="shared" si="5"/>
        <v/>
      </c>
    </row>
    <row r="140" spans="1:14" x14ac:dyDescent="0.25">
      <c r="A140" s="6"/>
      <c r="B140" s="6"/>
      <c r="C140" s="5" t="str">
        <f>IF(A140="","",COUNTIFS($A$2:A140,A140,$B$2:B140,B140))</f>
        <v/>
      </c>
      <c r="D140" s="6"/>
      <c r="E140" s="6"/>
      <c r="F140" s="6"/>
      <c r="G140" s="6"/>
      <c r="H140" s="6"/>
      <c r="I140" s="6"/>
      <c r="J140" s="6"/>
      <c r="K140" s="6"/>
      <c r="L140" s="6"/>
      <c r="M140" s="5" t="str">
        <f t="shared" si="4"/>
        <v/>
      </c>
      <c r="N140" s="5" t="str">
        <f t="shared" si="5"/>
        <v/>
      </c>
    </row>
    <row r="141" spans="1:14" x14ac:dyDescent="0.25">
      <c r="A141" s="6"/>
      <c r="B141" s="6"/>
      <c r="C141" s="5" t="str">
        <f>IF(A141="","",COUNTIFS($A$2:A141,A141,$B$2:B141,B141))</f>
        <v/>
      </c>
      <c r="D141" s="6"/>
      <c r="E141" s="6"/>
      <c r="F141" s="6"/>
      <c r="G141" s="6"/>
      <c r="H141" s="6"/>
      <c r="I141" s="6"/>
      <c r="J141" s="6"/>
      <c r="K141" s="6"/>
      <c r="L141" s="6"/>
      <c r="M141" s="5" t="str">
        <f t="shared" si="4"/>
        <v/>
      </c>
      <c r="N141" s="5" t="str">
        <f t="shared" si="5"/>
        <v/>
      </c>
    </row>
    <row r="142" spans="1:14" x14ac:dyDescent="0.25">
      <c r="A142" s="6"/>
      <c r="B142" s="6"/>
      <c r="C142" s="5" t="str">
        <f>IF(A142="","",COUNTIFS($A$2:A142,A142,$B$2:B142,B142))</f>
        <v/>
      </c>
      <c r="D142" s="6"/>
      <c r="E142" s="6"/>
      <c r="F142" s="6"/>
      <c r="G142" s="6"/>
      <c r="H142" s="6"/>
      <c r="I142" s="6"/>
      <c r="J142" s="6"/>
      <c r="K142" s="6"/>
      <c r="L142" s="6"/>
      <c r="M142" s="5" t="str">
        <f t="shared" si="4"/>
        <v/>
      </c>
      <c r="N142" s="5" t="str">
        <f t="shared" si="5"/>
        <v/>
      </c>
    </row>
    <row r="143" spans="1:14" x14ac:dyDescent="0.25">
      <c r="A143" s="6"/>
      <c r="B143" s="6"/>
      <c r="C143" s="5" t="str">
        <f>IF(A143="","",COUNTIFS($A$2:A143,A143,$B$2:B143,B143))</f>
        <v/>
      </c>
      <c r="D143" s="6"/>
      <c r="E143" s="6"/>
      <c r="F143" s="6"/>
      <c r="G143" s="6"/>
      <c r="H143" s="6"/>
      <c r="I143" s="6"/>
      <c r="J143" s="6"/>
      <c r="K143" s="6"/>
      <c r="L143" s="6"/>
      <c r="M143" s="5" t="str">
        <f t="shared" si="4"/>
        <v/>
      </c>
      <c r="N143" s="5" t="str">
        <f t="shared" si="5"/>
        <v/>
      </c>
    </row>
    <row r="144" spans="1:14" x14ac:dyDescent="0.25">
      <c r="A144" s="6"/>
      <c r="B144" s="6"/>
      <c r="C144" s="5" t="str">
        <f>IF(A144="","",COUNTIFS($A$2:A144,A144,$B$2:B144,B144))</f>
        <v/>
      </c>
      <c r="D144" s="6"/>
      <c r="E144" s="6"/>
      <c r="F144" s="6"/>
      <c r="G144" s="6"/>
      <c r="H144" s="6"/>
      <c r="I144" s="6"/>
      <c r="J144" s="6"/>
      <c r="K144" s="6"/>
      <c r="L144" s="6"/>
      <c r="M144" s="5" t="str">
        <f t="shared" si="4"/>
        <v/>
      </c>
      <c r="N144" s="5" t="str">
        <f t="shared" si="5"/>
        <v/>
      </c>
    </row>
    <row r="145" spans="1:14" x14ac:dyDescent="0.25">
      <c r="A145" s="6"/>
      <c r="B145" s="6"/>
      <c r="C145" s="5" t="str">
        <f>IF(A145="","",COUNTIFS($A$2:A145,A145,$B$2:B145,B145))</f>
        <v/>
      </c>
      <c r="D145" s="6"/>
      <c r="E145" s="6"/>
      <c r="F145" s="6"/>
      <c r="G145" s="6"/>
      <c r="H145" s="6"/>
      <c r="I145" s="6"/>
      <c r="J145" s="6"/>
      <c r="K145" s="6"/>
      <c r="L145" s="6"/>
      <c r="M145" s="5" t="str">
        <f t="shared" si="4"/>
        <v/>
      </c>
      <c r="N145" s="5" t="str">
        <f t="shared" si="5"/>
        <v/>
      </c>
    </row>
    <row r="146" spans="1:14" x14ac:dyDescent="0.25">
      <c r="A146" s="6"/>
      <c r="B146" s="6"/>
      <c r="C146" s="5" t="str">
        <f>IF(A146="","",COUNTIFS($A$2:A146,A146,$B$2:B146,B146))</f>
        <v/>
      </c>
      <c r="D146" s="6"/>
      <c r="E146" s="6"/>
      <c r="F146" s="6"/>
      <c r="G146" s="6"/>
      <c r="H146" s="6"/>
      <c r="I146" s="6"/>
      <c r="J146" s="6"/>
      <c r="K146" s="6"/>
      <c r="L146" s="6"/>
      <c r="M146" s="5" t="str">
        <f t="shared" si="4"/>
        <v/>
      </c>
      <c r="N146" s="5" t="str">
        <f t="shared" si="5"/>
        <v/>
      </c>
    </row>
    <row r="147" spans="1:14" x14ac:dyDescent="0.25">
      <c r="A147" s="6"/>
      <c r="B147" s="6"/>
      <c r="C147" s="5" t="str">
        <f>IF(A147="","",COUNTIFS($A$2:A147,A147,$B$2:B147,B147))</f>
        <v/>
      </c>
      <c r="D147" s="6"/>
      <c r="E147" s="6"/>
      <c r="F147" s="6"/>
      <c r="G147" s="6"/>
      <c r="H147" s="6"/>
      <c r="I147" s="6"/>
      <c r="J147" s="6"/>
      <c r="K147" s="6"/>
      <c r="L147" s="6"/>
      <c r="M147" s="5" t="str">
        <f t="shared" si="4"/>
        <v/>
      </c>
      <c r="N147" s="5" t="str">
        <f t="shared" si="5"/>
        <v/>
      </c>
    </row>
    <row r="148" spans="1:14" x14ac:dyDescent="0.25">
      <c r="A148" s="6"/>
      <c r="B148" s="6"/>
      <c r="C148" s="5" t="str">
        <f>IF(A148="","",COUNTIFS($A$2:A148,A148,$B$2:B148,B148))</f>
        <v/>
      </c>
      <c r="D148" s="6"/>
      <c r="E148" s="6"/>
      <c r="F148" s="6"/>
      <c r="G148" s="6"/>
      <c r="H148" s="6"/>
      <c r="I148" s="6"/>
      <c r="J148" s="6"/>
      <c r="K148" s="6"/>
      <c r="L148" s="6"/>
      <c r="M148" s="5" t="str">
        <f t="shared" si="4"/>
        <v/>
      </c>
      <c r="N148" s="5" t="str">
        <f t="shared" si="5"/>
        <v/>
      </c>
    </row>
    <row r="149" spans="1:14" x14ac:dyDescent="0.25">
      <c r="A149" s="6"/>
      <c r="B149" s="6"/>
      <c r="C149" s="5" t="str">
        <f>IF(A149="","",COUNTIFS($A$2:A149,A149,$B$2:B149,B149))</f>
        <v/>
      </c>
      <c r="D149" s="6"/>
      <c r="E149" s="6"/>
      <c r="F149" s="6"/>
      <c r="G149" s="6"/>
      <c r="H149" s="6"/>
      <c r="I149" s="6"/>
      <c r="J149" s="6"/>
      <c r="K149" s="6"/>
      <c r="L149" s="6"/>
      <c r="M149" s="5" t="str">
        <f t="shared" si="4"/>
        <v/>
      </c>
      <c r="N149" s="5" t="str">
        <f t="shared" si="5"/>
        <v/>
      </c>
    </row>
    <row r="150" spans="1:14" x14ac:dyDescent="0.25">
      <c r="A150" s="6"/>
      <c r="B150" s="6"/>
      <c r="C150" s="5" t="str">
        <f>IF(A150="","",COUNTIFS($A$2:A150,A150,$B$2:B150,B150))</f>
        <v/>
      </c>
      <c r="D150" s="6"/>
      <c r="E150" s="6"/>
      <c r="F150" s="6"/>
      <c r="G150" s="6"/>
      <c r="H150" s="6"/>
      <c r="I150" s="6"/>
      <c r="J150" s="6"/>
      <c r="K150" s="6"/>
      <c r="L150" s="6"/>
      <c r="M150" s="5" t="str">
        <f t="shared" si="4"/>
        <v/>
      </c>
      <c r="N150" s="5" t="str">
        <f t="shared" si="5"/>
        <v/>
      </c>
    </row>
    <row r="151" spans="1:14" x14ac:dyDescent="0.25">
      <c r="A151" s="6"/>
      <c r="B151" s="6"/>
      <c r="C151" s="5" t="str">
        <f>IF(A151="","",COUNTIFS($A$2:A151,A151,$B$2:B151,B151))</f>
        <v/>
      </c>
      <c r="D151" s="6"/>
      <c r="E151" s="6"/>
      <c r="F151" s="6"/>
      <c r="G151" s="6"/>
      <c r="H151" s="6"/>
      <c r="I151" s="6"/>
      <c r="J151" s="6"/>
      <c r="K151" s="6"/>
      <c r="L151" s="6"/>
      <c r="M151" s="5" t="str">
        <f t="shared" si="4"/>
        <v/>
      </c>
      <c r="N151" s="5" t="str">
        <f t="shared" si="5"/>
        <v/>
      </c>
    </row>
    <row r="152" spans="1:14" x14ac:dyDescent="0.25">
      <c r="A152" s="6"/>
      <c r="B152" s="6"/>
      <c r="C152" s="5" t="str">
        <f>IF(A152="","",COUNTIFS($A$2:A152,A152,$B$2:B152,B152))</f>
        <v/>
      </c>
      <c r="D152" s="6"/>
      <c r="E152" s="6"/>
      <c r="F152" s="6"/>
      <c r="G152" s="6"/>
      <c r="H152" s="6"/>
      <c r="I152" s="6"/>
      <c r="J152" s="6"/>
      <c r="K152" s="6"/>
      <c r="L152" s="6"/>
      <c r="M152" s="5" t="str">
        <f t="shared" si="4"/>
        <v/>
      </c>
      <c r="N152" s="5" t="str">
        <f t="shared" si="5"/>
        <v/>
      </c>
    </row>
    <row r="153" spans="1:14" x14ac:dyDescent="0.25">
      <c r="A153" s="6"/>
      <c r="B153" s="6"/>
      <c r="C153" s="5" t="str">
        <f>IF(A153="","",COUNTIFS($A$2:A153,A153,$B$2:B153,B153))</f>
        <v/>
      </c>
      <c r="D153" s="6"/>
      <c r="E153" s="6"/>
      <c r="F153" s="6"/>
      <c r="G153" s="6"/>
      <c r="H153" s="6"/>
      <c r="I153" s="6"/>
      <c r="J153" s="6"/>
      <c r="K153" s="6"/>
      <c r="L153" s="6"/>
      <c r="M153" s="5" t="str">
        <f t="shared" si="4"/>
        <v/>
      </c>
      <c r="N153" s="5" t="str">
        <f t="shared" si="5"/>
        <v/>
      </c>
    </row>
    <row r="154" spans="1:14" x14ac:dyDescent="0.25">
      <c r="A154" s="6"/>
      <c r="B154" s="6"/>
      <c r="C154" s="5" t="str">
        <f>IF(A154="","",COUNTIFS($A$2:A154,A154,$B$2:B154,B154))</f>
        <v/>
      </c>
      <c r="D154" s="6"/>
      <c r="E154" s="6"/>
      <c r="F154" s="6"/>
      <c r="G154" s="6"/>
      <c r="H154" s="6"/>
      <c r="I154" s="6"/>
      <c r="J154" s="6"/>
      <c r="K154" s="6"/>
      <c r="L154" s="6"/>
      <c r="M154" s="5" t="str">
        <f t="shared" si="4"/>
        <v/>
      </c>
      <c r="N154" s="5" t="str">
        <f t="shared" si="5"/>
        <v/>
      </c>
    </row>
    <row r="155" spans="1:14" x14ac:dyDescent="0.25">
      <c r="A155" s="6"/>
      <c r="B155" s="6"/>
      <c r="C155" s="5" t="str">
        <f>IF(A155="","",COUNTIFS($A$2:A155,A155,$B$2:B155,B155))</f>
        <v/>
      </c>
      <c r="D155" s="6"/>
      <c r="E155" s="6"/>
      <c r="F155" s="6"/>
      <c r="G155" s="6"/>
      <c r="H155" s="6"/>
      <c r="I155" s="6"/>
      <c r="J155" s="6"/>
      <c r="K155" s="6"/>
      <c r="L155" s="6"/>
      <c r="M155" s="5" t="str">
        <f t="shared" si="4"/>
        <v/>
      </c>
      <c r="N155" s="5" t="str">
        <f t="shared" si="5"/>
        <v/>
      </c>
    </row>
    <row r="156" spans="1:14" x14ac:dyDescent="0.25">
      <c r="A156" s="6"/>
      <c r="B156" s="6"/>
      <c r="C156" s="5" t="str">
        <f>IF(A156="","",COUNTIFS($A$2:A156,A156,$B$2:B156,B156))</f>
        <v/>
      </c>
      <c r="D156" s="6"/>
      <c r="E156" s="6"/>
      <c r="F156" s="6"/>
      <c r="G156" s="6"/>
      <c r="H156" s="6"/>
      <c r="I156" s="6"/>
      <c r="J156" s="6"/>
      <c r="K156" s="6"/>
      <c r="L156" s="6"/>
      <c r="M156" s="5" t="str">
        <f t="shared" si="4"/>
        <v/>
      </c>
      <c r="N156" s="5" t="str">
        <f t="shared" si="5"/>
        <v/>
      </c>
    </row>
    <row r="157" spans="1:14" x14ac:dyDescent="0.25">
      <c r="A157" s="6"/>
      <c r="B157" s="6"/>
      <c r="C157" s="5" t="str">
        <f>IF(A157="","",COUNTIFS($A$2:A157,A157,$B$2:B157,B157))</f>
        <v/>
      </c>
      <c r="D157" s="6"/>
      <c r="E157" s="6"/>
      <c r="F157" s="6"/>
      <c r="G157" s="6"/>
      <c r="H157" s="6"/>
      <c r="I157" s="6"/>
      <c r="J157" s="6"/>
      <c r="K157" s="6"/>
      <c r="L157" s="6"/>
      <c r="M157" s="5" t="str">
        <f t="shared" si="4"/>
        <v/>
      </c>
      <c r="N157" s="5" t="str">
        <f t="shared" si="5"/>
        <v/>
      </c>
    </row>
    <row r="158" spans="1:14" x14ac:dyDescent="0.25">
      <c r="A158" s="6"/>
      <c r="B158" s="6"/>
      <c r="C158" s="5" t="str">
        <f>IF(A158="","",COUNTIFS($A$2:A158,A158,$B$2:B158,B158))</f>
        <v/>
      </c>
      <c r="D158" s="6"/>
      <c r="E158" s="6"/>
      <c r="F158" s="6"/>
      <c r="G158" s="6"/>
      <c r="H158" s="6"/>
      <c r="I158" s="6"/>
      <c r="J158" s="6"/>
      <c r="K158" s="6"/>
      <c r="L158" s="6"/>
      <c r="M158" s="5" t="str">
        <f t="shared" si="4"/>
        <v/>
      </c>
      <c r="N158" s="5" t="str">
        <f t="shared" si="5"/>
        <v/>
      </c>
    </row>
    <row r="159" spans="1:14" x14ac:dyDescent="0.25">
      <c r="A159" s="6"/>
      <c r="B159" s="6"/>
      <c r="C159" s="5" t="str">
        <f>IF(A159="","",COUNTIFS($A$2:A159,A159,$B$2:B159,B159))</f>
        <v/>
      </c>
      <c r="D159" s="6"/>
      <c r="E159" s="6"/>
      <c r="F159" s="6"/>
      <c r="G159" s="6"/>
      <c r="H159" s="6"/>
      <c r="I159" s="6"/>
      <c r="J159" s="6"/>
      <c r="K159" s="6"/>
      <c r="L159" s="6"/>
      <c r="M159" s="5" t="str">
        <f t="shared" si="4"/>
        <v/>
      </c>
      <c r="N159" s="5" t="str">
        <f t="shared" si="5"/>
        <v/>
      </c>
    </row>
    <row r="160" spans="1:14" x14ac:dyDescent="0.25">
      <c r="A160" s="6"/>
      <c r="B160" s="6"/>
      <c r="C160" s="5" t="str">
        <f>IF(A160="","",COUNTIFS($A$2:A160,A160,$B$2:B160,B160))</f>
        <v/>
      </c>
      <c r="D160" s="6"/>
      <c r="E160" s="6"/>
      <c r="F160" s="6"/>
      <c r="G160" s="6"/>
      <c r="H160" s="6"/>
      <c r="I160" s="6"/>
      <c r="J160" s="6"/>
      <c r="K160" s="6"/>
      <c r="L160" s="6"/>
      <c r="M160" s="5" t="str">
        <f t="shared" si="4"/>
        <v/>
      </c>
      <c r="N160" s="5" t="str">
        <f t="shared" si="5"/>
        <v/>
      </c>
    </row>
    <row r="161" spans="1:14" x14ac:dyDescent="0.25">
      <c r="A161" s="6"/>
      <c r="B161" s="6"/>
      <c r="C161" s="5" t="str">
        <f>IF(A161="","",COUNTIFS($A$2:A161,A161,$B$2:B161,B161))</f>
        <v/>
      </c>
      <c r="D161" s="6"/>
      <c r="E161" s="6"/>
      <c r="F161" s="6"/>
      <c r="G161" s="6"/>
      <c r="H161" s="6"/>
      <c r="I161" s="6"/>
      <c r="J161" s="6"/>
      <c r="K161" s="6"/>
      <c r="L161" s="6"/>
      <c r="M161" s="5" t="str">
        <f t="shared" si="4"/>
        <v/>
      </c>
      <c r="N161" s="5" t="str">
        <f t="shared" si="5"/>
        <v/>
      </c>
    </row>
    <row r="162" spans="1:14" x14ac:dyDescent="0.25">
      <c r="A162" s="6"/>
      <c r="B162" s="6"/>
      <c r="C162" s="5" t="str">
        <f>IF(A162="","",COUNTIFS($A$2:A162,A162,$B$2:B162,B162))</f>
        <v/>
      </c>
      <c r="D162" s="6"/>
      <c r="E162" s="6"/>
      <c r="F162" s="6"/>
      <c r="G162" s="6"/>
      <c r="H162" s="6"/>
      <c r="I162" s="6"/>
      <c r="J162" s="6"/>
      <c r="K162" s="6"/>
      <c r="L162" s="6"/>
      <c r="M162" s="5" t="str">
        <f t="shared" si="4"/>
        <v/>
      </c>
      <c r="N162" s="5" t="str">
        <f t="shared" si="5"/>
        <v/>
      </c>
    </row>
    <row r="163" spans="1:14" x14ac:dyDescent="0.25">
      <c r="A163" s="6"/>
      <c r="B163" s="6"/>
      <c r="C163" s="5" t="str">
        <f>IF(A163="","",COUNTIFS($A$2:A163,A163,$B$2:B163,B163))</f>
        <v/>
      </c>
      <c r="D163" s="6"/>
      <c r="E163" s="6"/>
      <c r="F163" s="6"/>
      <c r="G163" s="6"/>
      <c r="H163" s="6"/>
      <c r="I163" s="6"/>
      <c r="J163" s="6"/>
      <c r="K163" s="6"/>
      <c r="L163" s="6"/>
      <c r="M163" s="5" t="str">
        <f t="shared" si="4"/>
        <v/>
      </c>
      <c r="N163" s="5" t="str">
        <f t="shared" si="5"/>
        <v/>
      </c>
    </row>
    <row r="164" spans="1:14" x14ac:dyDescent="0.25">
      <c r="A164" s="6"/>
      <c r="B164" s="6"/>
      <c r="C164" s="5" t="str">
        <f>IF(A164="","",COUNTIFS($A$2:A164,A164,$B$2:B164,B164))</f>
        <v/>
      </c>
      <c r="D164" s="6"/>
      <c r="E164" s="6"/>
      <c r="F164" s="6"/>
      <c r="G164" s="6"/>
      <c r="H164" s="6"/>
      <c r="I164" s="6"/>
      <c r="J164" s="6"/>
      <c r="K164" s="6"/>
      <c r="L164" s="6"/>
      <c r="M164" s="5" t="str">
        <f t="shared" si="4"/>
        <v/>
      </c>
      <c r="N164" s="5" t="str">
        <f t="shared" si="5"/>
        <v/>
      </c>
    </row>
    <row r="165" spans="1:14" x14ac:dyDescent="0.25">
      <c r="A165" s="6"/>
      <c r="B165" s="6"/>
      <c r="C165" s="5" t="str">
        <f>IF(A165="","",COUNTIFS($A$2:A165,A165,$B$2:B165,B165))</f>
        <v/>
      </c>
      <c r="D165" s="6"/>
      <c r="E165" s="6"/>
      <c r="F165" s="6"/>
      <c r="G165" s="6"/>
      <c r="H165" s="6"/>
      <c r="I165" s="6"/>
      <c r="J165" s="6"/>
      <c r="K165" s="6"/>
      <c r="L165" s="6"/>
      <c r="M165" s="5" t="str">
        <f t="shared" si="4"/>
        <v/>
      </c>
      <c r="N165" s="5" t="str">
        <f t="shared" si="5"/>
        <v/>
      </c>
    </row>
    <row r="166" spans="1:14" x14ac:dyDescent="0.25">
      <c r="A166" s="6"/>
      <c r="B166" s="6"/>
      <c r="C166" s="5" t="str">
        <f>IF(A166="","",COUNTIFS($A$2:A166,A166,$B$2:B166,B166))</f>
        <v/>
      </c>
      <c r="D166" s="6"/>
      <c r="E166" s="6"/>
      <c r="F166" s="6"/>
      <c r="G166" s="6"/>
      <c r="H166" s="6"/>
      <c r="I166" s="6"/>
      <c r="J166" s="6"/>
      <c r="K166" s="6"/>
      <c r="L166" s="6"/>
      <c r="M166" s="5" t="str">
        <f t="shared" si="4"/>
        <v/>
      </c>
      <c r="N166" s="5" t="str">
        <f t="shared" si="5"/>
        <v/>
      </c>
    </row>
    <row r="167" spans="1:14" x14ac:dyDescent="0.25">
      <c r="A167" s="6"/>
      <c r="B167" s="6"/>
      <c r="C167" s="5" t="str">
        <f>IF(A167="","",COUNTIFS($A$2:A167,A167,$B$2:B167,B167))</f>
        <v/>
      </c>
      <c r="D167" s="6"/>
      <c r="E167" s="6"/>
      <c r="F167" s="6"/>
      <c r="G167" s="6"/>
      <c r="H167" s="6"/>
      <c r="I167" s="6"/>
      <c r="J167" s="6"/>
      <c r="K167" s="6"/>
      <c r="L167" s="6"/>
      <c r="M167" s="5" t="str">
        <f t="shared" si="4"/>
        <v/>
      </c>
      <c r="N167" s="5" t="str">
        <f t="shared" si="5"/>
        <v/>
      </c>
    </row>
    <row r="168" spans="1:14" x14ac:dyDescent="0.25">
      <c r="A168" s="6"/>
      <c r="B168" s="6"/>
      <c r="C168" s="5" t="str">
        <f>IF(A168="","",COUNTIFS($A$2:A168,A168,$B$2:B168,B168))</f>
        <v/>
      </c>
      <c r="D168" s="6"/>
      <c r="E168" s="6"/>
      <c r="F168" s="6"/>
      <c r="G168" s="6"/>
      <c r="H168" s="6"/>
      <c r="I168" s="6"/>
      <c r="J168" s="6"/>
      <c r="K168" s="6"/>
      <c r="L168" s="6"/>
      <c r="M168" s="5" t="str">
        <f t="shared" si="4"/>
        <v/>
      </c>
      <c r="N168" s="5" t="str">
        <f t="shared" si="5"/>
        <v/>
      </c>
    </row>
    <row r="169" spans="1:14" x14ac:dyDescent="0.25">
      <c r="A169" s="6"/>
      <c r="B169" s="6"/>
      <c r="C169" s="5" t="str">
        <f>IF(A169="","",COUNTIFS($A$2:A169,A169,$B$2:B169,B169))</f>
        <v/>
      </c>
      <c r="D169" s="6"/>
      <c r="E169" s="6"/>
      <c r="F169" s="6"/>
      <c r="G169" s="6"/>
      <c r="H169" s="6"/>
      <c r="I169" s="6"/>
      <c r="J169" s="6"/>
      <c r="K169" s="6"/>
      <c r="L169" s="6"/>
      <c r="M169" s="5" t="str">
        <f t="shared" si="4"/>
        <v/>
      </c>
      <c r="N169" s="5" t="str">
        <f t="shared" si="5"/>
        <v/>
      </c>
    </row>
    <row r="170" spans="1:14" x14ac:dyDescent="0.25">
      <c r="A170" s="6"/>
      <c r="B170" s="6"/>
      <c r="C170" s="5" t="str">
        <f>IF(A170="","",COUNTIFS($A$2:A170,A170,$B$2:B170,B170))</f>
        <v/>
      </c>
      <c r="D170" s="6"/>
      <c r="E170" s="6"/>
      <c r="F170" s="6"/>
      <c r="G170" s="6"/>
      <c r="H170" s="6"/>
      <c r="I170" s="6"/>
      <c r="J170" s="6"/>
      <c r="K170" s="6"/>
      <c r="L170" s="6"/>
      <c r="M170" s="5" t="str">
        <f t="shared" si="4"/>
        <v/>
      </c>
      <c r="N170" s="5" t="str">
        <f t="shared" si="5"/>
        <v/>
      </c>
    </row>
    <row r="171" spans="1:14" x14ac:dyDescent="0.25">
      <c r="A171" s="6"/>
      <c r="B171" s="6"/>
      <c r="C171" s="5" t="str">
        <f>IF(A171="","",COUNTIFS($A$2:A171,A171,$B$2:B171,B171))</f>
        <v/>
      </c>
      <c r="D171" s="6"/>
      <c r="E171" s="6"/>
      <c r="F171" s="6"/>
      <c r="G171" s="6"/>
      <c r="H171" s="6"/>
      <c r="I171" s="6"/>
      <c r="J171" s="6"/>
      <c r="K171" s="6"/>
      <c r="L171" s="6"/>
      <c r="M171" s="5" t="str">
        <f t="shared" si="4"/>
        <v/>
      </c>
      <c r="N171" s="5" t="str">
        <f t="shared" si="5"/>
        <v/>
      </c>
    </row>
    <row r="172" spans="1:14" x14ac:dyDescent="0.25">
      <c r="A172" s="6"/>
      <c r="B172" s="6"/>
      <c r="C172" s="5" t="str">
        <f>IF(A172="","",COUNTIFS($A$2:A172,A172,$B$2:B172,B172))</f>
        <v/>
      </c>
      <c r="D172" s="6"/>
      <c r="E172" s="6"/>
      <c r="F172" s="6"/>
      <c r="G172" s="6"/>
      <c r="H172" s="6"/>
      <c r="I172" s="6"/>
      <c r="J172" s="6"/>
      <c r="K172" s="6"/>
      <c r="L172" s="6"/>
      <c r="M172" s="5" t="str">
        <f t="shared" si="4"/>
        <v/>
      </c>
      <c r="N172" s="5" t="str">
        <f t="shared" si="5"/>
        <v/>
      </c>
    </row>
    <row r="173" spans="1:14" x14ac:dyDescent="0.25">
      <c r="A173" s="6"/>
      <c r="B173" s="6"/>
      <c r="C173" s="5" t="str">
        <f>IF(A173="","",COUNTIFS($A$2:A173,A173,$B$2:B173,B173))</f>
        <v/>
      </c>
      <c r="D173" s="6"/>
      <c r="E173" s="6"/>
      <c r="F173" s="6"/>
      <c r="G173" s="6"/>
      <c r="H173" s="6"/>
      <c r="I173" s="6"/>
      <c r="J173" s="6"/>
      <c r="K173" s="6"/>
      <c r="L173" s="6"/>
      <c r="M173" s="5" t="str">
        <f t="shared" si="4"/>
        <v/>
      </c>
      <c r="N173" s="5" t="str">
        <f t="shared" si="5"/>
        <v/>
      </c>
    </row>
    <row r="174" spans="1:14" x14ac:dyDescent="0.25">
      <c r="A174" s="6"/>
      <c r="B174" s="6"/>
      <c r="C174" s="5" t="str">
        <f>IF(A174="","",COUNTIFS($A$2:A174,A174,$B$2:B174,B174))</f>
        <v/>
      </c>
      <c r="D174" s="6"/>
      <c r="E174" s="6"/>
      <c r="F174" s="6"/>
      <c r="G174" s="6"/>
      <c r="H174" s="6"/>
      <c r="I174" s="6"/>
      <c r="J174" s="6"/>
      <c r="K174" s="6"/>
      <c r="L174" s="6"/>
      <c r="M174" s="5" t="str">
        <f t="shared" si="4"/>
        <v/>
      </c>
      <c r="N174" s="5" t="str">
        <f t="shared" si="5"/>
        <v/>
      </c>
    </row>
    <row r="175" spans="1:14" x14ac:dyDescent="0.25">
      <c r="A175" s="6"/>
      <c r="B175" s="6"/>
      <c r="C175" s="5" t="str">
        <f>IF(A175="","",COUNTIFS($A$2:A175,A175,$B$2:B175,B175))</f>
        <v/>
      </c>
      <c r="D175" s="6"/>
      <c r="E175" s="6"/>
      <c r="F175" s="6"/>
      <c r="G175" s="6"/>
      <c r="H175" s="6"/>
      <c r="I175" s="6"/>
      <c r="J175" s="6"/>
      <c r="K175" s="6"/>
      <c r="L175" s="6"/>
      <c r="M175" s="5" t="str">
        <f t="shared" si="4"/>
        <v/>
      </c>
      <c r="N175" s="5" t="str">
        <f t="shared" si="5"/>
        <v/>
      </c>
    </row>
    <row r="176" spans="1:14" x14ac:dyDescent="0.25">
      <c r="A176" s="6"/>
      <c r="B176" s="6"/>
      <c r="C176" s="5" t="str">
        <f>IF(A176="","",COUNTIFS($A$2:A176,A176,$B$2:B176,B176))</f>
        <v/>
      </c>
      <c r="D176" s="6"/>
      <c r="E176" s="6"/>
      <c r="F176" s="6"/>
      <c r="G176" s="6"/>
      <c r="H176" s="6"/>
      <c r="I176" s="6"/>
      <c r="J176" s="6"/>
      <c r="K176" s="6"/>
      <c r="L176" s="6"/>
      <c r="M176" s="5" t="str">
        <f t="shared" si="4"/>
        <v/>
      </c>
      <c r="N176" s="5" t="str">
        <f t="shared" si="5"/>
        <v/>
      </c>
    </row>
    <row r="177" spans="1:14" x14ac:dyDescent="0.25">
      <c r="A177" s="6"/>
      <c r="B177" s="6"/>
      <c r="C177" s="5" t="str">
        <f>IF(A177="","",COUNTIFS($A$2:A177,A177,$B$2:B177,B177))</f>
        <v/>
      </c>
      <c r="D177" s="6"/>
      <c r="E177" s="6"/>
      <c r="F177" s="6"/>
      <c r="G177" s="6"/>
      <c r="H177" s="6"/>
      <c r="I177" s="6"/>
      <c r="J177" s="6"/>
      <c r="K177" s="6"/>
      <c r="L177" s="6"/>
      <c r="M177" s="5" t="str">
        <f t="shared" si="4"/>
        <v/>
      </c>
      <c r="N177" s="5" t="str">
        <f t="shared" si="5"/>
        <v/>
      </c>
    </row>
    <row r="178" spans="1:14" x14ac:dyDescent="0.25">
      <c r="A178" s="6"/>
      <c r="B178" s="6"/>
      <c r="C178" s="5" t="str">
        <f>IF(A178="","",COUNTIFS($A$2:A178,A178,$B$2:B178,B178))</f>
        <v/>
      </c>
      <c r="D178" s="6"/>
      <c r="E178" s="6"/>
      <c r="F178" s="6"/>
      <c r="G178" s="6"/>
      <c r="H178" s="6"/>
      <c r="I178" s="6"/>
      <c r="J178" s="6"/>
      <c r="K178" s="6"/>
      <c r="L178" s="6"/>
      <c r="M178" s="5" t="str">
        <f t="shared" si="4"/>
        <v/>
      </c>
      <c r="N178" s="5" t="str">
        <f t="shared" si="5"/>
        <v/>
      </c>
    </row>
    <row r="179" spans="1:14" x14ac:dyDescent="0.25">
      <c r="A179" s="6"/>
      <c r="B179" s="6"/>
      <c r="C179" s="5" t="str">
        <f>IF(A179="","",COUNTIFS($A$2:A179,A179,$B$2:B179,B179))</f>
        <v/>
      </c>
      <c r="D179" s="6"/>
      <c r="E179" s="6"/>
      <c r="F179" s="6"/>
      <c r="G179" s="6"/>
      <c r="H179" s="6"/>
      <c r="I179" s="6"/>
      <c r="J179" s="6"/>
      <c r="K179" s="6"/>
      <c r="L179" s="6"/>
      <c r="M179" s="5" t="str">
        <f t="shared" si="4"/>
        <v/>
      </c>
      <c r="N179" s="5" t="str">
        <f t="shared" si="5"/>
        <v/>
      </c>
    </row>
    <row r="180" spans="1:14" x14ac:dyDescent="0.25">
      <c r="A180" s="6"/>
      <c r="B180" s="6"/>
      <c r="C180" s="5" t="str">
        <f>IF(A180="","",COUNTIFS($A$2:A180,A180,$B$2:B180,B180))</f>
        <v/>
      </c>
      <c r="D180" s="6"/>
      <c r="E180" s="6"/>
      <c r="F180" s="6"/>
      <c r="G180" s="6"/>
      <c r="H180" s="6"/>
      <c r="I180" s="6"/>
      <c r="J180" s="6"/>
      <c r="K180" s="6"/>
      <c r="L180" s="6"/>
      <c r="M180" s="5" t="str">
        <f t="shared" si="4"/>
        <v/>
      </c>
      <c r="N180" s="5" t="str">
        <f t="shared" si="5"/>
        <v/>
      </c>
    </row>
    <row r="181" spans="1:14" x14ac:dyDescent="0.25">
      <c r="A181" s="6"/>
      <c r="B181" s="6"/>
      <c r="C181" s="5" t="str">
        <f>IF(A181="","",COUNTIFS($A$2:A181,A181,$B$2:B181,B181))</f>
        <v/>
      </c>
      <c r="D181" s="6"/>
      <c r="E181" s="6"/>
      <c r="F181" s="6"/>
      <c r="G181" s="6"/>
      <c r="H181" s="6"/>
      <c r="I181" s="6"/>
      <c r="J181" s="6"/>
      <c r="K181" s="6"/>
      <c r="L181" s="6"/>
      <c r="M181" s="5" t="str">
        <f t="shared" si="4"/>
        <v/>
      </c>
      <c r="N181" s="5" t="str">
        <f t="shared" si="5"/>
        <v/>
      </c>
    </row>
    <row r="182" spans="1:14" x14ac:dyDescent="0.25">
      <c r="A182" s="6"/>
      <c r="B182" s="6"/>
      <c r="C182" s="5" t="str">
        <f>IF(A182="","",COUNTIFS($A$2:A182,A182,$B$2:B182,B182))</f>
        <v/>
      </c>
      <c r="D182" s="6"/>
      <c r="E182" s="6"/>
      <c r="F182" s="6"/>
      <c r="G182" s="6"/>
      <c r="H182" s="6"/>
      <c r="I182" s="6"/>
      <c r="J182" s="6"/>
      <c r="K182" s="6"/>
      <c r="L182" s="6"/>
      <c r="M182" s="5" t="str">
        <f t="shared" si="4"/>
        <v/>
      </c>
      <c r="N182" s="5" t="str">
        <f t="shared" si="5"/>
        <v/>
      </c>
    </row>
    <row r="183" spans="1:14" x14ac:dyDescent="0.25">
      <c r="A183" s="6"/>
      <c r="B183" s="6"/>
      <c r="C183" s="5" t="str">
        <f>IF(A183="","",COUNTIFS($A$2:A183,A183,$B$2:B183,B183))</f>
        <v/>
      </c>
      <c r="D183" s="6"/>
      <c r="E183" s="6"/>
      <c r="F183" s="6"/>
      <c r="G183" s="6"/>
      <c r="H183" s="6"/>
      <c r="I183" s="6"/>
      <c r="J183" s="6"/>
      <c r="K183" s="6"/>
      <c r="L183" s="6"/>
      <c r="M183" s="5" t="str">
        <f t="shared" si="4"/>
        <v/>
      </c>
      <c r="N183" s="5" t="str">
        <f t="shared" si="5"/>
        <v/>
      </c>
    </row>
    <row r="184" spans="1:14" x14ac:dyDescent="0.25">
      <c r="A184" s="6"/>
      <c r="B184" s="6"/>
      <c r="C184" s="5" t="str">
        <f>IF(A184="","",COUNTIFS($A$2:A184,A184,$B$2:B184,B184))</f>
        <v/>
      </c>
      <c r="D184" s="6"/>
      <c r="E184" s="6"/>
      <c r="F184" s="6"/>
      <c r="G184" s="6"/>
      <c r="H184" s="6"/>
      <c r="I184" s="6"/>
      <c r="J184" s="6"/>
      <c r="K184" s="6"/>
      <c r="L184" s="6"/>
      <c r="M184" s="5" t="str">
        <f t="shared" si="4"/>
        <v/>
      </c>
      <c r="N184" s="5" t="str">
        <f t="shared" si="5"/>
        <v/>
      </c>
    </row>
    <row r="185" spans="1:14" x14ac:dyDescent="0.25">
      <c r="A185" s="6"/>
      <c r="B185" s="6"/>
      <c r="C185" s="5" t="str">
        <f>IF(A185="","",COUNTIFS($A$2:A185,A185,$B$2:B185,B185))</f>
        <v/>
      </c>
      <c r="D185" s="6"/>
      <c r="E185" s="6"/>
      <c r="F185" s="6"/>
      <c r="G185" s="6"/>
      <c r="H185" s="6"/>
      <c r="I185" s="6"/>
      <c r="J185" s="6"/>
      <c r="K185" s="6"/>
      <c r="L185" s="6"/>
      <c r="M185" s="5" t="str">
        <f t="shared" si="4"/>
        <v/>
      </c>
      <c r="N185" s="5" t="str">
        <f t="shared" si="5"/>
        <v/>
      </c>
    </row>
    <row r="186" spans="1:14" x14ac:dyDescent="0.25">
      <c r="A186" s="6"/>
      <c r="B186" s="6"/>
      <c r="C186" s="5" t="str">
        <f>IF(A186="","",COUNTIFS($A$2:A186,A186,$B$2:B186,B186))</f>
        <v/>
      </c>
      <c r="D186" s="6"/>
      <c r="E186" s="6"/>
      <c r="F186" s="6"/>
      <c r="G186" s="6"/>
      <c r="H186" s="6"/>
      <c r="I186" s="6"/>
      <c r="J186" s="6"/>
      <c r="K186" s="6"/>
      <c r="L186" s="6"/>
      <c r="M186" s="5" t="str">
        <f t="shared" si="4"/>
        <v/>
      </c>
      <c r="N186" s="5" t="str">
        <f t="shared" si="5"/>
        <v/>
      </c>
    </row>
    <row r="187" spans="1:14" x14ac:dyDescent="0.25">
      <c r="A187" s="6"/>
      <c r="B187" s="6"/>
      <c r="C187" s="5" t="str">
        <f>IF(A187="","",COUNTIFS($A$2:A187,A187,$B$2:B187,B187))</f>
        <v/>
      </c>
      <c r="D187" s="6"/>
      <c r="E187" s="6"/>
      <c r="F187" s="6"/>
      <c r="G187" s="6"/>
      <c r="H187" s="6"/>
      <c r="I187" s="6"/>
      <c r="J187" s="6"/>
      <c r="K187" s="6"/>
      <c r="L187" s="6"/>
      <c r="M187" s="5" t="str">
        <f t="shared" si="4"/>
        <v/>
      </c>
      <c r="N187" s="5" t="str">
        <f t="shared" si="5"/>
        <v/>
      </c>
    </row>
    <row r="188" spans="1:14" x14ac:dyDescent="0.25">
      <c r="A188" s="6"/>
      <c r="B188" s="6"/>
      <c r="C188" s="5" t="str">
        <f>IF(A188="","",COUNTIFS($A$2:A188,A188,$B$2:B188,B188))</f>
        <v/>
      </c>
      <c r="D188" s="6"/>
      <c r="E188" s="6"/>
      <c r="F188" s="6"/>
      <c r="G188" s="6"/>
      <c r="H188" s="6"/>
      <c r="I188" s="6"/>
      <c r="J188" s="6"/>
      <c r="K188" s="6"/>
      <c r="L188" s="6"/>
      <c r="M188" s="5" t="str">
        <f t="shared" si="4"/>
        <v/>
      </c>
      <c r="N188" s="5" t="str">
        <f t="shared" si="5"/>
        <v/>
      </c>
    </row>
    <row r="189" spans="1:14" x14ac:dyDescent="0.25">
      <c r="A189" s="6"/>
      <c r="B189" s="6"/>
      <c r="C189" s="5" t="str">
        <f>IF(A189="","",COUNTIFS($A$2:A189,A189,$B$2:B189,B189))</f>
        <v/>
      </c>
      <c r="D189" s="6"/>
      <c r="E189" s="6"/>
      <c r="F189" s="6"/>
      <c r="G189" s="6"/>
      <c r="H189" s="6"/>
      <c r="I189" s="6"/>
      <c r="J189" s="6"/>
      <c r="K189" s="6"/>
      <c r="L189" s="6"/>
      <c r="M189" s="5" t="str">
        <f t="shared" si="4"/>
        <v/>
      </c>
      <c r="N189" s="5" t="str">
        <f t="shared" si="5"/>
        <v/>
      </c>
    </row>
    <row r="190" spans="1:14" x14ac:dyDescent="0.25">
      <c r="A190" s="6"/>
      <c r="B190" s="6"/>
      <c r="C190" s="5" t="str">
        <f>IF(A190="","",COUNTIFS($A$2:A190,A190,$B$2:B190,B190))</f>
        <v/>
      </c>
      <c r="D190" s="6"/>
      <c r="E190" s="6"/>
      <c r="F190" s="6"/>
      <c r="G190" s="6"/>
      <c r="H190" s="6"/>
      <c r="I190" s="6"/>
      <c r="J190" s="6"/>
      <c r="K190" s="6"/>
      <c r="L190" s="6"/>
      <c r="M190" s="5" t="str">
        <f t="shared" si="4"/>
        <v/>
      </c>
      <c r="N190" s="5" t="str">
        <f t="shared" si="5"/>
        <v/>
      </c>
    </row>
    <row r="191" spans="1:14" x14ac:dyDescent="0.25">
      <c r="A191" s="6"/>
      <c r="B191" s="6"/>
      <c r="C191" s="5" t="str">
        <f>IF(A191="","",COUNTIFS($A$2:A191,A191,$B$2:B191,B191))</f>
        <v/>
      </c>
      <c r="D191" s="6"/>
      <c r="E191" s="6"/>
      <c r="F191" s="6"/>
      <c r="G191" s="6"/>
      <c r="H191" s="6"/>
      <c r="I191" s="6"/>
      <c r="J191" s="6"/>
      <c r="K191" s="6"/>
      <c r="L191" s="6"/>
      <c r="M191" s="5" t="str">
        <f t="shared" si="4"/>
        <v/>
      </c>
      <c r="N191" s="5" t="str">
        <f t="shared" si="5"/>
        <v/>
      </c>
    </row>
    <row r="192" spans="1:14" x14ac:dyDescent="0.25">
      <c r="A192" s="6"/>
      <c r="B192" s="6"/>
      <c r="C192" s="5" t="str">
        <f>IF(A192="","",COUNTIFS($A$2:A192,A192,$B$2:B192,B192))</f>
        <v/>
      </c>
      <c r="D192" s="6"/>
      <c r="E192" s="6"/>
      <c r="F192" s="6"/>
      <c r="G192" s="6"/>
      <c r="H192" s="6"/>
      <c r="I192" s="6"/>
      <c r="J192" s="6"/>
      <c r="K192" s="6"/>
      <c r="L192" s="6"/>
      <c r="M192" s="5" t="str">
        <f t="shared" si="4"/>
        <v/>
      </c>
      <c r="N192" s="5" t="str">
        <f t="shared" si="5"/>
        <v/>
      </c>
    </row>
    <row r="193" spans="1:14" x14ac:dyDescent="0.25">
      <c r="A193" s="6"/>
      <c r="B193" s="6"/>
      <c r="C193" s="5" t="str">
        <f>IF(A193="","",COUNTIFS($A$2:A193,A193,$B$2:B193,B193))</f>
        <v/>
      </c>
      <c r="D193" s="6"/>
      <c r="E193" s="6"/>
      <c r="F193" s="6"/>
      <c r="G193" s="6"/>
      <c r="H193" s="6"/>
      <c r="I193" s="6"/>
      <c r="J193" s="6"/>
      <c r="K193" s="6"/>
      <c r="L193" s="6"/>
      <c r="M193" s="5" t="str">
        <f t="shared" si="4"/>
        <v/>
      </c>
      <c r="N193" s="5" t="str">
        <f t="shared" si="5"/>
        <v/>
      </c>
    </row>
    <row r="194" spans="1:14" x14ac:dyDescent="0.25">
      <c r="A194" s="6"/>
      <c r="B194" s="6"/>
      <c r="C194" s="5" t="str">
        <f>IF(A194="","",COUNTIFS($A$2:A194,A194,$B$2:B194,B194))</f>
        <v/>
      </c>
      <c r="D194" s="6"/>
      <c r="E194" s="6"/>
      <c r="F194" s="6"/>
      <c r="G194" s="6"/>
      <c r="H194" s="6"/>
      <c r="I194" s="6"/>
      <c r="J194" s="6"/>
      <c r="K194" s="6"/>
      <c r="L194" s="6"/>
      <c r="M194" s="5" t="str">
        <f t="shared" ref="M194:M257" si="6">IF(D194="","",IF(OR(E194="",F194=""),"",IF(TRIM(IF(AND(E194="hecho",F194="INCORRECTA"),"INC ","")&amp;IF(AND(E194="abstencion",F194="INCORRECTA"),"ABS-E ","")&amp;IF(AND(E194="hecho",F194="FUERA_REF",H194="no_resp"),"NO-ABS ","")&amp;IF(AND(E194="hecho",I194="SIN-RESPALDO"),"SIN-R ","")&amp;IF(AND(E194="hecho",I194="CITA-X"),"CITA-X ","")&amp;IF(AND(E194="hecho",I194="SIN-CITA"),"SIN-C ",""))="","-",TRIM(IF(AND(E194="hecho",F194="INCORRECTA"),"INC ","")&amp;IF(AND(E194="abstencion",F194="INCORRECTA"),"ABS-E ","")&amp;IF(AND(E194="hecho",F194="FUERA_REF",H194="no_resp"),"NO-ABS ","")&amp;IF(AND(E194="hecho",I194="SIN-RESPALDO"),"SIN-R ","")&amp;IF(AND(E194="hecho",I194="CITA-X"),"CITA-X ","")&amp;IF(AND(E194="hecho",I194="SIN-CITA"),"SIN-C ","")))))</f>
        <v/>
      </c>
      <c r="N194" s="5" t="str">
        <f t="shared" ref="N194:N257" si="7">IF(D194="","",IF(OR(A194="",B194="",E194="",F194=""),"falta qid, modo, tipo o vs_ref",IF(AND(B194="llm",I194&lt;&gt;""),"respaldo no aplica en modo LLM",IF(AND(E194="abstencion",I194&lt;&gt;""),"una abstención no se califica en citas",IF(AND(B194="rag",E194="hecho",I194=""),"falta respaldo","ok")))))</f>
        <v/>
      </c>
    </row>
    <row r="195" spans="1:14" x14ac:dyDescent="0.25">
      <c r="A195" s="6"/>
      <c r="B195" s="6"/>
      <c r="C195" s="5" t="str">
        <f>IF(A195="","",COUNTIFS($A$2:A195,A195,$B$2:B195,B195))</f>
        <v/>
      </c>
      <c r="D195" s="6"/>
      <c r="E195" s="6"/>
      <c r="F195" s="6"/>
      <c r="G195" s="6"/>
      <c r="H195" s="6"/>
      <c r="I195" s="6"/>
      <c r="J195" s="6"/>
      <c r="K195" s="6"/>
      <c r="L195" s="6"/>
      <c r="M195" s="5" t="str">
        <f t="shared" si="6"/>
        <v/>
      </c>
      <c r="N195" s="5" t="str">
        <f t="shared" si="7"/>
        <v/>
      </c>
    </row>
    <row r="196" spans="1:14" x14ac:dyDescent="0.25">
      <c r="A196" s="6"/>
      <c r="B196" s="6"/>
      <c r="C196" s="5" t="str">
        <f>IF(A196="","",COUNTIFS($A$2:A196,A196,$B$2:B196,B196))</f>
        <v/>
      </c>
      <c r="D196" s="6"/>
      <c r="E196" s="6"/>
      <c r="F196" s="6"/>
      <c r="G196" s="6"/>
      <c r="H196" s="6"/>
      <c r="I196" s="6"/>
      <c r="J196" s="6"/>
      <c r="K196" s="6"/>
      <c r="L196" s="6"/>
      <c r="M196" s="5" t="str">
        <f t="shared" si="6"/>
        <v/>
      </c>
      <c r="N196" s="5" t="str">
        <f t="shared" si="7"/>
        <v/>
      </c>
    </row>
    <row r="197" spans="1:14" x14ac:dyDescent="0.25">
      <c r="A197" s="6"/>
      <c r="B197" s="6"/>
      <c r="C197" s="5" t="str">
        <f>IF(A197="","",COUNTIFS($A$2:A197,A197,$B$2:B197,B197))</f>
        <v/>
      </c>
      <c r="D197" s="6"/>
      <c r="E197" s="6"/>
      <c r="F197" s="6"/>
      <c r="G197" s="6"/>
      <c r="H197" s="6"/>
      <c r="I197" s="6"/>
      <c r="J197" s="6"/>
      <c r="K197" s="6"/>
      <c r="L197" s="6"/>
      <c r="M197" s="5" t="str">
        <f t="shared" si="6"/>
        <v/>
      </c>
      <c r="N197" s="5" t="str">
        <f t="shared" si="7"/>
        <v/>
      </c>
    </row>
    <row r="198" spans="1:14" x14ac:dyDescent="0.25">
      <c r="A198" s="6"/>
      <c r="B198" s="6"/>
      <c r="C198" s="5" t="str">
        <f>IF(A198="","",COUNTIFS($A$2:A198,A198,$B$2:B198,B198))</f>
        <v/>
      </c>
      <c r="D198" s="6"/>
      <c r="E198" s="6"/>
      <c r="F198" s="6"/>
      <c r="G198" s="6"/>
      <c r="H198" s="6"/>
      <c r="I198" s="6"/>
      <c r="J198" s="6"/>
      <c r="K198" s="6"/>
      <c r="L198" s="6"/>
      <c r="M198" s="5" t="str">
        <f t="shared" si="6"/>
        <v/>
      </c>
      <c r="N198" s="5" t="str">
        <f t="shared" si="7"/>
        <v/>
      </c>
    </row>
    <row r="199" spans="1:14" x14ac:dyDescent="0.25">
      <c r="A199" s="6"/>
      <c r="B199" s="6"/>
      <c r="C199" s="5" t="str">
        <f>IF(A199="","",COUNTIFS($A$2:A199,A199,$B$2:B199,B199))</f>
        <v/>
      </c>
      <c r="D199" s="6"/>
      <c r="E199" s="6"/>
      <c r="F199" s="6"/>
      <c r="G199" s="6"/>
      <c r="H199" s="6"/>
      <c r="I199" s="6"/>
      <c r="J199" s="6"/>
      <c r="K199" s="6"/>
      <c r="L199" s="6"/>
      <c r="M199" s="5" t="str">
        <f t="shared" si="6"/>
        <v/>
      </c>
      <c r="N199" s="5" t="str">
        <f t="shared" si="7"/>
        <v/>
      </c>
    </row>
    <row r="200" spans="1:14" x14ac:dyDescent="0.25">
      <c r="A200" s="6"/>
      <c r="B200" s="6"/>
      <c r="C200" s="5" t="str">
        <f>IF(A200="","",COUNTIFS($A$2:A200,A200,$B$2:B200,B200))</f>
        <v/>
      </c>
      <c r="D200" s="6"/>
      <c r="E200" s="6"/>
      <c r="F200" s="6"/>
      <c r="G200" s="6"/>
      <c r="H200" s="6"/>
      <c r="I200" s="6"/>
      <c r="J200" s="6"/>
      <c r="K200" s="6"/>
      <c r="L200" s="6"/>
      <c r="M200" s="5" t="str">
        <f t="shared" si="6"/>
        <v/>
      </c>
      <c r="N200" s="5" t="str">
        <f t="shared" si="7"/>
        <v/>
      </c>
    </row>
    <row r="201" spans="1:14" x14ac:dyDescent="0.25">
      <c r="A201" s="6"/>
      <c r="B201" s="6"/>
      <c r="C201" s="5" t="str">
        <f>IF(A201="","",COUNTIFS($A$2:A201,A201,$B$2:B201,B201))</f>
        <v/>
      </c>
      <c r="D201" s="6"/>
      <c r="E201" s="6"/>
      <c r="F201" s="6"/>
      <c r="G201" s="6"/>
      <c r="H201" s="6"/>
      <c r="I201" s="6"/>
      <c r="J201" s="6"/>
      <c r="K201" s="6"/>
      <c r="L201" s="6"/>
      <c r="M201" s="5" t="str">
        <f t="shared" si="6"/>
        <v/>
      </c>
      <c r="N201" s="5" t="str">
        <f t="shared" si="7"/>
        <v/>
      </c>
    </row>
    <row r="202" spans="1:14" x14ac:dyDescent="0.25">
      <c r="A202" s="6"/>
      <c r="B202" s="6"/>
      <c r="C202" s="5" t="str">
        <f>IF(A202="","",COUNTIFS($A$2:A202,A202,$B$2:B202,B202))</f>
        <v/>
      </c>
      <c r="D202" s="6"/>
      <c r="E202" s="6"/>
      <c r="F202" s="6"/>
      <c r="G202" s="6"/>
      <c r="H202" s="6"/>
      <c r="I202" s="6"/>
      <c r="J202" s="6"/>
      <c r="K202" s="6"/>
      <c r="L202" s="6"/>
      <c r="M202" s="5" t="str">
        <f t="shared" si="6"/>
        <v/>
      </c>
      <c r="N202" s="5" t="str">
        <f t="shared" si="7"/>
        <v/>
      </c>
    </row>
    <row r="203" spans="1:14" x14ac:dyDescent="0.25">
      <c r="A203" s="6"/>
      <c r="B203" s="6"/>
      <c r="C203" s="5" t="str">
        <f>IF(A203="","",COUNTIFS($A$2:A203,A203,$B$2:B203,B203))</f>
        <v/>
      </c>
      <c r="D203" s="6"/>
      <c r="E203" s="6"/>
      <c r="F203" s="6"/>
      <c r="G203" s="6"/>
      <c r="H203" s="6"/>
      <c r="I203" s="6"/>
      <c r="J203" s="6"/>
      <c r="K203" s="6"/>
      <c r="L203" s="6"/>
      <c r="M203" s="5" t="str">
        <f t="shared" si="6"/>
        <v/>
      </c>
      <c r="N203" s="5" t="str">
        <f t="shared" si="7"/>
        <v/>
      </c>
    </row>
    <row r="204" spans="1:14" x14ac:dyDescent="0.25">
      <c r="A204" s="6"/>
      <c r="B204" s="6"/>
      <c r="C204" s="5" t="str">
        <f>IF(A204="","",COUNTIFS($A$2:A204,A204,$B$2:B204,B204))</f>
        <v/>
      </c>
      <c r="D204" s="6"/>
      <c r="E204" s="6"/>
      <c r="F204" s="6"/>
      <c r="G204" s="6"/>
      <c r="H204" s="6"/>
      <c r="I204" s="6"/>
      <c r="J204" s="6"/>
      <c r="K204" s="6"/>
      <c r="L204" s="6"/>
      <c r="M204" s="5" t="str">
        <f t="shared" si="6"/>
        <v/>
      </c>
      <c r="N204" s="5" t="str">
        <f t="shared" si="7"/>
        <v/>
      </c>
    </row>
    <row r="205" spans="1:14" x14ac:dyDescent="0.25">
      <c r="A205" s="6"/>
      <c r="B205" s="6"/>
      <c r="C205" s="5" t="str">
        <f>IF(A205="","",COUNTIFS($A$2:A205,A205,$B$2:B205,B205))</f>
        <v/>
      </c>
      <c r="D205" s="6"/>
      <c r="E205" s="6"/>
      <c r="F205" s="6"/>
      <c r="G205" s="6"/>
      <c r="H205" s="6"/>
      <c r="I205" s="6"/>
      <c r="J205" s="6"/>
      <c r="K205" s="6"/>
      <c r="L205" s="6"/>
      <c r="M205" s="5" t="str">
        <f t="shared" si="6"/>
        <v/>
      </c>
      <c r="N205" s="5" t="str">
        <f t="shared" si="7"/>
        <v/>
      </c>
    </row>
    <row r="206" spans="1:14" x14ac:dyDescent="0.25">
      <c r="A206" s="6"/>
      <c r="B206" s="6"/>
      <c r="C206" s="5" t="str">
        <f>IF(A206="","",COUNTIFS($A$2:A206,A206,$B$2:B206,B206))</f>
        <v/>
      </c>
      <c r="D206" s="6"/>
      <c r="E206" s="6"/>
      <c r="F206" s="6"/>
      <c r="G206" s="6"/>
      <c r="H206" s="6"/>
      <c r="I206" s="6"/>
      <c r="J206" s="6"/>
      <c r="K206" s="6"/>
      <c r="L206" s="6"/>
      <c r="M206" s="5" t="str">
        <f t="shared" si="6"/>
        <v/>
      </c>
      <c r="N206" s="5" t="str">
        <f t="shared" si="7"/>
        <v/>
      </c>
    </row>
    <row r="207" spans="1:14" x14ac:dyDescent="0.25">
      <c r="A207" s="6"/>
      <c r="B207" s="6"/>
      <c r="C207" s="5" t="str">
        <f>IF(A207="","",COUNTIFS($A$2:A207,A207,$B$2:B207,B207))</f>
        <v/>
      </c>
      <c r="D207" s="6"/>
      <c r="E207" s="6"/>
      <c r="F207" s="6"/>
      <c r="G207" s="6"/>
      <c r="H207" s="6"/>
      <c r="I207" s="6"/>
      <c r="J207" s="6"/>
      <c r="K207" s="6"/>
      <c r="L207" s="6"/>
      <c r="M207" s="5" t="str">
        <f t="shared" si="6"/>
        <v/>
      </c>
      <c r="N207" s="5" t="str">
        <f t="shared" si="7"/>
        <v/>
      </c>
    </row>
    <row r="208" spans="1:14" x14ac:dyDescent="0.25">
      <c r="A208" s="6"/>
      <c r="B208" s="6"/>
      <c r="C208" s="5" t="str">
        <f>IF(A208="","",COUNTIFS($A$2:A208,A208,$B$2:B208,B208))</f>
        <v/>
      </c>
      <c r="D208" s="6"/>
      <c r="E208" s="6"/>
      <c r="F208" s="6"/>
      <c r="G208" s="6"/>
      <c r="H208" s="6"/>
      <c r="I208" s="6"/>
      <c r="J208" s="6"/>
      <c r="K208" s="6"/>
      <c r="L208" s="6"/>
      <c r="M208" s="5" t="str">
        <f t="shared" si="6"/>
        <v/>
      </c>
      <c r="N208" s="5" t="str">
        <f t="shared" si="7"/>
        <v/>
      </c>
    </row>
    <row r="209" spans="1:14" x14ac:dyDescent="0.25">
      <c r="A209" s="6"/>
      <c r="B209" s="6"/>
      <c r="C209" s="5" t="str">
        <f>IF(A209="","",COUNTIFS($A$2:A209,A209,$B$2:B209,B209))</f>
        <v/>
      </c>
      <c r="D209" s="6"/>
      <c r="E209" s="6"/>
      <c r="F209" s="6"/>
      <c r="G209" s="6"/>
      <c r="H209" s="6"/>
      <c r="I209" s="6"/>
      <c r="J209" s="6"/>
      <c r="K209" s="6"/>
      <c r="L209" s="6"/>
      <c r="M209" s="5" t="str">
        <f t="shared" si="6"/>
        <v/>
      </c>
      <c r="N209" s="5" t="str">
        <f t="shared" si="7"/>
        <v/>
      </c>
    </row>
    <row r="210" spans="1:14" x14ac:dyDescent="0.25">
      <c r="A210" s="6"/>
      <c r="B210" s="6"/>
      <c r="C210" s="5" t="str">
        <f>IF(A210="","",COUNTIFS($A$2:A210,A210,$B$2:B210,B210))</f>
        <v/>
      </c>
      <c r="D210" s="6"/>
      <c r="E210" s="6"/>
      <c r="F210" s="6"/>
      <c r="G210" s="6"/>
      <c r="H210" s="6"/>
      <c r="I210" s="6"/>
      <c r="J210" s="6"/>
      <c r="K210" s="6"/>
      <c r="L210" s="6"/>
      <c r="M210" s="5" t="str">
        <f t="shared" si="6"/>
        <v/>
      </c>
      <c r="N210" s="5" t="str">
        <f t="shared" si="7"/>
        <v/>
      </c>
    </row>
    <row r="211" spans="1:14" x14ac:dyDescent="0.25">
      <c r="A211" s="6"/>
      <c r="B211" s="6"/>
      <c r="C211" s="5" t="str">
        <f>IF(A211="","",COUNTIFS($A$2:A211,A211,$B$2:B211,B211))</f>
        <v/>
      </c>
      <c r="D211" s="6"/>
      <c r="E211" s="6"/>
      <c r="F211" s="6"/>
      <c r="G211" s="6"/>
      <c r="H211" s="6"/>
      <c r="I211" s="6"/>
      <c r="J211" s="6"/>
      <c r="K211" s="6"/>
      <c r="L211" s="6"/>
      <c r="M211" s="5" t="str">
        <f t="shared" si="6"/>
        <v/>
      </c>
      <c r="N211" s="5" t="str">
        <f t="shared" si="7"/>
        <v/>
      </c>
    </row>
    <row r="212" spans="1:14" x14ac:dyDescent="0.25">
      <c r="A212" s="6"/>
      <c r="B212" s="6"/>
      <c r="C212" s="5" t="str">
        <f>IF(A212="","",COUNTIFS($A$2:A212,A212,$B$2:B212,B212))</f>
        <v/>
      </c>
      <c r="D212" s="6"/>
      <c r="E212" s="6"/>
      <c r="F212" s="6"/>
      <c r="G212" s="6"/>
      <c r="H212" s="6"/>
      <c r="I212" s="6"/>
      <c r="J212" s="6"/>
      <c r="K212" s="6"/>
      <c r="L212" s="6"/>
      <c r="M212" s="5" t="str">
        <f t="shared" si="6"/>
        <v/>
      </c>
      <c r="N212" s="5" t="str">
        <f t="shared" si="7"/>
        <v/>
      </c>
    </row>
    <row r="213" spans="1:14" x14ac:dyDescent="0.25">
      <c r="A213" s="6"/>
      <c r="B213" s="6"/>
      <c r="C213" s="5" t="str">
        <f>IF(A213="","",COUNTIFS($A$2:A213,A213,$B$2:B213,B213))</f>
        <v/>
      </c>
      <c r="D213" s="6"/>
      <c r="E213" s="6"/>
      <c r="F213" s="6"/>
      <c r="G213" s="6"/>
      <c r="H213" s="6"/>
      <c r="I213" s="6"/>
      <c r="J213" s="6"/>
      <c r="K213" s="6"/>
      <c r="L213" s="6"/>
      <c r="M213" s="5" t="str">
        <f t="shared" si="6"/>
        <v/>
      </c>
      <c r="N213" s="5" t="str">
        <f t="shared" si="7"/>
        <v/>
      </c>
    </row>
    <row r="214" spans="1:14" x14ac:dyDescent="0.25">
      <c r="A214" s="6"/>
      <c r="B214" s="6"/>
      <c r="C214" s="5" t="str">
        <f>IF(A214="","",COUNTIFS($A$2:A214,A214,$B$2:B214,B214))</f>
        <v/>
      </c>
      <c r="D214" s="6"/>
      <c r="E214" s="6"/>
      <c r="F214" s="6"/>
      <c r="G214" s="6"/>
      <c r="H214" s="6"/>
      <c r="I214" s="6"/>
      <c r="J214" s="6"/>
      <c r="K214" s="6"/>
      <c r="L214" s="6"/>
      <c r="M214" s="5" t="str">
        <f t="shared" si="6"/>
        <v/>
      </c>
      <c r="N214" s="5" t="str">
        <f t="shared" si="7"/>
        <v/>
      </c>
    </row>
    <row r="215" spans="1:14" x14ac:dyDescent="0.25">
      <c r="A215" s="6"/>
      <c r="B215" s="6"/>
      <c r="C215" s="5" t="str">
        <f>IF(A215="","",COUNTIFS($A$2:A215,A215,$B$2:B215,B215))</f>
        <v/>
      </c>
      <c r="D215" s="6"/>
      <c r="E215" s="6"/>
      <c r="F215" s="6"/>
      <c r="G215" s="6"/>
      <c r="H215" s="6"/>
      <c r="I215" s="6"/>
      <c r="J215" s="6"/>
      <c r="K215" s="6"/>
      <c r="L215" s="6"/>
      <c r="M215" s="5" t="str">
        <f t="shared" si="6"/>
        <v/>
      </c>
      <c r="N215" s="5" t="str">
        <f t="shared" si="7"/>
        <v/>
      </c>
    </row>
    <row r="216" spans="1:14" x14ac:dyDescent="0.25">
      <c r="A216" s="6"/>
      <c r="B216" s="6"/>
      <c r="C216" s="5" t="str">
        <f>IF(A216="","",COUNTIFS($A$2:A216,A216,$B$2:B216,B216))</f>
        <v/>
      </c>
      <c r="D216" s="6"/>
      <c r="E216" s="6"/>
      <c r="F216" s="6"/>
      <c r="G216" s="6"/>
      <c r="H216" s="6"/>
      <c r="I216" s="6"/>
      <c r="J216" s="6"/>
      <c r="K216" s="6"/>
      <c r="L216" s="6"/>
      <c r="M216" s="5" t="str">
        <f t="shared" si="6"/>
        <v/>
      </c>
      <c r="N216" s="5" t="str">
        <f t="shared" si="7"/>
        <v/>
      </c>
    </row>
    <row r="217" spans="1:14" x14ac:dyDescent="0.25">
      <c r="A217" s="6"/>
      <c r="B217" s="6"/>
      <c r="C217" s="5" t="str">
        <f>IF(A217="","",COUNTIFS($A$2:A217,A217,$B$2:B217,B217))</f>
        <v/>
      </c>
      <c r="D217" s="6"/>
      <c r="E217" s="6"/>
      <c r="F217" s="6"/>
      <c r="G217" s="6"/>
      <c r="H217" s="6"/>
      <c r="I217" s="6"/>
      <c r="J217" s="6"/>
      <c r="K217" s="6"/>
      <c r="L217" s="6"/>
      <c r="M217" s="5" t="str">
        <f t="shared" si="6"/>
        <v/>
      </c>
      <c r="N217" s="5" t="str">
        <f t="shared" si="7"/>
        <v/>
      </c>
    </row>
    <row r="218" spans="1:14" x14ac:dyDescent="0.25">
      <c r="A218" s="6"/>
      <c r="B218" s="6"/>
      <c r="C218" s="5" t="str">
        <f>IF(A218="","",COUNTIFS($A$2:A218,A218,$B$2:B218,B218))</f>
        <v/>
      </c>
      <c r="D218" s="6"/>
      <c r="E218" s="6"/>
      <c r="F218" s="6"/>
      <c r="G218" s="6"/>
      <c r="H218" s="6"/>
      <c r="I218" s="6"/>
      <c r="J218" s="6"/>
      <c r="K218" s="6"/>
      <c r="L218" s="6"/>
      <c r="M218" s="5" t="str">
        <f t="shared" si="6"/>
        <v/>
      </c>
      <c r="N218" s="5" t="str">
        <f t="shared" si="7"/>
        <v/>
      </c>
    </row>
    <row r="219" spans="1:14" x14ac:dyDescent="0.25">
      <c r="A219" s="6"/>
      <c r="B219" s="6"/>
      <c r="C219" s="5" t="str">
        <f>IF(A219="","",COUNTIFS($A$2:A219,A219,$B$2:B219,B219))</f>
        <v/>
      </c>
      <c r="D219" s="6"/>
      <c r="E219" s="6"/>
      <c r="F219" s="6"/>
      <c r="G219" s="6"/>
      <c r="H219" s="6"/>
      <c r="I219" s="6"/>
      <c r="J219" s="6"/>
      <c r="K219" s="6"/>
      <c r="L219" s="6"/>
      <c r="M219" s="5" t="str">
        <f t="shared" si="6"/>
        <v/>
      </c>
      <c r="N219" s="5" t="str">
        <f t="shared" si="7"/>
        <v/>
      </c>
    </row>
    <row r="220" spans="1:14" x14ac:dyDescent="0.25">
      <c r="A220" s="6"/>
      <c r="B220" s="6"/>
      <c r="C220" s="5" t="str">
        <f>IF(A220="","",COUNTIFS($A$2:A220,A220,$B$2:B220,B220))</f>
        <v/>
      </c>
      <c r="D220" s="6"/>
      <c r="E220" s="6"/>
      <c r="F220" s="6"/>
      <c r="G220" s="6"/>
      <c r="H220" s="6"/>
      <c r="I220" s="6"/>
      <c r="J220" s="6"/>
      <c r="K220" s="6"/>
      <c r="L220" s="6"/>
      <c r="M220" s="5" t="str">
        <f t="shared" si="6"/>
        <v/>
      </c>
      <c r="N220" s="5" t="str">
        <f t="shared" si="7"/>
        <v/>
      </c>
    </row>
    <row r="221" spans="1:14" x14ac:dyDescent="0.25">
      <c r="A221" s="6"/>
      <c r="B221" s="6"/>
      <c r="C221" s="5" t="str">
        <f>IF(A221="","",COUNTIFS($A$2:A221,A221,$B$2:B221,B221))</f>
        <v/>
      </c>
      <c r="D221" s="6"/>
      <c r="E221" s="6"/>
      <c r="F221" s="6"/>
      <c r="G221" s="6"/>
      <c r="H221" s="6"/>
      <c r="I221" s="6"/>
      <c r="J221" s="6"/>
      <c r="K221" s="6"/>
      <c r="L221" s="6"/>
      <c r="M221" s="5" t="str">
        <f t="shared" si="6"/>
        <v/>
      </c>
      <c r="N221" s="5" t="str">
        <f t="shared" si="7"/>
        <v/>
      </c>
    </row>
    <row r="222" spans="1:14" x14ac:dyDescent="0.25">
      <c r="A222" s="6"/>
      <c r="B222" s="6"/>
      <c r="C222" s="5" t="str">
        <f>IF(A222="","",COUNTIFS($A$2:A222,A222,$B$2:B222,B222))</f>
        <v/>
      </c>
      <c r="D222" s="6"/>
      <c r="E222" s="6"/>
      <c r="F222" s="6"/>
      <c r="G222" s="6"/>
      <c r="H222" s="6"/>
      <c r="I222" s="6"/>
      <c r="J222" s="6"/>
      <c r="K222" s="6"/>
      <c r="L222" s="6"/>
      <c r="M222" s="5" t="str">
        <f t="shared" si="6"/>
        <v/>
      </c>
      <c r="N222" s="5" t="str">
        <f t="shared" si="7"/>
        <v/>
      </c>
    </row>
    <row r="223" spans="1:14" x14ac:dyDescent="0.25">
      <c r="A223" s="6"/>
      <c r="B223" s="6"/>
      <c r="C223" s="5" t="str">
        <f>IF(A223="","",COUNTIFS($A$2:A223,A223,$B$2:B223,B223))</f>
        <v/>
      </c>
      <c r="D223" s="6"/>
      <c r="E223" s="6"/>
      <c r="F223" s="6"/>
      <c r="G223" s="6"/>
      <c r="H223" s="6"/>
      <c r="I223" s="6"/>
      <c r="J223" s="6"/>
      <c r="K223" s="6"/>
      <c r="L223" s="6"/>
      <c r="M223" s="5" t="str">
        <f t="shared" si="6"/>
        <v/>
      </c>
      <c r="N223" s="5" t="str">
        <f t="shared" si="7"/>
        <v/>
      </c>
    </row>
    <row r="224" spans="1:14" x14ac:dyDescent="0.25">
      <c r="A224" s="6"/>
      <c r="B224" s="6"/>
      <c r="C224" s="5" t="str">
        <f>IF(A224="","",COUNTIFS($A$2:A224,A224,$B$2:B224,B224))</f>
        <v/>
      </c>
      <c r="D224" s="6"/>
      <c r="E224" s="6"/>
      <c r="F224" s="6"/>
      <c r="G224" s="6"/>
      <c r="H224" s="6"/>
      <c r="I224" s="6"/>
      <c r="J224" s="6"/>
      <c r="K224" s="6"/>
      <c r="L224" s="6"/>
      <c r="M224" s="5" t="str">
        <f t="shared" si="6"/>
        <v/>
      </c>
      <c r="N224" s="5" t="str">
        <f t="shared" si="7"/>
        <v/>
      </c>
    </row>
    <row r="225" spans="1:14" x14ac:dyDescent="0.25">
      <c r="A225" s="6"/>
      <c r="B225" s="6"/>
      <c r="C225" s="5" t="str">
        <f>IF(A225="","",COUNTIFS($A$2:A225,A225,$B$2:B225,B225))</f>
        <v/>
      </c>
      <c r="D225" s="6"/>
      <c r="E225" s="6"/>
      <c r="F225" s="6"/>
      <c r="G225" s="6"/>
      <c r="H225" s="6"/>
      <c r="I225" s="6"/>
      <c r="J225" s="6"/>
      <c r="K225" s="6"/>
      <c r="L225" s="6"/>
      <c r="M225" s="5" t="str">
        <f t="shared" si="6"/>
        <v/>
      </c>
      <c r="N225" s="5" t="str">
        <f t="shared" si="7"/>
        <v/>
      </c>
    </row>
    <row r="226" spans="1:14" x14ac:dyDescent="0.25">
      <c r="A226" s="6"/>
      <c r="B226" s="6"/>
      <c r="C226" s="5" t="str">
        <f>IF(A226="","",COUNTIFS($A$2:A226,A226,$B$2:B226,B226))</f>
        <v/>
      </c>
      <c r="D226" s="6"/>
      <c r="E226" s="6"/>
      <c r="F226" s="6"/>
      <c r="G226" s="6"/>
      <c r="H226" s="6"/>
      <c r="I226" s="6"/>
      <c r="J226" s="6"/>
      <c r="K226" s="6"/>
      <c r="L226" s="6"/>
      <c r="M226" s="5" t="str">
        <f t="shared" si="6"/>
        <v/>
      </c>
      <c r="N226" s="5" t="str">
        <f t="shared" si="7"/>
        <v/>
      </c>
    </row>
    <row r="227" spans="1:14" x14ac:dyDescent="0.25">
      <c r="A227" s="6"/>
      <c r="B227" s="6"/>
      <c r="C227" s="5" t="str">
        <f>IF(A227="","",COUNTIFS($A$2:A227,A227,$B$2:B227,B227))</f>
        <v/>
      </c>
      <c r="D227" s="6"/>
      <c r="E227" s="6"/>
      <c r="F227" s="6"/>
      <c r="G227" s="6"/>
      <c r="H227" s="6"/>
      <c r="I227" s="6"/>
      <c r="J227" s="6"/>
      <c r="K227" s="6"/>
      <c r="L227" s="6"/>
      <c r="M227" s="5" t="str">
        <f t="shared" si="6"/>
        <v/>
      </c>
      <c r="N227" s="5" t="str">
        <f t="shared" si="7"/>
        <v/>
      </c>
    </row>
    <row r="228" spans="1:14" x14ac:dyDescent="0.25">
      <c r="A228" s="6"/>
      <c r="B228" s="6"/>
      <c r="C228" s="5" t="str">
        <f>IF(A228="","",COUNTIFS($A$2:A228,A228,$B$2:B228,B228))</f>
        <v/>
      </c>
      <c r="D228" s="6"/>
      <c r="E228" s="6"/>
      <c r="F228" s="6"/>
      <c r="G228" s="6"/>
      <c r="H228" s="6"/>
      <c r="I228" s="6"/>
      <c r="J228" s="6"/>
      <c r="K228" s="6"/>
      <c r="L228" s="6"/>
      <c r="M228" s="5" t="str">
        <f t="shared" si="6"/>
        <v/>
      </c>
      <c r="N228" s="5" t="str">
        <f t="shared" si="7"/>
        <v/>
      </c>
    </row>
    <row r="229" spans="1:14" x14ac:dyDescent="0.25">
      <c r="A229" s="6"/>
      <c r="B229" s="6"/>
      <c r="C229" s="5" t="str">
        <f>IF(A229="","",COUNTIFS($A$2:A229,A229,$B$2:B229,B229))</f>
        <v/>
      </c>
      <c r="D229" s="6"/>
      <c r="E229" s="6"/>
      <c r="F229" s="6"/>
      <c r="G229" s="6"/>
      <c r="H229" s="6"/>
      <c r="I229" s="6"/>
      <c r="J229" s="6"/>
      <c r="K229" s="6"/>
      <c r="L229" s="6"/>
      <c r="M229" s="5" t="str">
        <f t="shared" si="6"/>
        <v/>
      </c>
      <c r="N229" s="5" t="str">
        <f t="shared" si="7"/>
        <v/>
      </c>
    </row>
    <row r="230" spans="1:14" x14ac:dyDescent="0.25">
      <c r="A230" s="6"/>
      <c r="B230" s="6"/>
      <c r="C230" s="5" t="str">
        <f>IF(A230="","",COUNTIFS($A$2:A230,A230,$B$2:B230,B230))</f>
        <v/>
      </c>
      <c r="D230" s="6"/>
      <c r="E230" s="6"/>
      <c r="F230" s="6"/>
      <c r="G230" s="6"/>
      <c r="H230" s="6"/>
      <c r="I230" s="6"/>
      <c r="J230" s="6"/>
      <c r="K230" s="6"/>
      <c r="L230" s="6"/>
      <c r="M230" s="5" t="str">
        <f t="shared" si="6"/>
        <v/>
      </c>
      <c r="N230" s="5" t="str">
        <f t="shared" si="7"/>
        <v/>
      </c>
    </row>
    <row r="231" spans="1:14" x14ac:dyDescent="0.25">
      <c r="A231" s="6"/>
      <c r="B231" s="6"/>
      <c r="C231" s="5" t="str">
        <f>IF(A231="","",COUNTIFS($A$2:A231,A231,$B$2:B231,B231))</f>
        <v/>
      </c>
      <c r="D231" s="6"/>
      <c r="E231" s="6"/>
      <c r="F231" s="6"/>
      <c r="G231" s="6"/>
      <c r="H231" s="6"/>
      <c r="I231" s="6"/>
      <c r="J231" s="6"/>
      <c r="K231" s="6"/>
      <c r="L231" s="6"/>
      <c r="M231" s="5" t="str">
        <f t="shared" si="6"/>
        <v/>
      </c>
      <c r="N231" s="5" t="str">
        <f t="shared" si="7"/>
        <v/>
      </c>
    </row>
    <row r="232" spans="1:14" x14ac:dyDescent="0.25">
      <c r="A232" s="6"/>
      <c r="B232" s="6"/>
      <c r="C232" s="5" t="str">
        <f>IF(A232="","",COUNTIFS($A$2:A232,A232,$B$2:B232,B232))</f>
        <v/>
      </c>
      <c r="D232" s="6"/>
      <c r="E232" s="6"/>
      <c r="F232" s="6"/>
      <c r="G232" s="6"/>
      <c r="H232" s="6"/>
      <c r="I232" s="6"/>
      <c r="J232" s="6"/>
      <c r="K232" s="6"/>
      <c r="L232" s="6"/>
      <c r="M232" s="5" t="str">
        <f t="shared" si="6"/>
        <v/>
      </c>
      <c r="N232" s="5" t="str">
        <f t="shared" si="7"/>
        <v/>
      </c>
    </row>
    <row r="233" spans="1:14" x14ac:dyDescent="0.25">
      <c r="A233" s="6"/>
      <c r="B233" s="6"/>
      <c r="C233" s="5" t="str">
        <f>IF(A233="","",COUNTIFS($A$2:A233,A233,$B$2:B233,B233))</f>
        <v/>
      </c>
      <c r="D233" s="6"/>
      <c r="E233" s="6"/>
      <c r="F233" s="6"/>
      <c r="G233" s="6"/>
      <c r="H233" s="6"/>
      <c r="I233" s="6"/>
      <c r="J233" s="6"/>
      <c r="K233" s="6"/>
      <c r="L233" s="6"/>
      <c r="M233" s="5" t="str">
        <f t="shared" si="6"/>
        <v/>
      </c>
      <c r="N233" s="5" t="str">
        <f t="shared" si="7"/>
        <v/>
      </c>
    </row>
    <row r="234" spans="1:14" x14ac:dyDescent="0.25">
      <c r="A234" s="6"/>
      <c r="B234" s="6"/>
      <c r="C234" s="5" t="str">
        <f>IF(A234="","",COUNTIFS($A$2:A234,A234,$B$2:B234,B234))</f>
        <v/>
      </c>
      <c r="D234" s="6"/>
      <c r="E234" s="6"/>
      <c r="F234" s="6"/>
      <c r="G234" s="6"/>
      <c r="H234" s="6"/>
      <c r="I234" s="6"/>
      <c r="J234" s="6"/>
      <c r="K234" s="6"/>
      <c r="L234" s="6"/>
      <c r="M234" s="5" t="str">
        <f t="shared" si="6"/>
        <v/>
      </c>
      <c r="N234" s="5" t="str">
        <f t="shared" si="7"/>
        <v/>
      </c>
    </row>
    <row r="235" spans="1:14" x14ac:dyDescent="0.25">
      <c r="A235" s="6"/>
      <c r="B235" s="6"/>
      <c r="C235" s="5" t="str">
        <f>IF(A235="","",COUNTIFS($A$2:A235,A235,$B$2:B235,B235))</f>
        <v/>
      </c>
      <c r="D235" s="6"/>
      <c r="E235" s="6"/>
      <c r="F235" s="6"/>
      <c r="G235" s="6"/>
      <c r="H235" s="6"/>
      <c r="I235" s="6"/>
      <c r="J235" s="6"/>
      <c r="K235" s="6"/>
      <c r="L235" s="6"/>
      <c r="M235" s="5" t="str">
        <f t="shared" si="6"/>
        <v/>
      </c>
      <c r="N235" s="5" t="str">
        <f t="shared" si="7"/>
        <v/>
      </c>
    </row>
    <row r="236" spans="1:14" x14ac:dyDescent="0.25">
      <c r="A236" s="6"/>
      <c r="B236" s="6"/>
      <c r="C236" s="5" t="str">
        <f>IF(A236="","",COUNTIFS($A$2:A236,A236,$B$2:B236,B236))</f>
        <v/>
      </c>
      <c r="D236" s="6"/>
      <c r="E236" s="6"/>
      <c r="F236" s="6"/>
      <c r="G236" s="6"/>
      <c r="H236" s="6"/>
      <c r="I236" s="6"/>
      <c r="J236" s="6"/>
      <c r="K236" s="6"/>
      <c r="L236" s="6"/>
      <c r="M236" s="5" t="str">
        <f t="shared" si="6"/>
        <v/>
      </c>
      <c r="N236" s="5" t="str">
        <f t="shared" si="7"/>
        <v/>
      </c>
    </row>
    <row r="237" spans="1:14" x14ac:dyDescent="0.25">
      <c r="A237" s="6"/>
      <c r="B237" s="6"/>
      <c r="C237" s="5" t="str">
        <f>IF(A237="","",COUNTIFS($A$2:A237,A237,$B$2:B237,B237))</f>
        <v/>
      </c>
      <c r="D237" s="6"/>
      <c r="E237" s="6"/>
      <c r="F237" s="6"/>
      <c r="G237" s="6"/>
      <c r="H237" s="6"/>
      <c r="I237" s="6"/>
      <c r="J237" s="6"/>
      <c r="K237" s="6"/>
      <c r="L237" s="6"/>
      <c r="M237" s="5" t="str">
        <f t="shared" si="6"/>
        <v/>
      </c>
      <c r="N237" s="5" t="str">
        <f t="shared" si="7"/>
        <v/>
      </c>
    </row>
    <row r="238" spans="1:14" x14ac:dyDescent="0.25">
      <c r="A238" s="6"/>
      <c r="B238" s="6"/>
      <c r="C238" s="5" t="str">
        <f>IF(A238="","",COUNTIFS($A$2:A238,A238,$B$2:B238,B238))</f>
        <v/>
      </c>
      <c r="D238" s="6"/>
      <c r="E238" s="6"/>
      <c r="F238" s="6"/>
      <c r="G238" s="6"/>
      <c r="H238" s="6"/>
      <c r="I238" s="6"/>
      <c r="J238" s="6"/>
      <c r="K238" s="6"/>
      <c r="L238" s="6"/>
      <c r="M238" s="5" t="str">
        <f t="shared" si="6"/>
        <v/>
      </c>
      <c r="N238" s="5" t="str">
        <f t="shared" si="7"/>
        <v/>
      </c>
    </row>
    <row r="239" spans="1:14" x14ac:dyDescent="0.25">
      <c r="A239" s="6"/>
      <c r="B239" s="6"/>
      <c r="C239" s="5" t="str">
        <f>IF(A239="","",COUNTIFS($A$2:A239,A239,$B$2:B239,B239))</f>
        <v/>
      </c>
      <c r="D239" s="6"/>
      <c r="E239" s="6"/>
      <c r="F239" s="6"/>
      <c r="G239" s="6"/>
      <c r="H239" s="6"/>
      <c r="I239" s="6"/>
      <c r="J239" s="6"/>
      <c r="K239" s="6"/>
      <c r="L239" s="6"/>
      <c r="M239" s="5" t="str">
        <f t="shared" si="6"/>
        <v/>
      </c>
      <c r="N239" s="5" t="str">
        <f t="shared" si="7"/>
        <v/>
      </c>
    </row>
    <row r="240" spans="1:14" x14ac:dyDescent="0.25">
      <c r="A240" s="6"/>
      <c r="B240" s="6"/>
      <c r="C240" s="5" t="str">
        <f>IF(A240="","",COUNTIFS($A$2:A240,A240,$B$2:B240,B240))</f>
        <v/>
      </c>
      <c r="D240" s="6"/>
      <c r="E240" s="6"/>
      <c r="F240" s="6"/>
      <c r="G240" s="6"/>
      <c r="H240" s="6"/>
      <c r="I240" s="6"/>
      <c r="J240" s="6"/>
      <c r="K240" s="6"/>
      <c r="L240" s="6"/>
      <c r="M240" s="5" t="str">
        <f t="shared" si="6"/>
        <v/>
      </c>
      <c r="N240" s="5" t="str">
        <f t="shared" si="7"/>
        <v/>
      </c>
    </row>
    <row r="241" spans="1:14" x14ac:dyDescent="0.25">
      <c r="A241" s="6"/>
      <c r="B241" s="6"/>
      <c r="C241" s="5" t="str">
        <f>IF(A241="","",COUNTIFS($A$2:A241,A241,$B$2:B241,B241))</f>
        <v/>
      </c>
      <c r="D241" s="6"/>
      <c r="E241" s="6"/>
      <c r="F241" s="6"/>
      <c r="G241" s="6"/>
      <c r="H241" s="6"/>
      <c r="I241" s="6"/>
      <c r="J241" s="6"/>
      <c r="K241" s="6"/>
      <c r="L241" s="6"/>
      <c r="M241" s="5" t="str">
        <f t="shared" si="6"/>
        <v/>
      </c>
      <c r="N241" s="5" t="str">
        <f t="shared" si="7"/>
        <v/>
      </c>
    </row>
    <row r="242" spans="1:14" x14ac:dyDescent="0.25">
      <c r="A242" s="6"/>
      <c r="B242" s="6"/>
      <c r="C242" s="5" t="str">
        <f>IF(A242="","",COUNTIFS($A$2:A242,A242,$B$2:B242,B242))</f>
        <v/>
      </c>
      <c r="D242" s="6"/>
      <c r="E242" s="6"/>
      <c r="F242" s="6"/>
      <c r="G242" s="6"/>
      <c r="H242" s="6"/>
      <c r="I242" s="6"/>
      <c r="J242" s="6"/>
      <c r="K242" s="6"/>
      <c r="L242" s="6"/>
      <c r="M242" s="5" t="str">
        <f t="shared" si="6"/>
        <v/>
      </c>
      <c r="N242" s="5" t="str">
        <f t="shared" si="7"/>
        <v/>
      </c>
    </row>
    <row r="243" spans="1:14" x14ac:dyDescent="0.25">
      <c r="A243" s="6"/>
      <c r="B243" s="6"/>
      <c r="C243" s="5" t="str">
        <f>IF(A243="","",COUNTIFS($A$2:A243,A243,$B$2:B243,B243))</f>
        <v/>
      </c>
      <c r="D243" s="6"/>
      <c r="E243" s="6"/>
      <c r="F243" s="6"/>
      <c r="G243" s="6"/>
      <c r="H243" s="6"/>
      <c r="I243" s="6"/>
      <c r="J243" s="6"/>
      <c r="K243" s="6"/>
      <c r="L243" s="6"/>
      <c r="M243" s="5" t="str">
        <f t="shared" si="6"/>
        <v/>
      </c>
      <c r="N243" s="5" t="str">
        <f t="shared" si="7"/>
        <v/>
      </c>
    </row>
    <row r="244" spans="1:14" x14ac:dyDescent="0.25">
      <c r="A244" s="6"/>
      <c r="B244" s="6"/>
      <c r="C244" s="5" t="str">
        <f>IF(A244="","",COUNTIFS($A$2:A244,A244,$B$2:B244,B244))</f>
        <v/>
      </c>
      <c r="D244" s="6"/>
      <c r="E244" s="6"/>
      <c r="F244" s="6"/>
      <c r="G244" s="6"/>
      <c r="H244" s="6"/>
      <c r="I244" s="6"/>
      <c r="J244" s="6"/>
      <c r="K244" s="6"/>
      <c r="L244" s="6"/>
      <c r="M244" s="5" t="str">
        <f t="shared" si="6"/>
        <v/>
      </c>
      <c r="N244" s="5" t="str">
        <f t="shared" si="7"/>
        <v/>
      </c>
    </row>
    <row r="245" spans="1:14" x14ac:dyDescent="0.25">
      <c r="A245" s="6"/>
      <c r="B245" s="6"/>
      <c r="C245" s="5" t="str">
        <f>IF(A245="","",COUNTIFS($A$2:A245,A245,$B$2:B245,B245))</f>
        <v/>
      </c>
      <c r="D245" s="6"/>
      <c r="E245" s="6"/>
      <c r="F245" s="6"/>
      <c r="G245" s="6"/>
      <c r="H245" s="6"/>
      <c r="I245" s="6"/>
      <c r="J245" s="6"/>
      <c r="K245" s="6"/>
      <c r="L245" s="6"/>
      <c r="M245" s="5" t="str">
        <f t="shared" si="6"/>
        <v/>
      </c>
      <c r="N245" s="5" t="str">
        <f t="shared" si="7"/>
        <v/>
      </c>
    </row>
    <row r="246" spans="1:14" x14ac:dyDescent="0.25">
      <c r="A246" s="6"/>
      <c r="B246" s="6"/>
      <c r="C246" s="5" t="str">
        <f>IF(A246="","",COUNTIFS($A$2:A246,A246,$B$2:B246,B246))</f>
        <v/>
      </c>
      <c r="D246" s="6"/>
      <c r="E246" s="6"/>
      <c r="F246" s="6"/>
      <c r="G246" s="6"/>
      <c r="H246" s="6"/>
      <c r="I246" s="6"/>
      <c r="J246" s="6"/>
      <c r="K246" s="6"/>
      <c r="L246" s="6"/>
      <c r="M246" s="5" t="str">
        <f t="shared" si="6"/>
        <v/>
      </c>
      <c r="N246" s="5" t="str">
        <f t="shared" si="7"/>
        <v/>
      </c>
    </row>
    <row r="247" spans="1:14" x14ac:dyDescent="0.25">
      <c r="A247" s="6"/>
      <c r="B247" s="6"/>
      <c r="C247" s="5" t="str">
        <f>IF(A247="","",COUNTIFS($A$2:A247,A247,$B$2:B247,B247))</f>
        <v/>
      </c>
      <c r="D247" s="6"/>
      <c r="E247" s="6"/>
      <c r="F247" s="6"/>
      <c r="G247" s="6"/>
      <c r="H247" s="6"/>
      <c r="I247" s="6"/>
      <c r="J247" s="6"/>
      <c r="K247" s="6"/>
      <c r="L247" s="6"/>
      <c r="M247" s="5" t="str">
        <f t="shared" si="6"/>
        <v/>
      </c>
      <c r="N247" s="5" t="str">
        <f t="shared" si="7"/>
        <v/>
      </c>
    </row>
    <row r="248" spans="1:14" x14ac:dyDescent="0.25">
      <c r="A248" s="6"/>
      <c r="B248" s="6"/>
      <c r="C248" s="5" t="str">
        <f>IF(A248="","",COUNTIFS($A$2:A248,A248,$B$2:B248,B248))</f>
        <v/>
      </c>
      <c r="D248" s="6"/>
      <c r="E248" s="6"/>
      <c r="F248" s="6"/>
      <c r="G248" s="6"/>
      <c r="H248" s="6"/>
      <c r="I248" s="6"/>
      <c r="J248" s="6"/>
      <c r="K248" s="6"/>
      <c r="L248" s="6"/>
      <c r="M248" s="5" t="str">
        <f t="shared" si="6"/>
        <v/>
      </c>
      <c r="N248" s="5" t="str">
        <f t="shared" si="7"/>
        <v/>
      </c>
    </row>
    <row r="249" spans="1:14" x14ac:dyDescent="0.25">
      <c r="A249" s="6"/>
      <c r="B249" s="6"/>
      <c r="C249" s="5" t="str">
        <f>IF(A249="","",COUNTIFS($A$2:A249,A249,$B$2:B249,B249))</f>
        <v/>
      </c>
      <c r="D249" s="6"/>
      <c r="E249" s="6"/>
      <c r="F249" s="6"/>
      <c r="G249" s="6"/>
      <c r="H249" s="6"/>
      <c r="I249" s="6"/>
      <c r="J249" s="6"/>
      <c r="K249" s="6"/>
      <c r="L249" s="6"/>
      <c r="M249" s="5" t="str">
        <f t="shared" si="6"/>
        <v/>
      </c>
      <c r="N249" s="5" t="str">
        <f t="shared" si="7"/>
        <v/>
      </c>
    </row>
    <row r="250" spans="1:14" x14ac:dyDescent="0.25">
      <c r="A250" s="6"/>
      <c r="B250" s="6"/>
      <c r="C250" s="5" t="str">
        <f>IF(A250="","",COUNTIFS($A$2:A250,A250,$B$2:B250,B250))</f>
        <v/>
      </c>
      <c r="D250" s="6"/>
      <c r="E250" s="6"/>
      <c r="F250" s="6"/>
      <c r="G250" s="6"/>
      <c r="H250" s="6"/>
      <c r="I250" s="6"/>
      <c r="J250" s="6"/>
      <c r="K250" s="6"/>
      <c r="L250" s="6"/>
      <c r="M250" s="5" t="str">
        <f t="shared" si="6"/>
        <v/>
      </c>
      <c r="N250" s="5" t="str">
        <f t="shared" si="7"/>
        <v/>
      </c>
    </row>
    <row r="251" spans="1:14" x14ac:dyDescent="0.25">
      <c r="A251" s="6"/>
      <c r="B251" s="6"/>
      <c r="C251" s="5" t="str">
        <f>IF(A251="","",COUNTIFS($A$2:A251,A251,$B$2:B251,B251))</f>
        <v/>
      </c>
      <c r="D251" s="6"/>
      <c r="E251" s="6"/>
      <c r="F251" s="6"/>
      <c r="G251" s="6"/>
      <c r="H251" s="6"/>
      <c r="I251" s="6"/>
      <c r="J251" s="6"/>
      <c r="K251" s="6"/>
      <c r="L251" s="6"/>
      <c r="M251" s="5" t="str">
        <f t="shared" si="6"/>
        <v/>
      </c>
      <c r="N251" s="5" t="str">
        <f t="shared" si="7"/>
        <v/>
      </c>
    </row>
    <row r="252" spans="1:14" x14ac:dyDescent="0.25">
      <c r="A252" s="6"/>
      <c r="B252" s="6"/>
      <c r="C252" s="5" t="str">
        <f>IF(A252="","",COUNTIFS($A$2:A252,A252,$B$2:B252,B252))</f>
        <v/>
      </c>
      <c r="D252" s="6"/>
      <c r="E252" s="6"/>
      <c r="F252" s="6"/>
      <c r="G252" s="6"/>
      <c r="H252" s="6"/>
      <c r="I252" s="6"/>
      <c r="J252" s="6"/>
      <c r="K252" s="6"/>
      <c r="L252" s="6"/>
      <c r="M252" s="5" t="str">
        <f t="shared" si="6"/>
        <v/>
      </c>
      <c r="N252" s="5" t="str">
        <f t="shared" si="7"/>
        <v/>
      </c>
    </row>
    <row r="253" spans="1:14" x14ac:dyDescent="0.25">
      <c r="A253" s="6"/>
      <c r="B253" s="6"/>
      <c r="C253" s="5" t="str">
        <f>IF(A253="","",COUNTIFS($A$2:A253,A253,$B$2:B253,B253))</f>
        <v/>
      </c>
      <c r="D253" s="6"/>
      <c r="E253" s="6"/>
      <c r="F253" s="6"/>
      <c r="G253" s="6"/>
      <c r="H253" s="6"/>
      <c r="I253" s="6"/>
      <c r="J253" s="6"/>
      <c r="K253" s="6"/>
      <c r="L253" s="6"/>
      <c r="M253" s="5" t="str">
        <f t="shared" si="6"/>
        <v/>
      </c>
      <c r="N253" s="5" t="str">
        <f t="shared" si="7"/>
        <v/>
      </c>
    </row>
    <row r="254" spans="1:14" x14ac:dyDescent="0.25">
      <c r="A254" s="6"/>
      <c r="B254" s="6"/>
      <c r="C254" s="5" t="str">
        <f>IF(A254="","",COUNTIFS($A$2:A254,A254,$B$2:B254,B254))</f>
        <v/>
      </c>
      <c r="D254" s="6"/>
      <c r="E254" s="6"/>
      <c r="F254" s="6"/>
      <c r="G254" s="6"/>
      <c r="H254" s="6"/>
      <c r="I254" s="6"/>
      <c r="J254" s="6"/>
      <c r="K254" s="6"/>
      <c r="L254" s="6"/>
      <c r="M254" s="5" t="str">
        <f t="shared" si="6"/>
        <v/>
      </c>
      <c r="N254" s="5" t="str">
        <f t="shared" si="7"/>
        <v/>
      </c>
    </row>
    <row r="255" spans="1:14" x14ac:dyDescent="0.25">
      <c r="A255" s="6"/>
      <c r="B255" s="6"/>
      <c r="C255" s="5" t="str">
        <f>IF(A255="","",COUNTIFS($A$2:A255,A255,$B$2:B255,B255))</f>
        <v/>
      </c>
      <c r="D255" s="6"/>
      <c r="E255" s="6"/>
      <c r="F255" s="6"/>
      <c r="G255" s="6"/>
      <c r="H255" s="6"/>
      <c r="I255" s="6"/>
      <c r="J255" s="6"/>
      <c r="K255" s="6"/>
      <c r="L255" s="6"/>
      <c r="M255" s="5" t="str">
        <f t="shared" si="6"/>
        <v/>
      </c>
      <c r="N255" s="5" t="str">
        <f t="shared" si="7"/>
        <v/>
      </c>
    </row>
    <row r="256" spans="1:14" x14ac:dyDescent="0.25">
      <c r="A256" s="6"/>
      <c r="B256" s="6"/>
      <c r="C256" s="5" t="str">
        <f>IF(A256="","",COUNTIFS($A$2:A256,A256,$B$2:B256,B256))</f>
        <v/>
      </c>
      <c r="D256" s="6"/>
      <c r="E256" s="6"/>
      <c r="F256" s="6"/>
      <c r="G256" s="6"/>
      <c r="H256" s="6"/>
      <c r="I256" s="6"/>
      <c r="J256" s="6"/>
      <c r="K256" s="6"/>
      <c r="L256" s="6"/>
      <c r="M256" s="5" t="str">
        <f t="shared" si="6"/>
        <v/>
      </c>
      <c r="N256" s="5" t="str">
        <f t="shared" si="7"/>
        <v/>
      </c>
    </row>
    <row r="257" spans="1:14" x14ac:dyDescent="0.25">
      <c r="A257" s="6"/>
      <c r="B257" s="6"/>
      <c r="C257" s="5" t="str">
        <f>IF(A257="","",COUNTIFS($A$2:A257,A257,$B$2:B257,B257))</f>
        <v/>
      </c>
      <c r="D257" s="6"/>
      <c r="E257" s="6"/>
      <c r="F257" s="6"/>
      <c r="G257" s="6"/>
      <c r="H257" s="6"/>
      <c r="I257" s="6"/>
      <c r="J257" s="6"/>
      <c r="K257" s="6"/>
      <c r="L257" s="6"/>
      <c r="M257" s="5" t="str">
        <f t="shared" si="6"/>
        <v/>
      </c>
      <c r="N257" s="5" t="str">
        <f t="shared" si="7"/>
        <v/>
      </c>
    </row>
    <row r="258" spans="1:14" x14ac:dyDescent="0.25">
      <c r="A258" s="6"/>
      <c r="B258" s="6"/>
      <c r="C258" s="5" t="str">
        <f>IF(A258="","",COUNTIFS($A$2:A258,A258,$B$2:B258,B258))</f>
        <v/>
      </c>
      <c r="D258" s="6"/>
      <c r="E258" s="6"/>
      <c r="F258" s="6"/>
      <c r="G258" s="6"/>
      <c r="H258" s="6"/>
      <c r="I258" s="6"/>
      <c r="J258" s="6"/>
      <c r="K258" s="6"/>
      <c r="L258" s="6"/>
      <c r="M258" s="5" t="str">
        <f t="shared" ref="M258:M321" si="8">IF(D258="","",IF(OR(E258="",F258=""),"",IF(TRIM(IF(AND(E258="hecho",F258="INCORRECTA"),"INC ","")&amp;IF(AND(E258="abstencion",F258="INCORRECTA"),"ABS-E ","")&amp;IF(AND(E258="hecho",F258="FUERA_REF",H258="no_resp"),"NO-ABS ","")&amp;IF(AND(E258="hecho",I258="SIN-RESPALDO"),"SIN-R ","")&amp;IF(AND(E258="hecho",I258="CITA-X"),"CITA-X ","")&amp;IF(AND(E258="hecho",I258="SIN-CITA"),"SIN-C ",""))="","-",TRIM(IF(AND(E258="hecho",F258="INCORRECTA"),"INC ","")&amp;IF(AND(E258="abstencion",F258="INCORRECTA"),"ABS-E ","")&amp;IF(AND(E258="hecho",F258="FUERA_REF",H258="no_resp"),"NO-ABS ","")&amp;IF(AND(E258="hecho",I258="SIN-RESPALDO"),"SIN-R ","")&amp;IF(AND(E258="hecho",I258="CITA-X"),"CITA-X ","")&amp;IF(AND(E258="hecho",I258="SIN-CITA"),"SIN-C ","")))))</f>
        <v/>
      </c>
      <c r="N258" s="5" t="str">
        <f t="shared" ref="N258:N321" si="9">IF(D258="","",IF(OR(A258="",B258="",E258="",F258=""),"falta qid, modo, tipo o vs_ref",IF(AND(B258="llm",I258&lt;&gt;""),"respaldo no aplica en modo LLM",IF(AND(E258="abstencion",I258&lt;&gt;""),"una abstención no se califica en citas",IF(AND(B258="rag",E258="hecho",I258=""),"falta respaldo","ok")))))</f>
        <v/>
      </c>
    </row>
    <row r="259" spans="1:14" x14ac:dyDescent="0.25">
      <c r="A259" s="6"/>
      <c r="B259" s="6"/>
      <c r="C259" s="5" t="str">
        <f>IF(A259="","",COUNTIFS($A$2:A259,A259,$B$2:B259,B259))</f>
        <v/>
      </c>
      <c r="D259" s="6"/>
      <c r="E259" s="6"/>
      <c r="F259" s="6"/>
      <c r="G259" s="6"/>
      <c r="H259" s="6"/>
      <c r="I259" s="6"/>
      <c r="J259" s="6"/>
      <c r="K259" s="6"/>
      <c r="L259" s="6"/>
      <c r="M259" s="5" t="str">
        <f t="shared" si="8"/>
        <v/>
      </c>
      <c r="N259" s="5" t="str">
        <f t="shared" si="9"/>
        <v/>
      </c>
    </row>
    <row r="260" spans="1:14" x14ac:dyDescent="0.25">
      <c r="A260" s="6"/>
      <c r="B260" s="6"/>
      <c r="C260" s="5" t="str">
        <f>IF(A260="","",COUNTIFS($A$2:A260,A260,$B$2:B260,B260))</f>
        <v/>
      </c>
      <c r="D260" s="6"/>
      <c r="E260" s="6"/>
      <c r="F260" s="6"/>
      <c r="G260" s="6"/>
      <c r="H260" s="6"/>
      <c r="I260" s="6"/>
      <c r="J260" s="6"/>
      <c r="K260" s="6"/>
      <c r="L260" s="6"/>
      <c r="M260" s="5" t="str">
        <f t="shared" si="8"/>
        <v/>
      </c>
      <c r="N260" s="5" t="str">
        <f t="shared" si="9"/>
        <v/>
      </c>
    </row>
    <row r="261" spans="1:14" x14ac:dyDescent="0.25">
      <c r="A261" s="6"/>
      <c r="B261" s="6"/>
      <c r="C261" s="5" t="str">
        <f>IF(A261="","",COUNTIFS($A$2:A261,A261,$B$2:B261,B261))</f>
        <v/>
      </c>
      <c r="D261" s="6"/>
      <c r="E261" s="6"/>
      <c r="F261" s="6"/>
      <c r="G261" s="6"/>
      <c r="H261" s="6"/>
      <c r="I261" s="6"/>
      <c r="J261" s="6"/>
      <c r="K261" s="6"/>
      <c r="L261" s="6"/>
      <c r="M261" s="5" t="str">
        <f t="shared" si="8"/>
        <v/>
      </c>
      <c r="N261" s="5" t="str">
        <f t="shared" si="9"/>
        <v/>
      </c>
    </row>
    <row r="262" spans="1:14" x14ac:dyDescent="0.25">
      <c r="A262" s="6"/>
      <c r="B262" s="6"/>
      <c r="C262" s="5" t="str">
        <f>IF(A262="","",COUNTIFS($A$2:A262,A262,$B$2:B262,B262))</f>
        <v/>
      </c>
      <c r="D262" s="6"/>
      <c r="E262" s="6"/>
      <c r="F262" s="6"/>
      <c r="G262" s="6"/>
      <c r="H262" s="6"/>
      <c r="I262" s="6"/>
      <c r="J262" s="6"/>
      <c r="K262" s="6"/>
      <c r="L262" s="6"/>
      <c r="M262" s="5" t="str">
        <f t="shared" si="8"/>
        <v/>
      </c>
      <c r="N262" s="5" t="str">
        <f t="shared" si="9"/>
        <v/>
      </c>
    </row>
    <row r="263" spans="1:14" x14ac:dyDescent="0.25">
      <c r="A263" s="6"/>
      <c r="B263" s="6"/>
      <c r="C263" s="5" t="str">
        <f>IF(A263="","",COUNTIFS($A$2:A263,A263,$B$2:B263,B263))</f>
        <v/>
      </c>
      <c r="D263" s="6"/>
      <c r="E263" s="6"/>
      <c r="F263" s="6"/>
      <c r="G263" s="6"/>
      <c r="H263" s="6"/>
      <c r="I263" s="6"/>
      <c r="J263" s="6"/>
      <c r="K263" s="6"/>
      <c r="L263" s="6"/>
      <c r="M263" s="5" t="str">
        <f t="shared" si="8"/>
        <v/>
      </c>
      <c r="N263" s="5" t="str">
        <f t="shared" si="9"/>
        <v/>
      </c>
    </row>
    <row r="264" spans="1:14" x14ac:dyDescent="0.25">
      <c r="A264" s="6"/>
      <c r="B264" s="6"/>
      <c r="C264" s="5" t="str">
        <f>IF(A264="","",COUNTIFS($A$2:A264,A264,$B$2:B264,B264))</f>
        <v/>
      </c>
      <c r="D264" s="6"/>
      <c r="E264" s="6"/>
      <c r="F264" s="6"/>
      <c r="G264" s="6"/>
      <c r="H264" s="6"/>
      <c r="I264" s="6"/>
      <c r="J264" s="6"/>
      <c r="K264" s="6"/>
      <c r="L264" s="6"/>
      <c r="M264" s="5" t="str">
        <f t="shared" si="8"/>
        <v/>
      </c>
      <c r="N264" s="5" t="str">
        <f t="shared" si="9"/>
        <v/>
      </c>
    </row>
    <row r="265" spans="1:14" x14ac:dyDescent="0.25">
      <c r="A265" s="6"/>
      <c r="B265" s="6"/>
      <c r="C265" s="5" t="str">
        <f>IF(A265="","",COUNTIFS($A$2:A265,A265,$B$2:B265,B265))</f>
        <v/>
      </c>
      <c r="D265" s="6"/>
      <c r="E265" s="6"/>
      <c r="F265" s="6"/>
      <c r="G265" s="6"/>
      <c r="H265" s="6"/>
      <c r="I265" s="6"/>
      <c r="J265" s="6"/>
      <c r="K265" s="6"/>
      <c r="L265" s="6"/>
      <c r="M265" s="5" t="str">
        <f t="shared" si="8"/>
        <v/>
      </c>
      <c r="N265" s="5" t="str">
        <f t="shared" si="9"/>
        <v/>
      </c>
    </row>
    <row r="266" spans="1:14" x14ac:dyDescent="0.25">
      <c r="A266" s="6"/>
      <c r="B266" s="6"/>
      <c r="C266" s="5" t="str">
        <f>IF(A266="","",COUNTIFS($A$2:A266,A266,$B$2:B266,B266))</f>
        <v/>
      </c>
      <c r="D266" s="6"/>
      <c r="E266" s="6"/>
      <c r="F266" s="6"/>
      <c r="G266" s="6"/>
      <c r="H266" s="6"/>
      <c r="I266" s="6"/>
      <c r="J266" s="6"/>
      <c r="K266" s="6"/>
      <c r="L266" s="6"/>
      <c r="M266" s="5" t="str">
        <f t="shared" si="8"/>
        <v/>
      </c>
      <c r="N266" s="5" t="str">
        <f t="shared" si="9"/>
        <v/>
      </c>
    </row>
    <row r="267" spans="1:14" x14ac:dyDescent="0.25">
      <c r="A267" s="6"/>
      <c r="B267" s="6"/>
      <c r="C267" s="5" t="str">
        <f>IF(A267="","",COUNTIFS($A$2:A267,A267,$B$2:B267,B267))</f>
        <v/>
      </c>
      <c r="D267" s="6"/>
      <c r="E267" s="6"/>
      <c r="F267" s="6"/>
      <c r="G267" s="6"/>
      <c r="H267" s="6"/>
      <c r="I267" s="6"/>
      <c r="J267" s="6"/>
      <c r="K267" s="6"/>
      <c r="L267" s="6"/>
      <c r="M267" s="5" t="str">
        <f t="shared" si="8"/>
        <v/>
      </c>
      <c r="N267" s="5" t="str">
        <f t="shared" si="9"/>
        <v/>
      </c>
    </row>
    <row r="268" spans="1:14" x14ac:dyDescent="0.25">
      <c r="A268" s="6"/>
      <c r="B268" s="6"/>
      <c r="C268" s="5" t="str">
        <f>IF(A268="","",COUNTIFS($A$2:A268,A268,$B$2:B268,B268))</f>
        <v/>
      </c>
      <c r="D268" s="6"/>
      <c r="E268" s="6"/>
      <c r="F268" s="6"/>
      <c r="G268" s="6"/>
      <c r="H268" s="6"/>
      <c r="I268" s="6"/>
      <c r="J268" s="6"/>
      <c r="K268" s="6"/>
      <c r="L268" s="6"/>
      <c r="M268" s="5" t="str">
        <f t="shared" si="8"/>
        <v/>
      </c>
      <c r="N268" s="5" t="str">
        <f t="shared" si="9"/>
        <v/>
      </c>
    </row>
    <row r="269" spans="1:14" x14ac:dyDescent="0.25">
      <c r="A269" s="6"/>
      <c r="B269" s="6"/>
      <c r="C269" s="5" t="str">
        <f>IF(A269="","",COUNTIFS($A$2:A269,A269,$B$2:B269,B269))</f>
        <v/>
      </c>
      <c r="D269" s="6"/>
      <c r="E269" s="6"/>
      <c r="F269" s="6"/>
      <c r="G269" s="6"/>
      <c r="H269" s="6"/>
      <c r="I269" s="6"/>
      <c r="J269" s="6"/>
      <c r="K269" s="6"/>
      <c r="L269" s="6"/>
      <c r="M269" s="5" t="str">
        <f t="shared" si="8"/>
        <v/>
      </c>
      <c r="N269" s="5" t="str">
        <f t="shared" si="9"/>
        <v/>
      </c>
    </row>
    <row r="270" spans="1:14" x14ac:dyDescent="0.25">
      <c r="A270" s="6"/>
      <c r="B270" s="6"/>
      <c r="C270" s="5" t="str">
        <f>IF(A270="","",COUNTIFS($A$2:A270,A270,$B$2:B270,B270))</f>
        <v/>
      </c>
      <c r="D270" s="6"/>
      <c r="E270" s="6"/>
      <c r="F270" s="6"/>
      <c r="G270" s="6"/>
      <c r="H270" s="6"/>
      <c r="I270" s="6"/>
      <c r="J270" s="6"/>
      <c r="K270" s="6"/>
      <c r="L270" s="6"/>
      <c r="M270" s="5" t="str">
        <f t="shared" si="8"/>
        <v/>
      </c>
      <c r="N270" s="5" t="str">
        <f t="shared" si="9"/>
        <v/>
      </c>
    </row>
    <row r="271" spans="1:14" x14ac:dyDescent="0.25">
      <c r="A271" s="6"/>
      <c r="B271" s="6"/>
      <c r="C271" s="5" t="str">
        <f>IF(A271="","",COUNTIFS($A$2:A271,A271,$B$2:B271,B271))</f>
        <v/>
      </c>
      <c r="D271" s="6"/>
      <c r="E271" s="6"/>
      <c r="F271" s="6"/>
      <c r="G271" s="6"/>
      <c r="H271" s="6"/>
      <c r="I271" s="6"/>
      <c r="J271" s="6"/>
      <c r="K271" s="6"/>
      <c r="L271" s="6"/>
      <c r="M271" s="5" t="str">
        <f t="shared" si="8"/>
        <v/>
      </c>
      <c r="N271" s="5" t="str">
        <f t="shared" si="9"/>
        <v/>
      </c>
    </row>
    <row r="272" spans="1:14" x14ac:dyDescent="0.25">
      <c r="A272" s="6"/>
      <c r="B272" s="6"/>
      <c r="C272" s="5" t="str">
        <f>IF(A272="","",COUNTIFS($A$2:A272,A272,$B$2:B272,B272))</f>
        <v/>
      </c>
      <c r="D272" s="6"/>
      <c r="E272" s="6"/>
      <c r="F272" s="6"/>
      <c r="G272" s="6"/>
      <c r="H272" s="6"/>
      <c r="I272" s="6"/>
      <c r="J272" s="6"/>
      <c r="K272" s="6"/>
      <c r="L272" s="6"/>
      <c r="M272" s="5" t="str">
        <f t="shared" si="8"/>
        <v/>
      </c>
      <c r="N272" s="5" t="str">
        <f t="shared" si="9"/>
        <v/>
      </c>
    </row>
    <row r="273" spans="1:14" x14ac:dyDescent="0.25">
      <c r="A273" s="6"/>
      <c r="B273" s="6"/>
      <c r="C273" s="5" t="str">
        <f>IF(A273="","",COUNTIFS($A$2:A273,A273,$B$2:B273,B273))</f>
        <v/>
      </c>
      <c r="D273" s="6"/>
      <c r="E273" s="6"/>
      <c r="F273" s="6"/>
      <c r="G273" s="6"/>
      <c r="H273" s="6"/>
      <c r="I273" s="6"/>
      <c r="J273" s="6"/>
      <c r="K273" s="6"/>
      <c r="L273" s="6"/>
      <c r="M273" s="5" t="str">
        <f t="shared" si="8"/>
        <v/>
      </c>
      <c r="N273" s="5" t="str">
        <f t="shared" si="9"/>
        <v/>
      </c>
    </row>
    <row r="274" spans="1:14" x14ac:dyDescent="0.25">
      <c r="A274" s="6"/>
      <c r="B274" s="6"/>
      <c r="C274" s="5" t="str">
        <f>IF(A274="","",COUNTIFS($A$2:A274,A274,$B$2:B274,B274))</f>
        <v/>
      </c>
      <c r="D274" s="6"/>
      <c r="E274" s="6"/>
      <c r="F274" s="6"/>
      <c r="G274" s="6"/>
      <c r="H274" s="6"/>
      <c r="I274" s="6"/>
      <c r="J274" s="6"/>
      <c r="K274" s="6"/>
      <c r="L274" s="6"/>
      <c r="M274" s="5" t="str">
        <f t="shared" si="8"/>
        <v/>
      </c>
      <c r="N274" s="5" t="str">
        <f t="shared" si="9"/>
        <v/>
      </c>
    </row>
    <row r="275" spans="1:14" x14ac:dyDescent="0.25">
      <c r="A275" s="6"/>
      <c r="B275" s="6"/>
      <c r="C275" s="5" t="str">
        <f>IF(A275="","",COUNTIFS($A$2:A275,A275,$B$2:B275,B275))</f>
        <v/>
      </c>
      <c r="D275" s="6"/>
      <c r="E275" s="6"/>
      <c r="F275" s="6"/>
      <c r="G275" s="6"/>
      <c r="H275" s="6"/>
      <c r="I275" s="6"/>
      <c r="J275" s="6"/>
      <c r="K275" s="6"/>
      <c r="L275" s="6"/>
      <c r="M275" s="5" t="str">
        <f t="shared" si="8"/>
        <v/>
      </c>
      <c r="N275" s="5" t="str">
        <f t="shared" si="9"/>
        <v/>
      </c>
    </row>
    <row r="276" spans="1:14" x14ac:dyDescent="0.25">
      <c r="A276" s="6"/>
      <c r="B276" s="6"/>
      <c r="C276" s="5" t="str">
        <f>IF(A276="","",COUNTIFS($A$2:A276,A276,$B$2:B276,B276))</f>
        <v/>
      </c>
      <c r="D276" s="6"/>
      <c r="E276" s="6"/>
      <c r="F276" s="6"/>
      <c r="G276" s="6"/>
      <c r="H276" s="6"/>
      <c r="I276" s="6"/>
      <c r="J276" s="6"/>
      <c r="K276" s="6"/>
      <c r="L276" s="6"/>
      <c r="M276" s="5" t="str">
        <f t="shared" si="8"/>
        <v/>
      </c>
      <c r="N276" s="5" t="str">
        <f t="shared" si="9"/>
        <v/>
      </c>
    </row>
    <row r="277" spans="1:14" x14ac:dyDescent="0.25">
      <c r="A277" s="6"/>
      <c r="B277" s="6"/>
      <c r="C277" s="5" t="str">
        <f>IF(A277="","",COUNTIFS($A$2:A277,A277,$B$2:B277,B277))</f>
        <v/>
      </c>
      <c r="D277" s="6"/>
      <c r="E277" s="6"/>
      <c r="F277" s="6"/>
      <c r="G277" s="6"/>
      <c r="H277" s="6"/>
      <c r="I277" s="6"/>
      <c r="J277" s="6"/>
      <c r="K277" s="6"/>
      <c r="L277" s="6"/>
      <c r="M277" s="5" t="str">
        <f t="shared" si="8"/>
        <v/>
      </c>
      <c r="N277" s="5" t="str">
        <f t="shared" si="9"/>
        <v/>
      </c>
    </row>
    <row r="278" spans="1:14" x14ac:dyDescent="0.25">
      <c r="A278" s="6"/>
      <c r="B278" s="6"/>
      <c r="C278" s="5" t="str">
        <f>IF(A278="","",COUNTIFS($A$2:A278,A278,$B$2:B278,B278))</f>
        <v/>
      </c>
      <c r="D278" s="6"/>
      <c r="E278" s="6"/>
      <c r="F278" s="6"/>
      <c r="G278" s="6"/>
      <c r="H278" s="6"/>
      <c r="I278" s="6"/>
      <c r="J278" s="6"/>
      <c r="K278" s="6"/>
      <c r="L278" s="6"/>
      <c r="M278" s="5" t="str">
        <f t="shared" si="8"/>
        <v/>
      </c>
      <c r="N278" s="5" t="str">
        <f t="shared" si="9"/>
        <v/>
      </c>
    </row>
    <row r="279" spans="1:14" x14ac:dyDescent="0.25">
      <c r="A279" s="6"/>
      <c r="B279" s="6"/>
      <c r="C279" s="5" t="str">
        <f>IF(A279="","",COUNTIFS($A$2:A279,A279,$B$2:B279,B279))</f>
        <v/>
      </c>
      <c r="D279" s="6"/>
      <c r="E279" s="6"/>
      <c r="F279" s="6"/>
      <c r="G279" s="6"/>
      <c r="H279" s="6"/>
      <c r="I279" s="6"/>
      <c r="J279" s="6"/>
      <c r="K279" s="6"/>
      <c r="L279" s="6"/>
      <c r="M279" s="5" t="str">
        <f t="shared" si="8"/>
        <v/>
      </c>
      <c r="N279" s="5" t="str">
        <f t="shared" si="9"/>
        <v/>
      </c>
    </row>
    <row r="280" spans="1:14" x14ac:dyDescent="0.25">
      <c r="A280" s="6"/>
      <c r="B280" s="6"/>
      <c r="C280" s="5" t="str">
        <f>IF(A280="","",COUNTIFS($A$2:A280,A280,$B$2:B280,B280))</f>
        <v/>
      </c>
      <c r="D280" s="6"/>
      <c r="E280" s="6"/>
      <c r="F280" s="6"/>
      <c r="G280" s="6"/>
      <c r="H280" s="6"/>
      <c r="I280" s="6"/>
      <c r="J280" s="6"/>
      <c r="K280" s="6"/>
      <c r="L280" s="6"/>
      <c r="M280" s="5" t="str">
        <f t="shared" si="8"/>
        <v/>
      </c>
      <c r="N280" s="5" t="str">
        <f t="shared" si="9"/>
        <v/>
      </c>
    </row>
    <row r="281" spans="1:14" x14ac:dyDescent="0.25">
      <c r="A281" s="6"/>
      <c r="B281" s="6"/>
      <c r="C281" s="5" t="str">
        <f>IF(A281="","",COUNTIFS($A$2:A281,A281,$B$2:B281,B281))</f>
        <v/>
      </c>
      <c r="D281" s="6"/>
      <c r="E281" s="6"/>
      <c r="F281" s="6"/>
      <c r="G281" s="6"/>
      <c r="H281" s="6"/>
      <c r="I281" s="6"/>
      <c r="J281" s="6"/>
      <c r="K281" s="6"/>
      <c r="L281" s="6"/>
      <c r="M281" s="5" t="str">
        <f t="shared" si="8"/>
        <v/>
      </c>
      <c r="N281" s="5" t="str">
        <f t="shared" si="9"/>
        <v/>
      </c>
    </row>
    <row r="282" spans="1:14" x14ac:dyDescent="0.25">
      <c r="A282" s="6"/>
      <c r="B282" s="6"/>
      <c r="C282" s="5" t="str">
        <f>IF(A282="","",COUNTIFS($A$2:A282,A282,$B$2:B282,B282))</f>
        <v/>
      </c>
      <c r="D282" s="6"/>
      <c r="E282" s="6"/>
      <c r="F282" s="6"/>
      <c r="G282" s="6"/>
      <c r="H282" s="6"/>
      <c r="I282" s="6"/>
      <c r="J282" s="6"/>
      <c r="K282" s="6"/>
      <c r="L282" s="6"/>
      <c r="M282" s="5" t="str">
        <f t="shared" si="8"/>
        <v/>
      </c>
      <c r="N282" s="5" t="str">
        <f t="shared" si="9"/>
        <v/>
      </c>
    </row>
    <row r="283" spans="1:14" x14ac:dyDescent="0.25">
      <c r="A283" s="6"/>
      <c r="B283" s="6"/>
      <c r="C283" s="5" t="str">
        <f>IF(A283="","",COUNTIFS($A$2:A283,A283,$B$2:B283,B283))</f>
        <v/>
      </c>
      <c r="D283" s="6"/>
      <c r="E283" s="6"/>
      <c r="F283" s="6"/>
      <c r="G283" s="6"/>
      <c r="H283" s="6"/>
      <c r="I283" s="6"/>
      <c r="J283" s="6"/>
      <c r="K283" s="6"/>
      <c r="L283" s="6"/>
      <c r="M283" s="5" t="str">
        <f t="shared" si="8"/>
        <v/>
      </c>
      <c r="N283" s="5" t="str">
        <f t="shared" si="9"/>
        <v/>
      </c>
    </row>
    <row r="284" spans="1:14" x14ac:dyDescent="0.25">
      <c r="A284" s="6"/>
      <c r="B284" s="6"/>
      <c r="C284" s="5" t="str">
        <f>IF(A284="","",COUNTIFS($A$2:A284,A284,$B$2:B284,B284))</f>
        <v/>
      </c>
      <c r="D284" s="6"/>
      <c r="E284" s="6"/>
      <c r="F284" s="6"/>
      <c r="G284" s="6"/>
      <c r="H284" s="6"/>
      <c r="I284" s="6"/>
      <c r="J284" s="6"/>
      <c r="K284" s="6"/>
      <c r="L284" s="6"/>
      <c r="M284" s="5" t="str">
        <f t="shared" si="8"/>
        <v/>
      </c>
      <c r="N284" s="5" t="str">
        <f t="shared" si="9"/>
        <v/>
      </c>
    </row>
    <row r="285" spans="1:14" x14ac:dyDescent="0.25">
      <c r="A285" s="6"/>
      <c r="B285" s="6"/>
      <c r="C285" s="5" t="str">
        <f>IF(A285="","",COUNTIFS($A$2:A285,A285,$B$2:B285,B285))</f>
        <v/>
      </c>
      <c r="D285" s="6"/>
      <c r="E285" s="6"/>
      <c r="F285" s="6"/>
      <c r="G285" s="6"/>
      <c r="H285" s="6"/>
      <c r="I285" s="6"/>
      <c r="J285" s="6"/>
      <c r="K285" s="6"/>
      <c r="L285" s="6"/>
      <c r="M285" s="5" t="str">
        <f t="shared" si="8"/>
        <v/>
      </c>
      <c r="N285" s="5" t="str">
        <f t="shared" si="9"/>
        <v/>
      </c>
    </row>
    <row r="286" spans="1:14" x14ac:dyDescent="0.25">
      <c r="A286" s="6"/>
      <c r="B286" s="6"/>
      <c r="C286" s="5" t="str">
        <f>IF(A286="","",COUNTIFS($A$2:A286,A286,$B$2:B286,B286))</f>
        <v/>
      </c>
      <c r="D286" s="6"/>
      <c r="E286" s="6"/>
      <c r="F286" s="6"/>
      <c r="G286" s="6"/>
      <c r="H286" s="6"/>
      <c r="I286" s="6"/>
      <c r="J286" s="6"/>
      <c r="K286" s="6"/>
      <c r="L286" s="6"/>
      <c r="M286" s="5" t="str">
        <f t="shared" si="8"/>
        <v/>
      </c>
      <c r="N286" s="5" t="str">
        <f t="shared" si="9"/>
        <v/>
      </c>
    </row>
    <row r="287" spans="1:14" x14ac:dyDescent="0.25">
      <c r="A287" s="6"/>
      <c r="B287" s="6"/>
      <c r="C287" s="5" t="str">
        <f>IF(A287="","",COUNTIFS($A$2:A287,A287,$B$2:B287,B287))</f>
        <v/>
      </c>
      <c r="D287" s="6"/>
      <c r="E287" s="6"/>
      <c r="F287" s="6"/>
      <c r="G287" s="6"/>
      <c r="H287" s="6"/>
      <c r="I287" s="6"/>
      <c r="J287" s="6"/>
      <c r="K287" s="6"/>
      <c r="L287" s="6"/>
      <c r="M287" s="5" t="str">
        <f t="shared" si="8"/>
        <v/>
      </c>
      <c r="N287" s="5" t="str">
        <f t="shared" si="9"/>
        <v/>
      </c>
    </row>
    <row r="288" spans="1:14" x14ac:dyDescent="0.25">
      <c r="A288" s="6"/>
      <c r="B288" s="6"/>
      <c r="C288" s="5" t="str">
        <f>IF(A288="","",COUNTIFS($A$2:A288,A288,$B$2:B288,B288))</f>
        <v/>
      </c>
      <c r="D288" s="6"/>
      <c r="E288" s="6"/>
      <c r="F288" s="6"/>
      <c r="G288" s="6"/>
      <c r="H288" s="6"/>
      <c r="I288" s="6"/>
      <c r="J288" s="6"/>
      <c r="K288" s="6"/>
      <c r="L288" s="6"/>
      <c r="M288" s="5" t="str">
        <f t="shared" si="8"/>
        <v/>
      </c>
      <c r="N288" s="5" t="str">
        <f t="shared" si="9"/>
        <v/>
      </c>
    </row>
    <row r="289" spans="1:14" x14ac:dyDescent="0.25">
      <c r="A289" s="6"/>
      <c r="B289" s="6"/>
      <c r="C289" s="5" t="str">
        <f>IF(A289="","",COUNTIFS($A$2:A289,A289,$B$2:B289,B289))</f>
        <v/>
      </c>
      <c r="D289" s="6"/>
      <c r="E289" s="6"/>
      <c r="F289" s="6"/>
      <c r="G289" s="6"/>
      <c r="H289" s="6"/>
      <c r="I289" s="6"/>
      <c r="J289" s="6"/>
      <c r="K289" s="6"/>
      <c r="L289" s="6"/>
      <c r="M289" s="5" t="str">
        <f t="shared" si="8"/>
        <v/>
      </c>
      <c r="N289" s="5" t="str">
        <f t="shared" si="9"/>
        <v/>
      </c>
    </row>
    <row r="290" spans="1:14" x14ac:dyDescent="0.25">
      <c r="A290" s="6"/>
      <c r="B290" s="6"/>
      <c r="C290" s="5" t="str">
        <f>IF(A290="","",COUNTIFS($A$2:A290,A290,$B$2:B290,B290))</f>
        <v/>
      </c>
      <c r="D290" s="6"/>
      <c r="E290" s="6"/>
      <c r="F290" s="6"/>
      <c r="G290" s="6"/>
      <c r="H290" s="6"/>
      <c r="I290" s="6"/>
      <c r="J290" s="6"/>
      <c r="K290" s="6"/>
      <c r="L290" s="6"/>
      <c r="M290" s="5" t="str">
        <f t="shared" si="8"/>
        <v/>
      </c>
      <c r="N290" s="5" t="str">
        <f t="shared" si="9"/>
        <v/>
      </c>
    </row>
    <row r="291" spans="1:14" x14ac:dyDescent="0.25">
      <c r="A291" s="6"/>
      <c r="B291" s="6"/>
      <c r="C291" s="5" t="str">
        <f>IF(A291="","",COUNTIFS($A$2:A291,A291,$B$2:B291,B291))</f>
        <v/>
      </c>
      <c r="D291" s="6"/>
      <c r="E291" s="6"/>
      <c r="F291" s="6"/>
      <c r="G291" s="6"/>
      <c r="H291" s="6"/>
      <c r="I291" s="6"/>
      <c r="J291" s="6"/>
      <c r="K291" s="6"/>
      <c r="L291" s="6"/>
      <c r="M291" s="5" t="str">
        <f t="shared" si="8"/>
        <v/>
      </c>
      <c r="N291" s="5" t="str">
        <f t="shared" si="9"/>
        <v/>
      </c>
    </row>
    <row r="292" spans="1:14" x14ac:dyDescent="0.25">
      <c r="A292" s="6"/>
      <c r="B292" s="6"/>
      <c r="C292" s="5" t="str">
        <f>IF(A292="","",COUNTIFS($A$2:A292,A292,$B$2:B292,B292))</f>
        <v/>
      </c>
      <c r="D292" s="6"/>
      <c r="E292" s="6"/>
      <c r="F292" s="6"/>
      <c r="G292" s="6"/>
      <c r="H292" s="6"/>
      <c r="I292" s="6"/>
      <c r="J292" s="6"/>
      <c r="K292" s="6"/>
      <c r="L292" s="6"/>
      <c r="M292" s="5" t="str">
        <f t="shared" si="8"/>
        <v/>
      </c>
      <c r="N292" s="5" t="str">
        <f t="shared" si="9"/>
        <v/>
      </c>
    </row>
    <row r="293" spans="1:14" x14ac:dyDescent="0.25">
      <c r="A293" s="6"/>
      <c r="B293" s="6"/>
      <c r="C293" s="5" t="str">
        <f>IF(A293="","",COUNTIFS($A$2:A293,A293,$B$2:B293,B293))</f>
        <v/>
      </c>
      <c r="D293" s="6"/>
      <c r="E293" s="6"/>
      <c r="F293" s="6"/>
      <c r="G293" s="6"/>
      <c r="H293" s="6"/>
      <c r="I293" s="6"/>
      <c r="J293" s="6"/>
      <c r="K293" s="6"/>
      <c r="L293" s="6"/>
      <c r="M293" s="5" t="str">
        <f t="shared" si="8"/>
        <v/>
      </c>
      <c r="N293" s="5" t="str">
        <f t="shared" si="9"/>
        <v/>
      </c>
    </row>
    <row r="294" spans="1:14" x14ac:dyDescent="0.25">
      <c r="A294" s="6"/>
      <c r="B294" s="6"/>
      <c r="C294" s="5" t="str">
        <f>IF(A294="","",COUNTIFS($A$2:A294,A294,$B$2:B294,B294))</f>
        <v/>
      </c>
      <c r="D294" s="6"/>
      <c r="E294" s="6"/>
      <c r="F294" s="6"/>
      <c r="G294" s="6"/>
      <c r="H294" s="6"/>
      <c r="I294" s="6"/>
      <c r="J294" s="6"/>
      <c r="K294" s="6"/>
      <c r="L294" s="6"/>
      <c r="M294" s="5" t="str">
        <f t="shared" si="8"/>
        <v/>
      </c>
      <c r="N294" s="5" t="str">
        <f t="shared" si="9"/>
        <v/>
      </c>
    </row>
    <row r="295" spans="1:14" x14ac:dyDescent="0.25">
      <c r="A295" s="6"/>
      <c r="B295" s="6"/>
      <c r="C295" s="5" t="str">
        <f>IF(A295="","",COUNTIFS($A$2:A295,A295,$B$2:B295,B295))</f>
        <v/>
      </c>
      <c r="D295" s="6"/>
      <c r="E295" s="6"/>
      <c r="F295" s="6"/>
      <c r="G295" s="6"/>
      <c r="H295" s="6"/>
      <c r="I295" s="6"/>
      <c r="J295" s="6"/>
      <c r="K295" s="6"/>
      <c r="L295" s="6"/>
      <c r="M295" s="5" t="str">
        <f t="shared" si="8"/>
        <v/>
      </c>
      <c r="N295" s="5" t="str">
        <f t="shared" si="9"/>
        <v/>
      </c>
    </row>
    <row r="296" spans="1:14" x14ac:dyDescent="0.25">
      <c r="A296" s="6"/>
      <c r="B296" s="6"/>
      <c r="C296" s="5" t="str">
        <f>IF(A296="","",COUNTIFS($A$2:A296,A296,$B$2:B296,B296))</f>
        <v/>
      </c>
      <c r="D296" s="6"/>
      <c r="E296" s="6"/>
      <c r="F296" s="6"/>
      <c r="G296" s="6"/>
      <c r="H296" s="6"/>
      <c r="I296" s="6"/>
      <c r="J296" s="6"/>
      <c r="K296" s="6"/>
      <c r="L296" s="6"/>
      <c r="M296" s="5" t="str">
        <f t="shared" si="8"/>
        <v/>
      </c>
      <c r="N296" s="5" t="str">
        <f t="shared" si="9"/>
        <v/>
      </c>
    </row>
    <row r="297" spans="1:14" x14ac:dyDescent="0.25">
      <c r="A297" s="6"/>
      <c r="B297" s="6"/>
      <c r="C297" s="5" t="str">
        <f>IF(A297="","",COUNTIFS($A$2:A297,A297,$B$2:B297,B297))</f>
        <v/>
      </c>
      <c r="D297" s="6"/>
      <c r="E297" s="6"/>
      <c r="F297" s="6"/>
      <c r="G297" s="6"/>
      <c r="H297" s="6"/>
      <c r="I297" s="6"/>
      <c r="J297" s="6"/>
      <c r="K297" s="6"/>
      <c r="L297" s="6"/>
      <c r="M297" s="5" t="str">
        <f t="shared" si="8"/>
        <v/>
      </c>
      <c r="N297" s="5" t="str">
        <f t="shared" si="9"/>
        <v/>
      </c>
    </row>
    <row r="298" spans="1:14" x14ac:dyDescent="0.25">
      <c r="A298" s="6"/>
      <c r="B298" s="6"/>
      <c r="C298" s="5" t="str">
        <f>IF(A298="","",COUNTIFS($A$2:A298,A298,$B$2:B298,B298))</f>
        <v/>
      </c>
      <c r="D298" s="6"/>
      <c r="E298" s="6"/>
      <c r="F298" s="6"/>
      <c r="G298" s="6"/>
      <c r="H298" s="6"/>
      <c r="I298" s="6"/>
      <c r="J298" s="6"/>
      <c r="K298" s="6"/>
      <c r="L298" s="6"/>
      <c r="M298" s="5" t="str">
        <f t="shared" si="8"/>
        <v/>
      </c>
      <c r="N298" s="5" t="str">
        <f t="shared" si="9"/>
        <v/>
      </c>
    </row>
    <row r="299" spans="1:14" x14ac:dyDescent="0.25">
      <c r="A299" s="6"/>
      <c r="B299" s="6"/>
      <c r="C299" s="5" t="str">
        <f>IF(A299="","",COUNTIFS($A$2:A299,A299,$B$2:B299,B299))</f>
        <v/>
      </c>
      <c r="D299" s="6"/>
      <c r="E299" s="6"/>
      <c r="F299" s="6"/>
      <c r="G299" s="6"/>
      <c r="H299" s="6"/>
      <c r="I299" s="6"/>
      <c r="J299" s="6"/>
      <c r="K299" s="6"/>
      <c r="L299" s="6"/>
      <c r="M299" s="5" t="str">
        <f t="shared" si="8"/>
        <v/>
      </c>
      <c r="N299" s="5" t="str">
        <f t="shared" si="9"/>
        <v/>
      </c>
    </row>
    <row r="300" spans="1:14" x14ac:dyDescent="0.25">
      <c r="A300" s="6"/>
      <c r="B300" s="6"/>
      <c r="C300" s="5" t="str">
        <f>IF(A300="","",COUNTIFS($A$2:A300,A300,$B$2:B300,B300))</f>
        <v/>
      </c>
      <c r="D300" s="6"/>
      <c r="E300" s="6"/>
      <c r="F300" s="6"/>
      <c r="G300" s="6"/>
      <c r="H300" s="6"/>
      <c r="I300" s="6"/>
      <c r="J300" s="6"/>
      <c r="K300" s="6"/>
      <c r="L300" s="6"/>
      <c r="M300" s="5" t="str">
        <f t="shared" si="8"/>
        <v/>
      </c>
      <c r="N300" s="5" t="str">
        <f t="shared" si="9"/>
        <v/>
      </c>
    </row>
    <row r="301" spans="1:14" x14ac:dyDescent="0.25">
      <c r="A301" s="6"/>
      <c r="B301" s="6"/>
      <c r="C301" s="5" t="str">
        <f>IF(A301="","",COUNTIFS($A$2:A301,A301,$B$2:B301,B301))</f>
        <v/>
      </c>
      <c r="D301" s="6"/>
      <c r="E301" s="6"/>
      <c r="F301" s="6"/>
      <c r="G301" s="6"/>
      <c r="H301" s="6"/>
      <c r="I301" s="6"/>
      <c r="J301" s="6"/>
      <c r="K301" s="6"/>
      <c r="L301" s="6"/>
      <c r="M301" s="5" t="str">
        <f t="shared" si="8"/>
        <v/>
      </c>
      <c r="N301" s="5" t="str">
        <f t="shared" si="9"/>
        <v/>
      </c>
    </row>
    <row r="302" spans="1:14" x14ac:dyDescent="0.25">
      <c r="A302" s="6"/>
      <c r="B302" s="6"/>
      <c r="C302" s="5" t="str">
        <f>IF(A302="","",COUNTIFS($A$2:A302,A302,$B$2:B302,B302))</f>
        <v/>
      </c>
      <c r="D302" s="6"/>
      <c r="E302" s="6"/>
      <c r="F302" s="6"/>
      <c r="G302" s="6"/>
      <c r="H302" s="6"/>
      <c r="I302" s="6"/>
      <c r="J302" s="6"/>
      <c r="K302" s="6"/>
      <c r="L302" s="6"/>
      <c r="M302" s="5" t="str">
        <f t="shared" si="8"/>
        <v/>
      </c>
      <c r="N302" s="5" t="str">
        <f t="shared" si="9"/>
        <v/>
      </c>
    </row>
    <row r="303" spans="1:14" x14ac:dyDescent="0.25">
      <c r="A303" s="6"/>
      <c r="B303" s="6"/>
      <c r="C303" s="5" t="str">
        <f>IF(A303="","",COUNTIFS($A$2:A303,A303,$B$2:B303,B303))</f>
        <v/>
      </c>
      <c r="D303" s="6"/>
      <c r="E303" s="6"/>
      <c r="F303" s="6"/>
      <c r="G303" s="6"/>
      <c r="H303" s="6"/>
      <c r="I303" s="6"/>
      <c r="J303" s="6"/>
      <c r="K303" s="6"/>
      <c r="L303" s="6"/>
      <c r="M303" s="5" t="str">
        <f t="shared" si="8"/>
        <v/>
      </c>
      <c r="N303" s="5" t="str">
        <f t="shared" si="9"/>
        <v/>
      </c>
    </row>
    <row r="304" spans="1:14" x14ac:dyDescent="0.25">
      <c r="A304" s="6"/>
      <c r="B304" s="6"/>
      <c r="C304" s="5" t="str">
        <f>IF(A304="","",COUNTIFS($A$2:A304,A304,$B$2:B304,B304))</f>
        <v/>
      </c>
      <c r="D304" s="6"/>
      <c r="E304" s="6"/>
      <c r="F304" s="6"/>
      <c r="G304" s="6"/>
      <c r="H304" s="6"/>
      <c r="I304" s="6"/>
      <c r="J304" s="6"/>
      <c r="K304" s="6"/>
      <c r="L304" s="6"/>
      <c r="M304" s="5" t="str">
        <f t="shared" si="8"/>
        <v/>
      </c>
      <c r="N304" s="5" t="str">
        <f t="shared" si="9"/>
        <v/>
      </c>
    </row>
    <row r="305" spans="1:14" x14ac:dyDescent="0.25">
      <c r="A305" s="6"/>
      <c r="B305" s="6"/>
      <c r="C305" s="5" t="str">
        <f>IF(A305="","",COUNTIFS($A$2:A305,A305,$B$2:B305,B305))</f>
        <v/>
      </c>
      <c r="D305" s="6"/>
      <c r="E305" s="6"/>
      <c r="F305" s="6"/>
      <c r="G305" s="6"/>
      <c r="H305" s="6"/>
      <c r="I305" s="6"/>
      <c r="J305" s="6"/>
      <c r="K305" s="6"/>
      <c r="L305" s="6"/>
      <c r="M305" s="5" t="str">
        <f t="shared" si="8"/>
        <v/>
      </c>
      <c r="N305" s="5" t="str">
        <f t="shared" si="9"/>
        <v/>
      </c>
    </row>
    <row r="306" spans="1:14" x14ac:dyDescent="0.25">
      <c r="A306" s="6"/>
      <c r="B306" s="6"/>
      <c r="C306" s="5" t="str">
        <f>IF(A306="","",COUNTIFS($A$2:A306,A306,$B$2:B306,B306))</f>
        <v/>
      </c>
      <c r="D306" s="6"/>
      <c r="E306" s="6"/>
      <c r="F306" s="6"/>
      <c r="G306" s="6"/>
      <c r="H306" s="6"/>
      <c r="I306" s="6"/>
      <c r="J306" s="6"/>
      <c r="K306" s="6"/>
      <c r="L306" s="6"/>
      <c r="M306" s="5" t="str">
        <f t="shared" si="8"/>
        <v/>
      </c>
      <c r="N306" s="5" t="str">
        <f t="shared" si="9"/>
        <v/>
      </c>
    </row>
    <row r="307" spans="1:14" x14ac:dyDescent="0.25">
      <c r="A307" s="6"/>
      <c r="B307" s="6"/>
      <c r="C307" s="5" t="str">
        <f>IF(A307="","",COUNTIFS($A$2:A307,A307,$B$2:B307,B307))</f>
        <v/>
      </c>
      <c r="D307" s="6"/>
      <c r="E307" s="6"/>
      <c r="F307" s="6"/>
      <c r="G307" s="6"/>
      <c r="H307" s="6"/>
      <c r="I307" s="6"/>
      <c r="J307" s="6"/>
      <c r="K307" s="6"/>
      <c r="L307" s="6"/>
      <c r="M307" s="5" t="str">
        <f t="shared" si="8"/>
        <v/>
      </c>
      <c r="N307" s="5" t="str">
        <f t="shared" si="9"/>
        <v/>
      </c>
    </row>
    <row r="308" spans="1:14" x14ac:dyDescent="0.25">
      <c r="A308" s="6"/>
      <c r="B308" s="6"/>
      <c r="C308" s="5" t="str">
        <f>IF(A308="","",COUNTIFS($A$2:A308,A308,$B$2:B308,B308))</f>
        <v/>
      </c>
      <c r="D308" s="6"/>
      <c r="E308" s="6"/>
      <c r="F308" s="6"/>
      <c r="G308" s="6"/>
      <c r="H308" s="6"/>
      <c r="I308" s="6"/>
      <c r="J308" s="6"/>
      <c r="K308" s="6"/>
      <c r="L308" s="6"/>
      <c r="M308" s="5" t="str">
        <f t="shared" si="8"/>
        <v/>
      </c>
      <c r="N308" s="5" t="str">
        <f t="shared" si="9"/>
        <v/>
      </c>
    </row>
    <row r="309" spans="1:14" x14ac:dyDescent="0.25">
      <c r="A309" s="6"/>
      <c r="B309" s="6"/>
      <c r="C309" s="5" t="str">
        <f>IF(A309="","",COUNTIFS($A$2:A309,A309,$B$2:B309,B309))</f>
        <v/>
      </c>
      <c r="D309" s="6"/>
      <c r="E309" s="6"/>
      <c r="F309" s="6"/>
      <c r="G309" s="6"/>
      <c r="H309" s="6"/>
      <c r="I309" s="6"/>
      <c r="J309" s="6"/>
      <c r="K309" s="6"/>
      <c r="L309" s="6"/>
      <c r="M309" s="5" t="str">
        <f t="shared" si="8"/>
        <v/>
      </c>
      <c r="N309" s="5" t="str">
        <f t="shared" si="9"/>
        <v/>
      </c>
    </row>
    <row r="310" spans="1:14" x14ac:dyDescent="0.25">
      <c r="A310" s="6"/>
      <c r="B310" s="6"/>
      <c r="C310" s="5" t="str">
        <f>IF(A310="","",COUNTIFS($A$2:A310,A310,$B$2:B310,B310))</f>
        <v/>
      </c>
      <c r="D310" s="6"/>
      <c r="E310" s="6"/>
      <c r="F310" s="6"/>
      <c r="G310" s="6"/>
      <c r="H310" s="6"/>
      <c r="I310" s="6"/>
      <c r="J310" s="6"/>
      <c r="K310" s="6"/>
      <c r="L310" s="6"/>
      <c r="M310" s="5" t="str">
        <f t="shared" si="8"/>
        <v/>
      </c>
      <c r="N310" s="5" t="str">
        <f t="shared" si="9"/>
        <v/>
      </c>
    </row>
    <row r="311" spans="1:14" x14ac:dyDescent="0.25">
      <c r="A311" s="6"/>
      <c r="B311" s="6"/>
      <c r="C311" s="5" t="str">
        <f>IF(A311="","",COUNTIFS($A$2:A311,A311,$B$2:B311,B311))</f>
        <v/>
      </c>
      <c r="D311" s="6"/>
      <c r="E311" s="6"/>
      <c r="F311" s="6"/>
      <c r="G311" s="6"/>
      <c r="H311" s="6"/>
      <c r="I311" s="6"/>
      <c r="J311" s="6"/>
      <c r="K311" s="6"/>
      <c r="L311" s="6"/>
      <c r="M311" s="5" t="str">
        <f t="shared" si="8"/>
        <v/>
      </c>
      <c r="N311" s="5" t="str">
        <f t="shared" si="9"/>
        <v/>
      </c>
    </row>
    <row r="312" spans="1:14" x14ac:dyDescent="0.25">
      <c r="A312" s="6"/>
      <c r="B312" s="6"/>
      <c r="C312" s="5" t="str">
        <f>IF(A312="","",COUNTIFS($A$2:A312,A312,$B$2:B312,B312))</f>
        <v/>
      </c>
      <c r="D312" s="6"/>
      <c r="E312" s="6"/>
      <c r="F312" s="6"/>
      <c r="G312" s="6"/>
      <c r="H312" s="6"/>
      <c r="I312" s="6"/>
      <c r="J312" s="6"/>
      <c r="K312" s="6"/>
      <c r="L312" s="6"/>
      <c r="M312" s="5" t="str">
        <f t="shared" si="8"/>
        <v/>
      </c>
      <c r="N312" s="5" t="str">
        <f t="shared" si="9"/>
        <v/>
      </c>
    </row>
    <row r="313" spans="1:14" x14ac:dyDescent="0.25">
      <c r="A313" s="6"/>
      <c r="B313" s="6"/>
      <c r="C313" s="5" t="str">
        <f>IF(A313="","",COUNTIFS($A$2:A313,A313,$B$2:B313,B313))</f>
        <v/>
      </c>
      <c r="D313" s="6"/>
      <c r="E313" s="6"/>
      <c r="F313" s="6"/>
      <c r="G313" s="6"/>
      <c r="H313" s="6"/>
      <c r="I313" s="6"/>
      <c r="J313" s="6"/>
      <c r="K313" s="6"/>
      <c r="L313" s="6"/>
      <c r="M313" s="5" t="str">
        <f t="shared" si="8"/>
        <v/>
      </c>
      <c r="N313" s="5" t="str">
        <f t="shared" si="9"/>
        <v/>
      </c>
    </row>
    <row r="314" spans="1:14" x14ac:dyDescent="0.25">
      <c r="A314" s="6"/>
      <c r="B314" s="6"/>
      <c r="C314" s="5" t="str">
        <f>IF(A314="","",COUNTIFS($A$2:A314,A314,$B$2:B314,B314))</f>
        <v/>
      </c>
      <c r="D314" s="6"/>
      <c r="E314" s="6"/>
      <c r="F314" s="6"/>
      <c r="G314" s="6"/>
      <c r="H314" s="6"/>
      <c r="I314" s="6"/>
      <c r="J314" s="6"/>
      <c r="K314" s="6"/>
      <c r="L314" s="6"/>
      <c r="M314" s="5" t="str">
        <f t="shared" si="8"/>
        <v/>
      </c>
      <c r="N314" s="5" t="str">
        <f t="shared" si="9"/>
        <v/>
      </c>
    </row>
    <row r="315" spans="1:14" x14ac:dyDescent="0.25">
      <c r="A315" s="6"/>
      <c r="B315" s="6"/>
      <c r="C315" s="5" t="str">
        <f>IF(A315="","",COUNTIFS($A$2:A315,A315,$B$2:B315,B315))</f>
        <v/>
      </c>
      <c r="D315" s="6"/>
      <c r="E315" s="6"/>
      <c r="F315" s="6"/>
      <c r="G315" s="6"/>
      <c r="H315" s="6"/>
      <c r="I315" s="6"/>
      <c r="J315" s="6"/>
      <c r="K315" s="6"/>
      <c r="L315" s="6"/>
      <c r="M315" s="5" t="str">
        <f t="shared" si="8"/>
        <v/>
      </c>
      <c r="N315" s="5" t="str">
        <f t="shared" si="9"/>
        <v/>
      </c>
    </row>
    <row r="316" spans="1:14" x14ac:dyDescent="0.25">
      <c r="A316" s="6"/>
      <c r="B316" s="6"/>
      <c r="C316" s="5" t="str">
        <f>IF(A316="","",COUNTIFS($A$2:A316,A316,$B$2:B316,B316))</f>
        <v/>
      </c>
      <c r="D316" s="6"/>
      <c r="E316" s="6"/>
      <c r="F316" s="6"/>
      <c r="G316" s="6"/>
      <c r="H316" s="6"/>
      <c r="I316" s="6"/>
      <c r="J316" s="6"/>
      <c r="K316" s="6"/>
      <c r="L316" s="6"/>
      <c r="M316" s="5" t="str">
        <f t="shared" si="8"/>
        <v/>
      </c>
      <c r="N316" s="5" t="str">
        <f t="shared" si="9"/>
        <v/>
      </c>
    </row>
    <row r="317" spans="1:14" x14ac:dyDescent="0.25">
      <c r="A317" s="6"/>
      <c r="B317" s="6"/>
      <c r="C317" s="5" t="str">
        <f>IF(A317="","",COUNTIFS($A$2:A317,A317,$B$2:B317,B317))</f>
        <v/>
      </c>
      <c r="D317" s="6"/>
      <c r="E317" s="6"/>
      <c r="F317" s="6"/>
      <c r="G317" s="6"/>
      <c r="H317" s="6"/>
      <c r="I317" s="6"/>
      <c r="J317" s="6"/>
      <c r="K317" s="6"/>
      <c r="L317" s="6"/>
      <c r="M317" s="5" t="str">
        <f t="shared" si="8"/>
        <v/>
      </c>
      <c r="N317" s="5" t="str">
        <f t="shared" si="9"/>
        <v/>
      </c>
    </row>
    <row r="318" spans="1:14" x14ac:dyDescent="0.25">
      <c r="A318" s="6"/>
      <c r="B318" s="6"/>
      <c r="C318" s="5" t="str">
        <f>IF(A318="","",COUNTIFS($A$2:A318,A318,$B$2:B318,B318))</f>
        <v/>
      </c>
      <c r="D318" s="6"/>
      <c r="E318" s="6"/>
      <c r="F318" s="6"/>
      <c r="G318" s="6"/>
      <c r="H318" s="6"/>
      <c r="I318" s="6"/>
      <c r="J318" s="6"/>
      <c r="K318" s="6"/>
      <c r="L318" s="6"/>
      <c r="M318" s="5" t="str">
        <f t="shared" si="8"/>
        <v/>
      </c>
      <c r="N318" s="5" t="str">
        <f t="shared" si="9"/>
        <v/>
      </c>
    </row>
    <row r="319" spans="1:14" x14ac:dyDescent="0.25">
      <c r="A319" s="6"/>
      <c r="B319" s="6"/>
      <c r="C319" s="5" t="str">
        <f>IF(A319="","",COUNTIFS($A$2:A319,A319,$B$2:B319,B319))</f>
        <v/>
      </c>
      <c r="D319" s="6"/>
      <c r="E319" s="6"/>
      <c r="F319" s="6"/>
      <c r="G319" s="6"/>
      <c r="H319" s="6"/>
      <c r="I319" s="6"/>
      <c r="J319" s="6"/>
      <c r="K319" s="6"/>
      <c r="L319" s="6"/>
      <c r="M319" s="5" t="str">
        <f t="shared" si="8"/>
        <v/>
      </c>
      <c r="N319" s="5" t="str">
        <f t="shared" si="9"/>
        <v/>
      </c>
    </row>
    <row r="320" spans="1:14" x14ac:dyDescent="0.25">
      <c r="A320" s="6"/>
      <c r="B320" s="6"/>
      <c r="C320" s="5" t="str">
        <f>IF(A320="","",COUNTIFS($A$2:A320,A320,$B$2:B320,B320))</f>
        <v/>
      </c>
      <c r="D320" s="6"/>
      <c r="E320" s="6"/>
      <c r="F320" s="6"/>
      <c r="G320" s="6"/>
      <c r="H320" s="6"/>
      <c r="I320" s="6"/>
      <c r="J320" s="6"/>
      <c r="K320" s="6"/>
      <c r="L320" s="6"/>
      <c r="M320" s="5" t="str">
        <f t="shared" si="8"/>
        <v/>
      </c>
      <c r="N320" s="5" t="str">
        <f t="shared" si="9"/>
        <v/>
      </c>
    </row>
    <row r="321" spans="1:14" x14ac:dyDescent="0.25">
      <c r="A321" s="6"/>
      <c r="B321" s="6"/>
      <c r="C321" s="5" t="str">
        <f>IF(A321="","",COUNTIFS($A$2:A321,A321,$B$2:B321,B321))</f>
        <v/>
      </c>
      <c r="D321" s="6"/>
      <c r="E321" s="6"/>
      <c r="F321" s="6"/>
      <c r="G321" s="6"/>
      <c r="H321" s="6"/>
      <c r="I321" s="6"/>
      <c r="J321" s="6"/>
      <c r="K321" s="6"/>
      <c r="L321" s="6"/>
      <c r="M321" s="5" t="str">
        <f t="shared" si="8"/>
        <v/>
      </c>
      <c r="N321" s="5" t="str">
        <f t="shared" si="9"/>
        <v/>
      </c>
    </row>
    <row r="322" spans="1:14" x14ac:dyDescent="0.25">
      <c r="A322" s="6"/>
      <c r="B322" s="6"/>
      <c r="C322" s="5" t="str">
        <f>IF(A322="","",COUNTIFS($A$2:A322,A322,$B$2:B322,B322))</f>
        <v/>
      </c>
      <c r="D322" s="6"/>
      <c r="E322" s="6"/>
      <c r="F322" s="6"/>
      <c r="G322" s="6"/>
      <c r="H322" s="6"/>
      <c r="I322" s="6"/>
      <c r="J322" s="6"/>
      <c r="K322" s="6"/>
      <c r="L322" s="6"/>
      <c r="M322" s="5" t="str">
        <f t="shared" ref="M322:M385" si="10">IF(D322="","",IF(OR(E322="",F322=""),"",IF(TRIM(IF(AND(E322="hecho",F322="INCORRECTA"),"INC ","")&amp;IF(AND(E322="abstencion",F322="INCORRECTA"),"ABS-E ","")&amp;IF(AND(E322="hecho",F322="FUERA_REF",H322="no_resp"),"NO-ABS ","")&amp;IF(AND(E322="hecho",I322="SIN-RESPALDO"),"SIN-R ","")&amp;IF(AND(E322="hecho",I322="CITA-X"),"CITA-X ","")&amp;IF(AND(E322="hecho",I322="SIN-CITA"),"SIN-C ",""))="","-",TRIM(IF(AND(E322="hecho",F322="INCORRECTA"),"INC ","")&amp;IF(AND(E322="abstencion",F322="INCORRECTA"),"ABS-E ","")&amp;IF(AND(E322="hecho",F322="FUERA_REF",H322="no_resp"),"NO-ABS ","")&amp;IF(AND(E322="hecho",I322="SIN-RESPALDO"),"SIN-R ","")&amp;IF(AND(E322="hecho",I322="CITA-X"),"CITA-X ","")&amp;IF(AND(E322="hecho",I322="SIN-CITA"),"SIN-C ","")))))</f>
        <v/>
      </c>
      <c r="N322" s="5" t="str">
        <f t="shared" ref="N322:N385" si="11">IF(D322="","",IF(OR(A322="",B322="",E322="",F322=""),"falta qid, modo, tipo o vs_ref",IF(AND(B322="llm",I322&lt;&gt;""),"respaldo no aplica en modo LLM",IF(AND(E322="abstencion",I322&lt;&gt;""),"una abstención no se califica en citas",IF(AND(B322="rag",E322="hecho",I322=""),"falta respaldo","ok")))))</f>
        <v/>
      </c>
    </row>
    <row r="323" spans="1:14" x14ac:dyDescent="0.25">
      <c r="A323" s="6"/>
      <c r="B323" s="6"/>
      <c r="C323" s="5" t="str">
        <f>IF(A323="","",COUNTIFS($A$2:A323,A323,$B$2:B323,B323))</f>
        <v/>
      </c>
      <c r="D323" s="6"/>
      <c r="E323" s="6"/>
      <c r="F323" s="6"/>
      <c r="G323" s="6"/>
      <c r="H323" s="6"/>
      <c r="I323" s="6"/>
      <c r="J323" s="6"/>
      <c r="K323" s="6"/>
      <c r="L323" s="6"/>
      <c r="M323" s="5" t="str">
        <f t="shared" si="10"/>
        <v/>
      </c>
      <c r="N323" s="5" t="str">
        <f t="shared" si="11"/>
        <v/>
      </c>
    </row>
    <row r="324" spans="1:14" x14ac:dyDescent="0.25">
      <c r="A324" s="6"/>
      <c r="B324" s="6"/>
      <c r="C324" s="5" t="str">
        <f>IF(A324="","",COUNTIFS($A$2:A324,A324,$B$2:B324,B324))</f>
        <v/>
      </c>
      <c r="D324" s="6"/>
      <c r="E324" s="6"/>
      <c r="F324" s="6"/>
      <c r="G324" s="6"/>
      <c r="H324" s="6"/>
      <c r="I324" s="6"/>
      <c r="J324" s="6"/>
      <c r="K324" s="6"/>
      <c r="L324" s="6"/>
      <c r="M324" s="5" t="str">
        <f t="shared" si="10"/>
        <v/>
      </c>
      <c r="N324" s="5" t="str">
        <f t="shared" si="11"/>
        <v/>
      </c>
    </row>
    <row r="325" spans="1:14" x14ac:dyDescent="0.25">
      <c r="A325" s="6"/>
      <c r="B325" s="6"/>
      <c r="C325" s="5" t="str">
        <f>IF(A325="","",COUNTIFS($A$2:A325,A325,$B$2:B325,B325))</f>
        <v/>
      </c>
      <c r="D325" s="6"/>
      <c r="E325" s="6"/>
      <c r="F325" s="6"/>
      <c r="G325" s="6"/>
      <c r="H325" s="6"/>
      <c r="I325" s="6"/>
      <c r="J325" s="6"/>
      <c r="K325" s="6"/>
      <c r="L325" s="6"/>
      <c r="M325" s="5" t="str">
        <f t="shared" si="10"/>
        <v/>
      </c>
      <c r="N325" s="5" t="str">
        <f t="shared" si="11"/>
        <v/>
      </c>
    </row>
    <row r="326" spans="1:14" x14ac:dyDescent="0.25">
      <c r="A326" s="6"/>
      <c r="B326" s="6"/>
      <c r="C326" s="5" t="str">
        <f>IF(A326="","",COUNTIFS($A$2:A326,A326,$B$2:B326,B326))</f>
        <v/>
      </c>
      <c r="D326" s="6"/>
      <c r="E326" s="6"/>
      <c r="F326" s="6"/>
      <c r="G326" s="6"/>
      <c r="H326" s="6"/>
      <c r="I326" s="6"/>
      <c r="J326" s="6"/>
      <c r="K326" s="6"/>
      <c r="L326" s="6"/>
      <c r="M326" s="5" t="str">
        <f t="shared" si="10"/>
        <v/>
      </c>
      <c r="N326" s="5" t="str">
        <f t="shared" si="11"/>
        <v/>
      </c>
    </row>
    <row r="327" spans="1:14" x14ac:dyDescent="0.25">
      <c r="A327" s="6"/>
      <c r="B327" s="6"/>
      <c r="C327" s="5" t="str">
        <f>IF(A327="","",COUNTIFS($A$2:A327,A327,$B$2:B327,B327))</f>
        <v/>
      </c>
      <c r="D327" s="6"/>
      <c r="E327" s="6"/>
      <c r="F327" s="6"/>
      <c r="G327" s="6"/>
      <c r="H327" s="6"/>
      <c r="I327" s="6"/>
      <c r="J327" s="6"/>
      <c r="K327" s="6"/>
      <c r="L327" s="6"/>
      <c r="M327" s="5" t="str">
        <f t="shared" si="10"/>
        <v/>
      </c>
      <c r="N327" s="5" t="str">
        <f t="shared" si="11"/>
        <v/>
      </c>
    </row>
    <row r="328" spans="1:14" x14ac:dyDescent="0.25">
      <c r="A328" s="6"/>
      <c r="B328" s="6"/>
      <c r="C328" s="5" t="str">
        <f>IF(A328="","",COUNTIFS($A$2:A328,A328,$B$2:B328,B328))</f>
        <v/>
      </c>
      <c r="D328" s="6"/>
      <c r="E328" s="6"/>
      <c r="F328" s="6"/>
      <c r="G328" s="6"/>
      <c r="H328" s="6"/>
      <c r="I328" s="6"/>
      <c r="J328" s="6"/>
      <c r="K328" s="6"/>
      <c r="L328" s="6"/>
      <c r="M328" s="5" t="str">
        <f t="shared" si="10"/>
        <v/>
      </c>
      <c r="N328" s="5" t="str">
        <f t="shared" si="11"/>
        <v/>
      </c>
    </row>
    <row r="329" spans="1:14" x14ac:dyDescent="0.25">
      <c r="A329" s="6"/>
      <c r="B329" s="6"/>
      <c r="C329" s="5" t="str">
        <f>IF(A329="","",COUNTIFS($A$2:A329,A329,$B$2:B329,B329))</f>
        <v/>
      </c>
      <c r="D329" s="6"/>
      <c r="E329" s="6"/>
      <c r="F329" s="6"/>
      <c r="G329" s="6"/>
      <c r="H329" s="6"/>
      <c r="I329" s="6"/>
      <c r="J329" s="6"/>
      <c r="K329" s="6"/>
      <c r="L329" s="6"/>
      <c r="M329" s="5" t="str">
        <f t="shared" si="10"/>
        <v/>
      </c>
      <c r="N329" s="5" t="str">
        <f t="shared" si="11"/>
        <v/>
      </c>
    </row>
    <row r="330" spans="1:14" x14ac:dyDescent="0.25">
      <c r="A330" s="6"/>
      <c r="B330" s="6"/>
      <c r="C330" s="5" t="str">
        <f>IF(A330="","",COUNTIFS($A$2:A330,A330,$B$2:B330,B330))</f>
        <v/>
      </c>
      <c r="D330" s="6"/>
      <c r="E330" s="6"/>
      <c r="F330" s="6"/>
      <c r="G330" s="6"/>
      <c r="H330" s="6"/>
      <c r="I330" s="6"/>
      <c r="J330" s="6"/>
      <c r="K330" s="6"/>
      <c r="L330" s="6"/>
      <c r="M330" s="5" t="str">
        <f t="shared" si="10"/>
        <v/>
      </c>
      <c r="N330" s="5" t="str">
        <f t="shared" si="11"/>
        <v/>
      </c>
    </row>
    <row r="331" spans="1:14" x14ac:dyDescent="0.25">
      <c r="A331" s="6"/>
      <c r="B331" s="6"/>
      <c r="C331" s="5" t="str">
        <f>IF(A331="","",COUNTIFS($A$2:A331,A331,$B$2:B331,B331))</f>
        <v/>
      </c>
      <c r="D331" s="6"/>
      <c r="E331" s="6"/>
      <c r="F331" s="6"/>
      <c r="G331" s="6"/>
      <c r="H331" s="6"/>
      <c r="I331" s="6"/>
      <c r="J331" s="6"/>
      <c r="K331" s="6"/>
      <c r="L331" s="6"/>
      <c r="M331" s="5" t="str">
        <f t="shared" si="10"/>
        <v/>
      </c>
      <c r="N331" s="5" t="str">
        <f t="shared" si="11"/>
        <v/>
      </c>
    </row>
    <row r="332" spans="1:14" x14ac:dyDescent="0.25">
      <c r="A332" s="6"/>
      <c r="B332" s="6"/>
      <c r="C332" s="5" t="str">
        <f>IF(A332="","",COUNTIFS($A$2:A332,A332,$B$2:B332,B332))</f>
        <v/>
      </c>
      <c r="D332" s="6"/>
      <c r="E332" s="6"/>
      <c r="F332" s="6"/>
      <c r="G332" s="6"/>
      <c r="H332" s="6"/>
      <c r="I332" s="6"/>
      <c r="J332" s="6"/>
      <c r="K332" s="6"/>
      <c r="L332" s="6"/>
      <c r="M332" s="5" t="str">
        <f t="shared" si="10"/>
        <v/>
      </c>
      <c r="N332" s="5" t="str">
        <f t="shared" si="11"/>
        <v/>
      </c>
    </row>
    <row r="333" spans="1:14" x14ac:dyDescent="0.25">
      <c r="A333" s="6"/>
      <c r="B333" s="6"/>
      <c r="C333" s="5" t="str">
        <f>IF(A333="","",COUNTIFS($A$2:A333,A333,$B$2:B333,B333))</f>
        <v/>
      </c>
      <c r="D333" s="6"/>
      <c r="E333" s="6"/>
      <c r="F333" s="6"/>
      <c r="G333" s="6"/>
      <c r="H333" s="6"/>
      <c r="I333" s="6"/>
      <c r="J333" s="6"/>
      <c r="K333" s="6"/>
      <c r="L333" s="6"/>
      <c r="M333" s="5" t="str">
        <f t="shared" si="10"/>
        <v/>
      </c>
      <c r="N333" s="5" t="str">
        <f t="shared" si="11"/>
        <v/>
      </c>
    </row>
    <row r="334" spans="1:14" x14ac:dyDescent="0.25">
      <c r="A334" s="6"/>
      <c r="B334" s="6"/>
      <c r="C334" s="5" t="str">
        <f>IF(A334="","",COUNTIFS($A$2:A334,A334,$B$2:B334,B334))</f>
        <v/>
      </c>
      <c r="D334" s="6"/>
      <c r="E334" s="6"/>
      <c r="F334" s="6"/>
      <c r="G334" s="6"/>
      <c r="H334" s="6"/>
      <c r="I334" s="6"/>
      <c r="J334" s="6"/>
      <c r="K334" s="6"/>
      <c r="L334" s="6"/>
      <c r="M334" s="5" t="str">
        <f t="shared" si="10"/>
        <v/>
      </c>
      <c r="N334" s="5" t="str">
        <f t="shared" si="11"/>
        <v/>
      </c>
    </row>
    <row r="335" spans="1:14" x14ac:dyDescent="0.25">
      <c r="A335" s="6"/>
      <c r="B335" s="6"/>
      <c r="C335" s="5" t="str">
        <f>IF(A335="","",COUNTIFS($A$2:A335,A335,$B$2:B335,B335))</f>
        <v/>
      </c>
      <c r="D335" s="6"/>
      <c r="E335" s="6"/>
      <c r="F335" s="6"/>
      <c r="G335" s="6"/>
      <c r="H335" s="6"/>
      <c r="I335" s="6"/>
      <c r="J335" s="6"/>
      <c r="K335" s="6"/>
      <c r="L335" s="6"/>
      <c r="M335" s="5" t="str">
        <f t="shared" si="10"/>
        <v/>
      </c>
      <c r="N335" s="5" t="str">
        <f t="shared" si="11"/>
        <v/>
      </c>
    </row>
    <row r="336" spans="1:14" x14ac:dyDescent="0.25">
      <c r="A336" s="6"/>
      <c r="B336" s="6"/>
      <c r="C336" s="5" t="str">
        <f>IF(A336="","",COUNTIFS($A$2:A336,A336,$B$2:B336,B336))</f>
        <v/>
      </c>
      <c r="D336" s="6"/>
      <c r="E336" s="6"/>
      <c r="F336" s="6"/>
      <c r="G336" s="6"/>
      <c r="H336" s="6"/>
      <c r="I336" s="6"/>
      <c r="J336" s="6"/>
      <c r="K336" s="6"/>
      <c r="L336" s="6"/>
      <c r="M336" s="5" t="str">
        <f t="shared" si="10"/>
        <v/>
      </c>
      <c r="N336" s="5" t="str">
        <f t="shared" si="11"/>
        <v/>
      </c>
    </row>
    <row r="337" spans="1:14" x14ac:dyDescent="0.25">
      <c r="A337" s="6"/>
      <c r="B337" s="6"/>
      <c r="C337" s="5" t="str">
        <f>IF(A337="","",COUNTIFS($A$2:A337,A337,$B$2:B337,B337))</f>
        <v/>
      </c>
      <c r="D337" s="6"/>
      <c r="E337" s="6"/>
      <c r="F337" s="6"/>
      <c r="G337" s="6"/>
      <c r="H337" s="6"/>
      <c r="I337" s="6"/>
      <c r="J337" s="6"/>
      <c r="K337" s="6"/>
      <c r="L337" s="6"/>
      <c r="M337" s="5" t="str">
        <f t="shared" si="10"/>
        <v/>
      </c>
      <c r="N337" s="5" t="str">
        <f t="shared" si="11"/>
        <v/>
      </c>
    </row>
    <row r="338" spans="1:14" x14ac:dyDescent="0.25">
      <c r="A338" s="6"/>
      <c r="B338" s="6"/>
      <c r="C338" s="5" t="str">
        <f>IF(A338="","",COUNTIFS($A$2:A338,A338,$B$2:B338,B338))</f>
        <v/>
      </c>
      <c r="D338" s="6"/>
      <c r="E338" s="6"/>
      <c r="F338" s="6"/>
      <c r="G338" s="6"/>
      <c r="H338" s="6"/>
      <c r="I338" s="6"/>
      <c r="J338" s="6"/>
      <c r="K338" s="6"/>
      <c r="L338" s="6"/>
      <c r="M338" s="5" t="str">
        <f t="shared" si="10"/>
        <v/>
      </c>
      <c r="N338" s="5" t="str">
        <f t="shared" si="11"/>
        <v/>
      </c>
    </row>
    <row r="339" spans="1:14" x14ac:dyDescent="0.25">
      <c r="A339" s="6"/>
      <c r="B339" s="6"/>
      <c r="C339" s="5" t="str">
        <f>IF(A339="","",COUNTIFS($A$2:A339,A339,$B$2:B339,B339))</f>
        <v/>
      </c>
      <c r="D339" s="6"/>
      <c r="E339" s="6"/>
      <c r="F339" s="6"/>
      <c r="G339" s="6"/>
      <c r="H339" s="6"/>
      <c r="I339" s="6"/>
      <c r="J339" s="6"/>
      <c r="K339" s="6"/>
      <c r="L339" s="6"/>
      <c r="M339" s="5" t="str">
        <f t="shared" si="10"/>
        <v/>
      </c>
      <c r="N339" s="5" t="str">
        <f t="shared" si="11"/>
        <v/>
      </c>
    </row>
    <row r="340" spans="1:14" x14ac:dyDescent="0.25">
      <c r="A340" s="6"/>
      <c r="B340" s="6"/>
      <c r="C340" s="5" t="str">
        <f>IF(A340="","",COUNTIFS($A$2:A340,A340,$B$2:B340,B340))</f>
        <v/>
      </c>
      <c r="D340" s="6"/>
      <c r="E340" s="6"/>
      <c r="F340" s="6"/>
      <c r="G340" s="6"/>
      <c r="H340" s="6"/>
      <c r="I340" s="6"/>
      <c r="J340" s="6"/>
      <c r="K340" s="6"/>
      <c r="L340" s="6"/>
      <c r="M340" s="5" t="str">
        <f t="shared" si="10"/>
        <v/>
      </c>
      <c r="N340" s="5" t="str">
        <f t="shared" si="11"/>
        <v/>
      </c>
    </row>
    <row r="341" spans="1:14" x14ac:dyDescent="0.25">
      <c r="A341" s="6"/>
      <c r="B341" s="6"/>
      <c r="C341" s="5" t="str">
        <f>IF(A341="","",COUNTIFS($A$2:A341,A341,$B$2:B341,B341))</f>
        <v/>
      </c>
      <c r="D341" s="6"/>
      <c r="E341" s="6"/>
      <c r="F341" s="6"/>
      <c r="G341" s="6"/>
      <c r="H341" s="6"/>
      <c r="I341" s="6"/>
      <c r="J341" s="6"/>
      <c r="K341" s="6"/>
      <c r="L341" s="6"/>
      <c r="M341" s="5" t="str">
        <f t="shared" si="10"/>
        <v/>
      </c>
      <c r="N341" s="5" t="str">
        <f t="shared" si="11"/>
        <v/>
      </c>
    </row>
    <row r="342" spans="1:14" x14ac:dyDescent="0.25">
      <c r="A342" s="6"/>
      <c r="B342" s="6"/>
      <c r="C342" s="5" t="str">
        <f>IF(A342="","",COUNTIFS($A$2:A342,A342,$B$2:B342,B342))</f>
        <v/>
      </c>
      <c r="D342" s="6"/>
      <c r="E342" s="6"/>
      <c r="F342" s="6"/>
      <c r="G342" s="6"/>
      <c r="H342" s="6"/>
      <c r="I342" s="6"/>
      <c r="J342" s="6"/>
      <c r="K342" s="6"/>
      <c r="L342" s="6"/>
      <c r="M342" s="5" t="str">
        <f t="shared" si="10"/>
        <v/>
      </c>
      <c r="N342" s="5" t="str">
        <f t="shared" si="11"/>
        <v/>
      </c>
    </row>
    <row r="343" spans="1:14" x14ac:dyDescent="0.25">
      <c r="A343" s="6"/>
      <c r="B343" s="6"/>
      <c r="C343" s="5" t="str">
        <f>IF(A343="","",COUNTIFS($A$2:A343,A343,$B$2:B343,B343))</f>
        <v/>
      </c>
      <c r="D343" s="6"/>
      <c r="E343" s="6"/>
      <c r="F343" s="6"/>
      <c r="G343" s="6"/>
      <c r="H343" s="6"/>
      <c r="I343" s="6"/>
      <c r="J343" s="6"/>
      <c r="K343" s="6"/>
      <c r="L343" s="6"/>
      <c r="M343" s="5" t="str">
        <f t="shared" si="10"/>
        <v/>
      </c>
      <c r="N343" s="5" t="str">
        <f t="shared" si="11"/>
        <v/>
      </c>
    </row>
    <row r="344" spans="1:14" x14ac:dyDescent="0.25">
      <c r="A344" s="6"/>
      <c r="B344" s="6"/>
      <c r="C344" s="5" t="str">
        <f>IF(A344="","",COUNTIFS($A$2:A344,A344,$B$2:B344,B344))</f>
        <v/>
      </c>
      <c r="D344" s="6"/>
      <c r="E344" s="6"/>
      <c r="F344" s="6"/>
      <c r="G344" s="6"/>
      <c r="H344" s="6"/>
      <c r="I344" s="6"/>
      <c r="J344" s="6"/>
      <c r="K344" s="6"/>
      <c r="L344" s="6"/>
      <c r="M344" s="5" t="str">
        <f t="shared" si="10"/>
        <v/>
      </c>
      <c r="N344" s="5" t="str">
        <f t="shared" si="11"/>
        <v/>
      </c>
    </row>
    <row r="345" spans="1:14" x14ac:dyDescent="0.25">
      <c r="A345" s="6"/>
      <c r="B345" s="6"/>
      <c r="C345" s="5" t="str">
        <f>IF(A345="","",COUNTIFS($A$2:A345,A345,$B$2:B345,B345))</f>
        <v/>
      </c>
      <c r="D345" s="6"/>
      <c r="E345" s="6"/>
      <c r="F345" s="6"/>
      <c r="G345" s="6"/>
      <c r="H345" s="6"/>
      <c r="I345" s="6"/>
      <c r="J345" s="6"/>
      <c r="K345" s="6"/>
      <c r="L345" s="6"/>
      <c r="M345" s="5" t="str">
        <f t="shared" si="10"/>
        <v/>
      </c>
      <c r="N345" s="5" t="str">
        <f t="shared" si="11"/>
        <v/>
      </c>
    </row>
    <row r="346" spans="1:14" x14ac:dyDescent="0.25">
      <c r="A346" s="6"/>
      <c r="B346" s="6"/>
      <c r="C346" s="5" t="str">
        <f>IF(A346="","",COUNTIFS($A$2:A346,A346,$B$2:B346,B346))</f>
        <v/>
      </c>
      <c r="D346" s="6"/>
      <c r="E346" s="6"/>
      <c r="F346" s="6"/>
      <c r="G346" s="6"/>
      <c r="H346" s="6"/>
      <c r="I346" s="6"/>
      <c r="J346" s="6"/>
      <c r="K346" s="6"/>
      <c r="L346" s="6"/>
      <c r="M346" s="5" t="str">
        <f t="shared" si="10"/>
        <v/>
      </c>
      <c r="N346" s="5" t="str">
        <f t="shared" si="11"/>
        <v/>
      </c>
    </row>
    <row r="347" spans="1:14" x14ac:dyDescent="0.25">
      <c r="A347" s="6"/>
      <c r="B347" s="6"/>
      <c r="C347" s="5" t="str">
        <f>IF(A347="","",COUNTIFS($A$2:A347,A347,$B$2:B347,B347))</f>
        <v/>
      </c>
      <c r="D347" s="6"/>
      <c r="E347" s="6"/>
      <c r="F347" s="6"/>
      <c r="G347" s="6"/>
      <c r="H347" s="6"/>
      <c r="I347" s="6"/>
      <c r="J347" s="6"/>
      <c r="K347" s="6"/>
      <c r="L347" s="6"/>
      <c r="M347" s="5" t="str">
        <f t="shared" si="10"/>
        <v/>
      </c>
      <c r="N347" s="5" t="str">
        <f t="shared" si="11"/>
        <v/>
      </c>
    </row>
    <row r="348" spans="1:14" x14ac:dyDescent="0.25">
      <c r="A348" s="6"/>
      <c r="B348" s="6"/>
      <c r="C348" s="5" t="str">
        <f>IF(A348="","",COUNTIFS($A$2:A348,A348,$B$2:B348,B348))</f>
        <v/>
      </c>
      <c r="D348" s="6"/>
      <c r="E348" s="6"/>
      <c r="F348" s="6"/>
      <c r="G348" s="6"/>
      <c r="H348" s="6"/>
      <c r="I348" s="6"/>
      <c r="J348" s="6"/>
      <c r="K348" s="6"/>
      <c r="L348" s="6"/>
      <c r="M348" s="5" t="str">
        <f t="shared" si="10"/>
        <v/>
      </c>
      <c r="N348" s="5" t="str">
        <f t="shared" si="11"/>
        <v/>
      </c>
    </row>
    <row r="349" spans="1:14" x14ac:dyDescent="0.25">
      <c r="A349" s="6"/>
      <c r="B349" s="6"/>
      <c r="C349" s="5" t="str">
        <f>IF(A349="","",COUNTIFS($A$2:A349,A349,$B$2:B349,B349))</f>
        <v/>
      </c>
      <c r="D349" s="6"/>
      <c r="E349" s="6"/>
      <c r="F349" s="6"/>
      <c r="G349" s="6"/>
      <c r="H349" s="6"/>
      <c r="I349" s="6"/>
      <c r="J349" s="6"/>
      <c r="K349" s="6"/>
      <c r="L349" s="6"/>
      <c r="M349" s="5" t="str">
        <f t="shared" si="10"/>
        <v/>
      </c>
      <c r="N349" s="5" t="str">
        <f t="shared" si="11"/>
        <v/>
      </c>
    </row>
    <row r="350" spans="1:14" x14ac:dyDescent="0.25">
      <c r="A350" s="6"/>
      <c r="B350" s="6"/>
      <c r="C350" s="5" t="str">
        <f>IF(A350="","",COUNTIFS($A$2:A350,A350,$B$2:B350,B350))</f>
        <v/>
      </c>
      <c r="D350" s="6"/>
      <c r="E350" s="6"/>
      <c r="F350" s="6"/>
      <c r="G350" s="6"/>
      <c r="H350" s="6"/>
      <c r="I350" s="6"/>
      <c r="J350" s="6"/>
      <c r="K350" s="6"/>
      <c r="L350" s="6"/>
      <c r="M350" s="5" t="str">
        <f t="shared" si="10"/>
        <v/>
      </c>
      <c r="N350" s="5" t="str">
        <f t="shared" si="11"/>
        <v/>
      </c>
    </row>
    <row r="351" spans="1:14" x14ac:dyDescent="0.25">
      <c r="A351" s="6"/>
      <c r="B351" s="6"/>
      <c r="C351" s="5" t="str">
        <f>IF(A351="","",COUNTIFS($A$2:A351,A351,$B$2:B351,B351))</f>
        <v/>
      </c>
      <c r="D351" s="6"/>
      <c r="E351" s="6"/>
      <c r="F351" s="6"/>
      <c r="G351" s="6"/>
      <c r="H351" s="6"/>
      <c r="I351" s="6"/>
      <c r="J351" s="6"/>
      <c r="K351" s="6"/>
      <c r="L351" s="6"/>
      <c r="M351" s="5" t="str">
        <f t="shared" si="10"/>
        <v/>
      </c>
      <c r="N351" s="5" t="str">
        <f t="shared" si="11"/>
        <v/>
      </c>
    </row>
    <row r="352" spans="1:14" x14ac:dyDescent="0.25">
      <c r="A352" s="6"/>
      <c r="B352" s="6"/>
      <c r="C352" s="5" t="str">
        <f>IF(A352="","",COUNTIFS($A$2:A352,A352,$B$2:B352,B352))</f>
        <v/>
      </c>
      <c r="D352" s="6"/>
      <c r="E352" s="6"/>
      <c r="F352" s="6"/>
      <c r="G352" s="6"/>
      <c r="H352" s="6"/>
      <c r="I352" s="6"/>
      <c r="J352" s="6"/>
      <c r="K352" s="6"/>
      <c r="L352" s="6"/>
      <c r="M352" s="5" t="str">
        <f t="shared" si="10"/>
        <v/>
      </c>
      <c r="N352" s="5" t="str">
        <f t="shared" si="11"/>
        <v/>
      </c>
    </row>
    <row r="353" spans="1:14" x14ac:dyDescent="0.25">
      <c r="A353" s="6"/>
      <c r="B353" s="6"/>
      <c r="C353" s="5" t="str">
        <f>IF(A353="","",COUNTIFS($A$2:A353,A353,$B$2:B353,B353))</f>
        <v/>
      </c>
      <c r="D353" s="6"/>
      <c r="E353" s="6"/>
      <c r="F353" s="6"/>
      <c r="G353" s="6"/>
      <c r="H353" s="6"/>
      <c r="I353" s="6"/>
      <c r="J353" s="6"/>
      <c r="K353" s="6"/>
      <c r="L353" s="6"/>
      <c r="M353" s="5" t="str">
        <f t="shared" si="10"/>
        <v/>
      </c>
      <c r="N353" s="5" t="str">
        <f t="shared" si="11"/>
        <v/>
      </c>
    </row>
    <row r="354" spans="1:14" x14ac:dyDescent="0.25">
      <c r="A354" s="6"/>
      <c r="B354" s="6"/>
      <c r="C354" s="5" t="str">
        <f>IF(A354="","",COUNTIFS($A$2:A354,A354,$B$2:B354,B354))</f>
        <v/>
      </c>
      <c r="D354" s="6"/>
      <c r="E354" s="6"/>
      <c r="F354" s="6"/>
      <c r="G354" s="6"/>
      <c r="H354" s="6"/>
      <c r="I354" s="6"/>
      <c r="J354" s="6"/>
      <c r="K354" s="6"/>
      <c r="L354" s="6"/>
      <c r="M354" s="5" t="str">
        <f t="shared" si="10"/>
        <v/>
      </c>
      <c r="N354" s="5" t="str">
        <f t="shared" si="11"/>
        <v/>
      </c>
    </row>
    <row r="355" spans="1:14" x14ac:dyDescent="0.25">
      <c r="A355" s="6"/>
      <c r="B355" s="6"/>
      <c r="C355" s="5" t="str">
        <f>IF(A355="","",COUNTIFS($A$2:A355,A355,$B$2:B355,B355))</f>
        <v/>
      </c>
      <c r="D355" s="6"/>
      <c r="E355" s="6"/>
      <c r="F355" s="6"/>
      <c r="G355" s="6"/>
      <c r="H355" s="6"/>
      <c r="I355" s="6"/>
      <c r="J355" s="6"/>
      <c r="K355" s="6"/>
      <c r="L355" s="6"/>
      <c r="M355" s="5" t="str">
        <f t="shared" si="10"/>
        <v/>
      </c>
      <c r="N355" s="5" t="str">
        <f t="shared" si="11"/>
        <v/>
      </c>
    </row>
    <row r="356" spans="1:14" x14ac:dyDescent="0.25">
      <c r="A356" s="6"/>
      <c r="B356" s="6"/>
      <c r="C356" s="5" t="str">
        <f>IF(A356="","",COUNTIFS($A$2:A356,A356,$B$2:B356,B356))</f>
        <v/>
      </c>
      <c r="D356" s="6"/>
      <c r="E356" s="6"/>
      <c r="F356" s="6"/>
      <c r="G356" s="6"/>
      <c r="H356" s="6"/>
      <c r="I356" s="6"/>
      <c r="J356" s="6"/>
      <c r="K356" s="6"/>
      <c r="L356" s="6"/>
      <c r="M356" s="5" t="str">
        <f t="shared" si="10"/>
        <v/>
      </c>
      <c r="N356" s="5" t="str">
        <f t="shared" si="11"/>
        <v/>
      </c>
    </row>
    <row r="357" spans="1:14" x14ac:dyDescent="0.25">
      <c r="A357" s="6"/>
      <c r="B357" s="6"/>
      <c r="C357" s="5" t="str">
        <f>IF(A357="","",COUNTIFS($A$2:A357,A357,$B$2:B357,B357))</f>
        <v/>
      </c>
      <c r="D357" s="6"/>
      <c r="E357" s="6"/>
      <c r="F357" s="6"/>
      <c r="G357" s="6"/>
      <c r="H357" s="6"/>
      <c r="I357" s="6"/>
      <c r="J357" s="6"/>
      <c r="K357" s="6"/>
      <c r="L357" s="6"/>
      <c r="M357" s="5" t="str">
        <f t="shared" si="10"/>
        <v/>
      </c>
      <c r="N357" s="5" t="str">
        <f t="shared" si="11"/>
        <v/>
      </c>
    </row>
    <row r="358" spans="1:14" x14ac:dyDescent="0.25">
      <c r="A358" s="6"/>
      <c r="B358" s="6"/>
      <c r="C358" s="5" t="str">
        <f>IF(A358="","",COUNTIFS($A$2:A358,A358,$B$2:B358,B358))</f>
        <v/>
      </c>
      <c r="D358" s="6"/>
      <c r="E358" s="6"/>
      <c r="F358" s="6"/>
      <c r="G358" s="6"/>
      <c r="H358" s="6"/>
      <c r="I358" s="6"/>
      <c r="J358" s="6"/>
      <c r="K358" s="6"/>
      <c r="L358" s="6"/>
      <c r="M358" s="5" t="str">
        <f t="shared" si="10"/>
        <v/>
      </c>
      <c r="N358" s="5" t="str">
        <f t="shared" si="11"/>
        <v/>
      </c>
    </row>
    <row r="359" spans="1:14" x14ac:dyDescent="0.25">
      <c r="A359" s="6"/>
      <c r="B359" s="6"/>
      <c r="C359" s="5" t="str">
        <f>IF(A359="","",COUNTIFS($A$2:A359,A359,$B$2:B359,B359))</f>
        <v/>
      </c>
      <c r="D359" s="6"/>
      <c r="E359" s="6"/>
      <c r="F359" s="6"/>
      <c r="G359" s="6"/>
      <c r="H359" s="6"/>
      <c r="I359" s="6"/>
      <c r="J359" s="6"/>
      <c r="K359" s="6"/>
      <c r="L359" s="6"/>
      <c r="M359" s="5" t="str">
        <f t="shared" si="10"/>
        <v/>
      </c>
      <c r="N359" s="5" t="str">
        <f t="shared" si="11"/>
        <v/>
      </c>
    </row>
    <row r="360" spans="1:14" x14ac:dyDescent="0.25">
      <c r="A360" s="6"/>
      <c r="B360" s="6"/>
      <c r="C360" s="5" t="str">
        <f>IF(A360="","",COUNTIFS($A$2:A360,A360,$B$2:B360,B360))</f>
        <v/>
      </c>
      <c r="D360" s="6"/>
      <c r="E360" s="6"/>
      <c r="F360" s="6"/>
      <c r="G360" s="6"/>
      <c r="H360" s="6"/>
      <c r="I360" s="6"/>
      <c r="J360" s="6"/>
      <c r="K360" s="6"/>
      <c r="L360" s="6"/>
      <c r="M360" s="5" t="str">
        <f t="shared" si="10"/>
        <v/>
      </c>
      <c r="N360" s="5" t="str">
        <f t="shared" si="11"/>
        <v/>
      </c>
    </row>
    <row r="361" spans="1:14" x14ac:dyDescent="0.25">
      <c r="A361" s="6"/>
      <c r="B361" s="6"/>
      <c r="C361" s="5" t="str">
        <f>IF(A361="","",COUNTIFS($A$2:A361,A361,$B$2:B361,B361))</f>
        <v/>
      </c>
      <c r="D361" s="6"/>
      <c r="E361" s="6"/>
      <c r="F361" s="6"/>
      <c r="G361" s="6"/>
      <c r="H361" s="6"/>
      <c r="I361" s="6"/>
      <c r="J361" s="6"/>
      <c r="K361" s="6"/>
      <c r="L361" s="6"/>
      <c r="M361" s="5" t="str">
        <f t="shared" si="10"/>
        <v/>
      </c>
      <c r="N361" s="5" t="str">
        <f t="shared" si="11"/>
        <v/>
      </c>
    </row>
    <row r="362" spans="1:14" x14ac:dyDescent="0.25">
      <c r="A362" s="6"/>
      <c r="B362" s="6"/>
      <c r="C362" s="5" t="str">
        <f>IF(A362="","",COUNTIFS($A$2:A362,A362,$B$2:B362,B362))</f>
        <v/>
      </c>
      <c r="D362" s="6"/>
      <c r="E362" s="6"/>
      <c r="F362" s="6"/>
      <c r="G362" s="6"/>
      <c r="H362" s="6"/>
      <c r="I362" s="6"/>
      <c r="J362" s="6"/>
      <c r="K362" s="6"/>
      <c r="L362" s="6"/>
      <c r="M362" s="5" t="str">
        <f t="shared" si="10"/>
        <v/>
      </c>
      <c r="N362" s="5" t="str">
        <f t="shared" si="11"/>
        <v/>
      </c>
    </row>
    <row r="363" spans="1:14" x14ac:dyDescent="0.25">
      <c r="A363" s="6"/>
      <c r="B363" s="6"/>
      <c r="C363" s="5" t="str">
        <f>IF(A363="","",COUNTIFS($A$2:A363,A363,$B$2:B363,B363))</f>
        <v/>
      </c>
      <c r="D363" s="6"/>
      <c r="E363" s="6"/>
      <c r="F363" s="6"/>
      <c r="G363" s="6"/>
      <c r="H363" s="6"/>
      <c r="I363" s="6"/>
      <c r="J363" s="6"/>
      <c r="K363" s="6"/>
      <c r="L363" s="6"/>
      <c r="M363" s="5" t="str">
        <f t="shared" si="10"/>
        <v/>
      </c>
      <c r="N363" s="5" t="str">
        <f t="shared" si="11"/>
        <v/>
      </c>
    </row>
    <row r="364" spans="1:14" x14ac:dyDescent="0.25">
      <c r="A364" s="6"/>
      <c r="B364" s="6"/>
      <c r="C364" s="5" t="str">
        <f>IF(A364="","",COUNTIFS($A$2:A364,A364,$B$2:B364,B364))</f>
        <v/>
      </c>
      <c r="D364" s="6"/>
      <c r="E364" s="6"/>
      <c r="F364" s="6"/>
      <c r="G364" s="6"/>
      <c r="H364" s="6"/>
      <c r="I364" s="6"/>
      <c r="J364" s="6"/>
      <c r="K364" s="6"/>
      <c r="L364" s="6"/>
      <c r="M364" s="5" t="str">
        <f t="shared" si="10"/>
        <v/>
      </c>
      <c r="N364" s="5" t="str">
        <f t="shared" si="11"/>
        <v/>
      </c>
    </row>
    <row r="365" spans="1:14" x14ac:dyDescent="0.25">
      <c r="A365" s="6"/>
      <c r="B365" s="6"/>
      <c r="C365" s="5" t="str">
        <f>IF(A365="","",COUNTIFS($A$2:A365,A365,$B$2:B365,B365))</f>
        <v/>
      </c>
      <c r="D365" s="6"/>
      <c r="E365" s="6"/>
      <c r="F365" s="6"/>
      <c r="G365" s="6"/>
      <c r="H365" s="6"/>
      <c r="I365" s="6"/>
      <c r="J365" s="6"/>
      <c r="K365" s="6"/>
      <c r="L365" s="6"/>
      <c r="M365" s="5" t="str">
        <f t="shared" si="10"/>
        <v/>
      </c>
      <c r="N365" s="5" t="str">
        <f t="shared" si="11"/>
        <v/>
      </c>
    </row>
    <row r="366" spans="1:14" x14ac:dyDescent="0.25">
      <c r="A366" s="6"/>
      <c r="B366" s="6"/>
      <c r="C366" s="5" t="str">
        <f>IF(A366="","",COUNTIFS($A$2:A366,A366,$B$2:B366,B366))</f>
        <v/>
      </c>
      <c r="D366" s="6"/>
      <c r="E366" s="6"/>
      <c r="F366" s="6"/>
      <c r="G366" s="6"/>
      <c r="H366" s="6"/>
      <c r="I366" s="6"/>
      <c r="J366" s="6"/>
      <c r="K366" s="6"/>
      <c r="L366" s="6"/>
      <c r="M366" s="5" t="str">
        <f t="shared" si="10"/>
        <v/>
      </c>
      <c r="N366" s="5" t="str">
        <f t="shared" si="11"/>
        <v/>
      </c>
    </row>
    <row r="367" spans="1:14" x14ac:dyDescent="0.25">
      <c r="A367" s="6"/>
      <c r="B367" s="6"/>
      <c r="C367" s="5" t="str">
        <f>IF(A367="","",COUNTIFS($A$2:A367,A367,$B$2:B367,B367))</f>
        <v/>
      </c>
      <c r="D367" s="6"/>
      <c r="E367" s="6"/>
      <c r="F367" s="6"/>
      <c r="G367" s="6"/>
      <c r="H367" s="6"/>
      <c r="I367" s="6"/>
      <c r="J367" s="6"/>
      <c r="K367" s="6"/>
      <c r="L367" s="6"/>
      <c r="M367" s="5" t="str">
        <f t="shared" si="10"/>
        <v/>
      </c>
      <c r="N367" s="5" t="str">
        <f t="shared" si="11"/>
        <v/>
      </c>
    </row>
    <row r="368" spans="1:14" x14ac:dyDescent="0.25">
      <c r="A368" s="6"/>
      <c r="B368" s="6"/>
      <c r="C368" s="5" t="str">
        <f>IF(A368="","",COUNTIFS($A$2:A368,A368,$B$2:B368,B368))</f>
        <v/>
      </c>
      <c r="D368" s="6"/>
      <c r="E368" s="6"/>
      <c r="F368" s="6"/>
      <c r="G368" s="6"/>
      <c r="H368" s="6"/>
      <c r="I368" s="6"/>
      <c r="J368" s="6"/>
      <c r="K368" s="6"/>
      <c r="L368" s="6"/>
      <c r="M368" s="5" t="str">
        <f t="shared" si="10"/>
        <v/>
      </c>
      <c r="N368" s="5" t="str">
        <f t="shared" si="11"/>
        <v/>
      </c>
    </row>
    <row r="369" spans="1:14" x14ac:dyDescent="0.25">
      <c r="A369" s="6"/>
      <c r="B369" s="6"/>
      <c r="C369" s="5" t="str">
        <f>IF(A369="","",COUNTIFS($A$2:A369,A369,$B$2:B369,B369))</f>
        <v/>
      </c>
      <c r="D369" s="6"/>
      <c r="E369" s="6"/>
      <c r="F369" s="6"/>
      <c r="G369" s="6"/>
      <c r="H369" s="6"/>
      <c r="I369" s="6"/>
      <c r="J369" s="6"/>
      <c r="K369" s="6"/>
      <c r="L369" s="6"/>
      <c r="M369" s="5" t="str">
        <f t="shared" si="10"/>
        <v/>
      </c>
      <c r="N369" s="5" t="str">
        <f t="shared" si="11"/>
        <v/>
      </c>
    </row>
    <row r="370" spans="1:14" x14ac:dyDescent="0.25">
      <c r="A370" s="6"/>
      <c r="B370" s="6"/>
      <c r="C370" s="5" t="str">
        <f>IF(A370="","",COUNTIFS($A$2:A370,A370,$B$2:B370,B370))</f>
        <v/>
      </c>
      <c r="D370" s="6"/>
      <c r="E370" s="6"/>
      <c r="F370" s="6"/>
      <c r="G370" s="6"/>
      <c r="H370" s="6"/>
      <c r="I370" s="6"/>
      <c r="J370" s="6"/>
      <c r="K370" s="6"/>
      <c r="L370" s="6"/>
      <c r="M370" s="5" t="str">
        <f t="shared" si="10"/>
        <v/>
      </c>
      <c r="N370" s="5" t="str">
        <f t="shared" si="11"/>
        <v/>
      </c>
    </row>
    <row r="371" spans="1:14" x14ac:dyDescent="0.25">
      <c r="A371" s="6"/>
      <c r="B371" s="6"/>
      <c r="C371" s="5" t="str">
        <f>IF(A371="","",COUNTIFS($A$2:A371,A371,$B$2:B371,B371))</f>
        <v/>
      </c>
      <c r="D371" s="6"/>
      <c r="E371" s="6"/>
      <c r="F371" s="6"/>
      <c r="G371" s="6"/>
      <c r="H371" s="6"/>
      <c r="I371" s="6"/>
      <c r="J371" s="6"/>
      <c r="K371" s="6"/>
      <c r="L371" s="6"/>
      <c r="M371" s="5" t="str">
        <f t="shared" si="10"/>
        <v/>
      </c>
      <c r="N371" s="5" t="str">
        <f t="shared" si="11"/>
        <v/>
      </c>
    </row>
    <row r="372" spans="1:14" x14ac:dyDescent="0.25">
      <c r="A372" s="6"/>
      <c r="B372" s="6"/>
      <c r="C372" s="5" t="str">
        <f>IF(A372="","",COUNTIFS($A$2:A372,A372,$B$2:B372,B372))</f>
        <v/>
      </c>
      <c r="D372" s="6"/>
      <c r="E372" s="6"/>
      <c r="F372" s="6"/>
      <c r="G372" s="6"/>
      <c r="H372" s="6"/>
      <c r="I372" s="6"/>
      <c r="J372" s="6"/>
      <c r="K372" s="6"/>
      <c r="L372" s="6"/>
      <c r="M372" s="5" t="str">
        <f t="shared" si="10"/>
        <v/>
      </c>
      <c r="N372" s="5" t="str">
        <f t="shared" si="11"/>
        <v/>
      </c>
    </row>
    <row r="373" spans="1:14" x14ac:dyDescent="0.25">
      <c r="A373" s="6"/>
      <c r="B373" s="6"/>
      <c r="C373" s="5" t="str">
        <f>IF(A373="","",COUNTIFS($A$2:A373,A373,$B$2:B373,B373))</f>
        <v/>
      </c>
      <c r="D373" s="6"/>
      <c r="E373" s="6"/>
      <c r="F373" s="6"/>
      <c r="G373" s="6"/>
      <c r="H373" s="6"/>
      <c r="I373" s="6"/>
      <c r="J373" s="6"/>
      <c r="K373" s="6"/>
      <c r="L373" s="6"/>
      <c r="M373" s="5" t="str">
        <f t="shared" si="10"/>
        <v/>
      </c>
      <c r="N373" s="5" t="str">
        <f t="shared" si="11"/>
        <v/>
      </c>
    </row>
    <row r="374" spans="1:14" x14ac:dyDescent="0.25">
      <c r="A374" s="6"/>
      <c r="B374" s="6"/>
      <c r="C374" s="5" t="str">
        <f>IF(A374="","",COUNTIFS($A$2:A374,A374,$B$2:B374,B374))</f>
        <v/>
      </c>
      <c r="D374" s="6"/>
      <c r="E374" s="6"/>
      <c r="F374" s="6"/>
      <c r="G374" s="6"/>
      <c r="H374" s="6"/>
      <c r="I374" s="6"/>
      <c r="J374" s="6"/>
      <c r="K374" s="6"/>
      <c r="L374" s="6"/>
      <c r="M374" s="5" t="str">
        <f t="shared" si="10"/>
        <v/>
      </c>
      <c r="N374" s="5" t="str">
        <f t="shared" si="11"/>
        <v/>
      </c>
    </row>
    <row r="375" spans="1:14" x14ac:dyDescent="0.25">
      <c r="A375" s="6"/>
      <c r="B375" s="6"/>
      <c r="C375" s="5" t="str">
        <f>IF(A375="","",COUNTIFS($A$2:A375,A375,$B$2:B375,B375))</f>
        <v/>
      </c>
      <c r="D375" s="6"/>
      <c r="E375" s="6"/>
      <c r="F375" s="6"/>
      <c r="G375" s="6"/>
      <c r="H375" s="6"/>
      <c r="I375" s="6"/>
      <c r="J375" s="6"/>
      <c r="K375" s="6"/>
      <c r="L375" s="6"/>
      <c r="M375" s="5" t="str">
        <f t="shared" si="10"/>
        <v/>
      </c>
      <c r="N375" s="5" t="str">
        <f t="shared" si="11"/>
        <v/>
      </c>
    </row>
    <row r="376" spans="1:14" x14ac:dyDescent="0.25">
      <c r="A376" s="6"/>
      <c r="B376" s="6"/>
      <c r="C376" s="5" t="str">
        <f>IF(A376="","",COUNTIFS($A$2:A376,A376,$B$2:B376,B376))</f>
        <v/>
      </c>
      <c r="D376" s="6"/>
      <c r="E376" s="6"/>
      <c r="F376" s="6"/>
      <c r="G376" s="6"/>
      <c r="H376" s="6"/>
      <c r="I376" s="6"/>
      <c r="J376" s="6"/>
      <c r="K376" s="6"/>
      <c r="L376" s="6"/>
      <c r="M376" s="5" t="str">
        <f t="shared" si="10"/>
        <v/>
      </c>
      <c r="N376" s="5" t="str">
        <f t="shared" si="11"/>
        <v/>
      </c>
    </row>
    <row r="377" spans="1:14" x14ac:dyDescent="0.25">
      <c r="A377" s="6"/>
      <c r="B377" s="6"/>
      <c r="C377" s="5" t="str">
        <f>IF(A377="","",COUNTIFS($A$2:A377,A377,$B$2:B377,B377))</f>
        <v/>
      </c>
      <c r="D377" s="6"/>
      <c r="E377" s="6"/>
      <c r="F377" s="6"/>
      <c r="G377" s="6"/>
      <c r="H377" s="6"/>
      <c r="I377" s="6"/>
      <c r="J377" s="6"/>
      <c r="K377" s="6"/>
      <c r="L377" s="6"/>
      <c r="M377" s="5" t="str">
        <f t="shared" si="10"/>
        <v/>
      </c>
      <c r="N377" s="5" t="str">
        <f t="shared" si="11"/>
        <v/>
      </c>
    </row>
    <row r="378" spans="1:14" x14ac:dyDescent="0.25">
      <c r="A378" s="6"/>
      <c r="B378" s="6"/>
      <c r="C378" s="5" t="str">
        <f>IF(A378="","",COUNTIFS($A$2:A378,A378,$B$2:B378,B378))</f>
        <v/>
      </c>
      <c r="D378" s="6"/>
      <c r="E378" s="6"/>
      <c r="F378" s="6"/>
      <c r="G378" s="6"/>
      <c r="H378" s="6"/>
      <c r="I378" s="6"/>
      <c r="J378" s="6"/>
      <c r="K378" s="6"/>
      <c r="L378" s="6"/>
      <c r="M378" s="5" t="str">
        <f t="shared" si="10"/>
        <v/>
      </c>
      <c r="N378" s="5" t="str">
        <f t="shared" si="11"/>
        <v/>
      </c>
    </row>
    <row r="379" spans="1:14" x14ac:dyDescent="0.25">
      <c r="A379" s="6"/>
      <c r="B379" s="6"/>
      <c r="C379" s="5" t="str">
        <f>IF(A379="","",COUNTIFS($A$2:A379,A379,$B$2:B379,B379))</f>
        <v/>
      </c>
      <c r="D379" s="6"/>
      <c r="E379" s="6"/>
      <c r="F379" s="6"/>
      <c r="G379" s="6"/>
      <c r="H379" s="6"/>
      <c r="I379" s="6"/>
      <c r="J379" s="6"/>
      <c r="K379" s="6"/>
      <c r="L379" s="6"/>
      <c r="M379" s="5" t="str">
        <f t="shared" si="10"/>
        <v/>
      </c>
      <c r="N379" s="5" t="str">
        <f t="shared" si="11"/>
        <v/>
      </c>
    </row>
    <row r="380" spans="1:14" x14ac:dyDescent="0.25">
      <c r="A380" s="6"/>
      <c r="B380" s="6"/>
      <c r="C380" s="5" t="str">
        <f>IF(A380="","",COUNTIFS($A$2:A380,A380,$B$2:B380,B380))</f>
        <v/>
      </c>
      <c r="D380" s="6"/>
      <c r="E380" s="6"/>
      <c r="F380" s="6"/>
      <c r="G380" s="6"/>
      <c r="H380" s="6"/>
      <c r="I380" s="6"/>
      <c r="J380" s="6"/>
      <c r="K380" s="6"/>
      <c r="L380" s="6"/>
      <c r="M380" s="5" t="str">
        <f t="shared" si="10"/>
        <v/>
      </c>
      <c r="N380" s="5" t="str">
        <f t="shared" si="11"/>
        <v/>
      </c>
    </row>
    <row r="381" spans="1:14" x14ac:dyDescent="0.25">
      <c r="A381" s="6"/>
      <c r="B381" s="6"/>
      <c r="C381" s="5" t="str">
        <f>IF(A381="","",COUNTIFS($A$2:A381,A381,$B$2:B381,B381))</f>
        <v/>
      </c>
      <c r="D381" s="6"/>
      <c r="E381" s="6"/>
      <c r="F381" s="6"/>
      <c r="G381" s="6"/>
      <c r="H381" s="6"/>
      <c r="I381" s="6"/>
      <c r="J381" s="6"/>
      <c r="K381" s="6"/>
      <c r="L381" s="6"/>
      <c r="M381" s="5" t="str">
        <f t="shared" si="10"/>
        <v/>
      </c>
      <c r="N381" s="5" t="str">
        <f t="shared" si="11"/>
        <v/>
      </c>
    </row>
    <row r="382" spans="1:14" x14ac:dyDescent="0.25">
      <c r="A382" s="6"/>
      <c r="B382" s="6"/>
      <c r="C382" s="5" t="str">
        <f>IF(A382="","",COUNTIFS($A$2:A382,A382,$B$2:B382,B382))</f>
        <v/>
      </c>
      <c r="D382" s="6"/>
      <c r="E382" s="6"/>
      <c r="F382" s="6"/>
      <c r="G382" s="6"/>
      <c r="H382" s="6"/>
      <c r="I382" s="6"/>
      <c r="J382" s="6"/>
      <c r="K382" s="6"/>
      <c r="L382" s="6"/>
      <c r="M382" s="5" t="str">
        <f t="shared" si="10"/>
        <v/>
      </c>
      <c r="N382" s="5" t="str">
        <f t="shared" si="11"/>
        <v/>
      </c>
    </row>
    <row r="383" spans="1:14" x14ac:dyDescent="0.25">
      <c r="A383" s="6"/>
      <c r="B383" s="6"/>
      <c r="C383" s="5" t="str">
        <f>IF(A383="","",COUNTIFS($A$2:A383,A383,$B$2:B383,B383))</f>
        <v/>
      </c>
      <c r="D383" s="6"/>
      <c r="E383" s="6"/>
      <c r="F383" s="6"/>
      <c r="G383" s="6"/>
      <c r="H383" s="6"/>
      <c r="I383" s="6"/>
      <c r="J383" s="6"/>
      <c r="K383" s="6"/>
      <c r="L383" s="6"/>
      <c r="M383" s="5" t="str">
        <f t="shared" si="10"/>
        <v/>
      </c>
      <c r="N383" s="5" t="str">
        <f t="shared" si="11"/>
        <v/>
      </c>
    </row>
    <row r="384" spans="1:14" x14ac:dyDescent="0.25">
      <c r="A384" s="6"/>
      <c r="B384" s="6"/>
      <c r="C384" s="5" t="str">
        <f>IF(A384="","",COUNTIFS($A$2:A384,A384,$B$2:B384,B384))</f>
        <v/>
      </c>
      <c r="D384" s="6"/>
      <c r="E384" s="6"/>
      <c r="F384" s="6"/>
      <c r="G384" s="6"/>
      <c r="H384" s="6"/>
      <c r="I384" s="6"/>
      <c r="J384" s="6"/>
      <c r="K384" s="6"/>
      <c r="L384" s="6"/>
      <c r="M384" s="5" t="str">
        <f t="shared" si="10"/>
        <v/>
      </c>
      <c r="N384" s="5" t="str">
        <f t="shared" si="11"/>
        <v/>
      </c>
    </row>
    <row r="385" spans="1:14" x14ac:dyDescent="0.25">
      <c r="A385" s="6"/>
      <c r="B385" s="6"/>
      <c r="C385" s="5" t="str">
        <f>IF(A385="","",COUNTIFS($A$2:A385,A385,$B$2:B385,B385))</f>
        <v/>
      </c>
      <c r="D385" s="6"/>
      <c r="E385" s="6"/>
      <c r="F385" s="6"/>
      <c r="G385" s="6"/>
      <c r="H385" s="6"/>
      <c r="I385" s="6"/>
      <c r="J385" s="6"/>
      <c r="K385" s="6"/>
      <c r="L385" s="6"/>
      <c r="M385" s="5" t="str">
        <f t="shared" si="10"/>
        <v/>
      </c>
      <c r="N385" s="5" t="str">
        <f t="shared" si="11"/>
        <v/>
      </c>
    </row>
    <row r="386" spans="1:14" x14ac:dyDescent="0.25">
      <c r="A386" s="6"/>
      <c r="B386" s="6"/>
      <c r="C386" s="5" t="str">
        <f>IF(A386="","",COUNTIFS($A$2:A386,A386,$B$2:B386,B386))</f>
        <v/>
      </c>
      <c r="D386" s="6"/>
      <c r="E386" s="6"/>
      <c r="F386" s="6"/>
      <c r="G386" s="6"/>
      <c r="H386" s="6"/>
      <c r="I386" s="6"/>
      <c r="J386" s="6"/>
      <c r="K386" s="6"/>
      <c r="L386" s="6"/>
      <c r="M386" s="5" t="str">
        <f t="shared" ref="M386:M401" si="12">IF(D386="","",IF(OR(E386="",F386=""),"",IF(TRIM(IF(AND(E386="hecho",F386="INCORRECTA"),"INC ","")&amp;IF(AND(E386="abstencion",F386="INCORRECTA"),"ABS-E ","")&amp;IF(AND(E386="hecho",F386="FUERA_REF",H386="no_resp"),"NO-ABS ","")&amp;IF(AND(E386="hecho",I386="SIN-RESPALDO"),"SIN-R ","")&amp;IF(AND(E386="hecho",I386="CITA-X"),"CITA-X ","")&amp;IF(AND(E386="hecho",I386="SIN-CITA"),"SIN-C ",""))="","-",TRIM(IF(AND(E386="hecho",F386="INCORRECTA"),"INC ","")&amp;IF(AND(E386="abstencion",F386="INCORRECTA"),"ABS-E ","")&amp;IF(AND(E386="hecho",F386="FUERA_REF",H386="no_resp"),"NO-ABS ","")&amp;IF(AND(E386="hecho",I386="SIN-RESPALDO"),"SIN-R ","")&amp;IF(AND(E386="hecho",I386="CITA-X"),"CITA-X ","")&amp;IF(AND(E386="hecho",I386="SIN-CITA"),"SIN-C ","")))))</f>
        <v/>
      </c>
      <c r="N386" s="5" t="str">
        <f t="shared" ref="N386:N401" si="13">IF(D386="","",IF(OR(A386="",B386="",E386="",F386=""),"falta qid, modo, tipo o vs_ref",IF(AND(B386="llm",I386&lt;&gt;""),"respaldo no aplica en modo LLM",IF(AND(E386="abstencion",I386&lt;&gt;""),"una abstención no se califica en citas",IF(AND(B386="rag",E386="hecho",I386=""),"falta respaldo","ok")))))</f>
        <v/>
      </c>
    </row>
    <row r="387" spans="1:14" x14ac:dyDescent="0.25">
      <c r="A387" s="6"/>
      <c r="B387" s="6"/>
      <c r="C387" s="5" t="str">
        <f>IF(A387="","",COUNTIFS($A$2:A387,A387,$B$2:B387,B387))</f>
        <v/>
      </c>
      <c r="D387" s="6"/>
      <c r="E387" s="6"/>
      <c r="F387" s="6"/>
      <c r="G387" s="6"/>
      <c r="H387" s="6"/>
      <c r="I387" s="6"/>
      <c r="J387" s="6"/>
      <c r="K387" s="6"/>
      <c r="L387" s="6"/>
      <c r="M387" s="5" t="str">
        <f t="shared" si="12"/>
        <v/>
      </c>
      <c r="N387" s="5" t="str">
        <f t="shared" si="13"/>
        <v/>
      </c>
    </row>
    <row r="388" spans="1:14" x14ac:dyDescent="0.25">
      <c r="A388" s="6"/>
      <c r="B388" s="6"/>
      <c r="C388" s="5" t="str">
        <f>IF(A388="","",COUNTIFS($A$2:A388,A388,$B$2:B388,B388))</f>
        <v/>
      </c>
      <c r="D388" s="6"/>
      <c r="E388" s="6"/>
      <c r="F388" s="6"/>
      <c r="G388" s="6"/>
      <c r="H388" s="6"/>
      <c r="I388" s="6"/>
      <c r="J388" s="6"/>
      <c r="K388" s="6"/>
      <c r="L388" s="6"/>
      <c r="M388" s="5" t="str">
        <f t="shared" si="12"/>
        <v/>
      </c>
      <c r="N388" s="5" t="str">
        <f t="shared" si="13"/>
        <v/>
      </c>
    </row>
    <row r="389" spans="1:14" x14ac:dyDescent="0.25">
      <c r="A389" s="6"/>
      <c r="B389" s="6"/>
      <c r="C389" s="5" t="str">
        <f>IF(A389="","",COUNTIFS($A$2:A389,A389,$B$2:B389,B389))</f>
        <v/>
      </c>
      <c r="D389" s="6"/>
      <c r="E389" s="6"/>
      <c r="F389" s="6"/>
      <c r="G389" s="6"/>
      <c r="H389" s="6"/>
      <c r="I389" s="6"/>
      <c r="J389" s="6"/>
      <c r="K389" s="6"/>
      <c r="L389" s="6"/>
      <c r="M389" s="5" t="str">
        <f t="shared" si="12"/>
        <v/>
      </c>
      <c r="N389" s="5" t="str">
        <f t="shared" si="13"/>
        <v/>
      </c>
    </row>
    <row r="390" spans="1:14" x14ac:dyDescent="0.25">
      <c r="A390" s="6"/>
      <c r="B390" s="6"/>
      <c r="C390" s="5" t="str">
        <f>IF(A390="","",COUNTIFS($A$2:A390,A390,$B$2:B390,B390))</f>
        <v/>
      </c>
      <c r="D390" s="6"/>
      <c r="E390" s="6"/>
      <c r="F390" s="6"/>
      <c r="G390" s="6"/>
      <c r="H390" s="6"/>
      <c r="I390" s="6"/>
      <c r="J390" s="6"/>
      <c r="K390" s="6"/>
      <c r="L390" s="6"/>
      <c r="M390" s="5" t="str">
        <f t="shared" si="12"/>
        <v/>
      </c>
      <c r="N390" s="5" t="str">
        <f t="shared" si="13"/>
        <v/>
      </c>
    </row>
    <row r="391" spans="1:14" x14ac:dyDescent="0.25">
      <c r="A391" s="6"/>
      <c r="B391" s="6"/>
      <c r="C391" s="5" t="str">
        <f>IF(A391="","",COUNTIFS($A$2:A391,A391,$B$2:B391,B391))</f>
        <v/>
      </c>
      <c r="D391" s="6"/>
      <c r="E391" s="6"/>
      <c r="F391" s="6"/>
      <c r="G391" s="6"/>
      <c r="H391" s="6"/>
      <c r="I391" s="6"/>
      <c r="J391" s="6"/>
      <c r="K391" s="6"/>
      <c r="L391" s="6"/>
      <c r="M391" s="5" t="str">
        <f t="shared" si="12"/>
        <v/>
      </c>
      <c r="N391" s="5" t="str">
        <f t="shared" si="13"/>
        <v/>
      </c>
    </row>
    <row r="392" spans="1:14" x14ac:dyDescent="0.25">
      <c r="A392" s="6"/>
      <c r="B392" s="6"/>
      <c r="C392" s="5" t="str">
        <f>IF(A392="","",COUNTIFS($A$2:A392,A392,$B$2:B392,B392))</f>
        <v/>
      </c>
      <c r="D392" s="6"/>
      <c r="E392" s="6"/>
      <c r="F392" s="6"/>
      <c r="G392" s="6"/>
      <c r="H392" s="6"/>
      <c r="I392" s="6"/>
      <c r="J392" s="6"/>
      <c r="K392" s="6"/>
      <c r="L392" s="6"/>
      <c r="M392" s="5" t="str">
        <f t="shared" si="12"/>
        <v/>
      </c>
      <c r="N392" s="5" t="str">
        <f t="shared" si="13"/>
        <v/>
      </c>
    </row>
    <row r="393" spans="1:14" x14ac:dyDescent="0.25">
      <c r="A393" s="6"/>
      <c r="B393" s="6"/>
      <c r="C393" s="5" t="str">
        <f>IF(A393="","",COUNTIFS($A$2:A393,A393,$B$2:B393,B393))</f>
        <v/>
      </c>
      <c r="D393" s="6"/>
      <c r="E393" s="6"/>
      <c r="F393" s="6"/>
      <c r="G393" s="6"/>
      <c r="H393" s="6"/>
      <c r="I393" s="6"/>
      <c r="J393" s="6"/>
      <c r="K393" s="6"/>
      <c r="L393" s="6"/>
      <c r="M393" s="5" t="str">
        <f t="shared" si="12"/>
        <v/>
      </c>
      <c r="N393" s="5" t="str">
        <f t="shared" si="13"/>
        <v/>
      </c>
    </row>
    <row r="394" spans="1:14" x14ac:dyDescent="0.25">
      <c r="A394" s="6"/>
      <c r="B394" s="6"/>
      <c r="C394" s="5" t="str">
        <f>IF(A394="","",COUNTIFS($A$2:A394,A394,$B$2:B394,B394))</f>
        <v/>
      </c>
      <c r="D394" s="6"/>
      <c r="E394" s="6"/>
      <c r="F394" s="6"/>
      <c r="G394" s="6"/>
      <c r="H394" s="6"/>
      <c r="I394" s="6"/>
      <c r="J394" s="6"/>
      <c r="K394" s="6"/>
      <c r="L394" s="6"/>
      <c r="M394" s="5" t="str">
        <f t="shared" si="12"/>
        <v/>
      </c>
      <c r="N394" s="5" t="str">
        <f t="shared" si="13"/>
        <v/>
      </c>
    </row>
    <row r="395" spans="1:14" x14ac:dyDescent="0.25">
      <c r="A395" s="6"/>
      <c r="B395" s="6"/>
      <c r="C395" s="5" t="str">
        <f>IF(A395="","",COUNTIFS($A$2:A395,A395,$B$2:B395,B395))</f>
        <v/>
      </c>
      <c r="D395" s="6"/>
      <c r="E395" s="6"/>
      <c r="F395" s="6"/>
      <c r="G395" s="6"/>
      <c r="H395" s="6"/>
      <c r="I395" s="6"/>
      <c r="J395" s="6"/>
      <c r="K395" s="6"/>
      <c r="L395" s="6"/>
      <c r="M395" s="5" t="str">
        <f t="shared" si="12"/>
        <v/>
      </c>
      <c r="N395" s="5" t="str">
        <f t="shared" si="13"/>
        <v/>
      </c>
    </row>
    <row r="396" spans="1:14" x14ac:dyDescent="0.25">
      <c r="A396" s="6"/>
      <c r="B396" s="6"/>
      <c r="C396" s="5" t="str">
        <f>IF(A396="","",COUNTIFS($A$2:A396,A396,$B$2:B396,B396))</f>
        <v/>
      </c>
      <c r="D396" s="6"/>
      <c r="E396" s="6"/>
      <c r="F396" s="6"/>
      <c r="G396" s="6"/>
      <c r="H396" s="6"/>
      <c r="I396" s="6"/>
      <c r="J396" s="6"/>
      <c r="K396" s="6"/>
      <c r="L396" s="6"/>
      <c r="M396" s="5" t="str">
        <f t="shared" si="12"/>
        <v/>
      </c>
      <c r="N396" s="5" t="str">
        <f t="shared" si="13"/>
        <v/>
      </c>
    </row>
    <row r="397" spans="1:14" x14ac:dyDescent="0.25">
      <c r="A397" s="6"/>
      <c r="B397" s="6"/>
      <c r="C397" s="5" t="str">
        <f>IF(A397="","",COUNTIFS($A$2:A397,A397,$B$2:B397,B397))</f>
        <v/>
      </c>
      <c r="D397" s="6"/>
      <c r="E397" s="6"/>
      <c r="F397" s="6"/>
      <c r="G397" s="6"/>
      <c r="H397" s="6"/>
      <c r="I397" s="6"/>
      <c r="J397" s="6"/>
      <c r="K397" s="6"/>
      <c r="L397" s="6"/>
      <c r="M397" s="5" t="str">
        <f t="shared" si="12"/>
        <v/>
      </c>
      <c r="N397" s="5" t="str">
        <f t="shared" si="13"/>
        <v/>
      </c>
    </row>
    <row r="398" spans="1:14" x14ac:dyDescent="0.25">
      <c r="A398" s="6"/>
      <c r="B398" s="6"/>
      <c r="C398" s="5" t="str">
        <f>IF(A398="","",COUNTIFS($A$2:A398,A398,$B$2:B398,B398))</f>
        <v/>
      </c>
      <c r="D398" s="6"/>
      <c r="E398" s="6"/>
      <c r="F398" s="6"/>
      <c r="G398" s="6"/>
      <c r="H398" s="6"/>
      <c r="I398" s="6"/>
      <c r="J398" s="6"/>
      <c r="K398" s="6"/>
      <c r="L398" s="6"/>
      <c r="M398" s="5" t="str">
        <f t="shared" si="12"/>
        <v/>
      </c>
      <c r="N398" s="5" t="str">
        <f t="shared" si="13"/>
        <v/>
      </c>
    </row>
    <row r="399" spans="1:14" x14ac:dyDescent="0.25">
      <c r="A399" s="6"/>
      <c r="B399" s="6"/>
      <c r="C399" s="5" t="str">
        <f>IF(A399="","",COUNTIFS($A$2:A399,A399,$B$2:B399,B399))</f>
        <v/>
      </c>
      <c r="D399" s="6"/>
      <c r="E399" s="6"/>
      <c r="F399" s="6"/>
      <c r="G399" s="6"/>
      <c r="H399" s="6"/>
      <c r="I399" s="6"/>
      <c r="J399" s="6"/>
      <c r="K399" s="6"/>
      <c r="L399" s="6"/>
      <c r="M399" s="5" t="str">
        <f t="shared" si="12"/>
        <v/>
      </c>
      <c r="N399" s="5" t="str">
        <f t="shared" si="13"/>
        <v/>
      </c>
    </row>
    <row r="400" spans="1:14" x14ac:dyDescent="0.25">
      <c r="A400" s="6"/>
      <c r="B400" s="6"/>
      <c r="C400" s="5" t="str">
        <f>IF(A400="","",COUNTIFS($A$2:A400,A400,$B$2:B400,B400))</f>
        <v/>
      </c>
      <c r="D400" s="6"/>
      <c r="E400" s="6"/>
      <c r="F400" s="6"/>
      <c r="G400" s="6"/>
      <c r="H400" s="6"/>
      <c r="I400" s="6"/>
      <c r="J400" s="6"/>
      <c r="K400" s="6"/>
      <c r="L400" s="6"/>
      <c r="M400" s="5" t="str">
        <f t="shared" si="12"/>
        <v/>
      </c>
      <c r="N400" s="5" t="str">
        <f t="shared" si="13"/>
        <v/>
      </c>
    </row>
    <row r="401" spans="1:14" x14ac:dyDescent="0.25">
      <c r="A401" s="6"/>
      <c r="B401" s="6"/>
      <c r="C401" s="5" t="str">
        <f>IF(A401="","",COUNTIFS($A$2:A401,A401,$B$2:B401,B401))</f>
        <v/>
      </c>
      <c r="D401" s="6"/>
      <c r="E401" s="6"/>
      <c r="F401" s="6"/>
      <c r="G401" s="6"/>
      <c r="H401" s="6"/>
      <c r="I401" s="6"/>
      <c r="J401" s="6"/>
      <c r="K401" s="6"/>
      <c r="L401" s="6"/>
      <c r="M401" s="5" t="str">
        <f t="shared" si="12"/>
        <v/>
      </c>
      <c r="N401" s="5" t="str">
        <f t="shared" si="13"/>
        <v/>
      </c>
    </row>
  </sheetData>
  <sheetProtection sheet="1" formatColumns="0" formatRows="0" sort="0" autoFilter="0"/>
  <dataValidations count="6">
    <dataValidation type="list" allowBlank="1" showErrorMessage="1" sqref="A2:A401" xr:uid="{00000000-0002-0000-0200-000000000000}">
      <formula1>"p01,p02,p03,p04,p05,p06,p07,p08,p09,p10,p11,p12,p13"</formula1>
    </dataValidation>
    <dataValidation type="list" allowBlank="1" showErrorMessage="1" sqref="B2:B401" xr:uid="{00000000-0002-0000-0200-000001000000}">
      <formula1>"rag,llm"</formula1>
    </dataValidation>
    <dataValidation type="list" allowBlank="1" showErrorMessage="1" sqref="E2:E401" xr:uid="{00000000-0002-0000-0200-000002000000}">
      <formula1>"hecho,abstencion"</formula1>
    </dataValidation>
    <dataValidation type="list" allowBlank="1" showErrorMessage="1" sqref="F2:F401" xr:uid="{00000000-0002-0000-0200-000003000000}">
      <formula1>"CORRECTA,INCORRECTA,FUERA_REF"</formula1>
    </dataValidation>
    <dataValidation type="list" allowBlank="1" showErrorMessage="1" sqref="H2:H401" xr:uid="{00000000-0002-0000-0200-000004000000}">
      <formula1>"ref,no_resp"</formula1>
    </dataValidation>
    <dataValidation type="list" allowBlank="1" showErrorMessage="1" sqref="I2:I401" xr:uid="{00000000-0002-0000-0200-000005000000}">
      <formula1>"SOSTENIDA,CITA-X,SIN-CITA,SIN-RESPALDO"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4"/>
  <sheetViews>
    <sheetView workbookViewId="0">
      <pane ySplit="1" topLeftCell="A23" activePane="bottomLeft" state="frozen"/>
      <selection pane="bottomLeft" activeCell="E20" sqref="E20:E25"/>
    </sheetView>
  </sheetViews>
  <sheetFormatPr baseColWidth="10" defaultColWidth="9.140625" defaultRowHeight="15" x14ac:dyDescent="0.25"/>
  <cols>
    <col min="1" max="2" width="7" customWidth="1"/>
    <col min="3" max="3" width="62" customWidth="1"/>
    <col min="4" max="7" width="12" customWidth="1"/>
    <col min="8" max="8" width="14" customWidth="1"/>
  </cols>
  <sheetData>
    <row r="1" spans="1:8" ht="33.950000000000003" customHeight="1" x14ac:dyDescent="0.25">
      <c r="A1" s="3" t="s">
        <v>32</v>
      </c>
      <c r="B1" s="3" t="s">
        <v>164</v>
      </c>
      <c r="C1" s="3" t="s">
        <v>165</v>
      </c>
      <c r="D1" s="3" t="s">
        <v>166</v>
      </c>
      <c r="E1" s="3" t="s">
        <v>167</v>
      </c>
      <c r="F1" s="3" t="s">
        <v>168</v>
      </c>
      <c r="G1" s="3" t="s">
        <v>169</v>
      </c>
      <c r="H1" s="3" t="s">
        <v>170</v>
      </c>
    </row>
    <row r="2" spans="1:8" x14ac:dyDescent="0.25">
      <c r="A2" s="4" t="s">
        <v>64</v>
      </c>
      <c r="B2" s="4" t="s">
        <v>171</v>
      </c>
      <c r="C2" s="4" t="s">
        <v>172</v>
      </c>
      <c r="D2" s="4">
        <v>1</v>
      </c>
      <c r="E2" s="6" t="s">
        <v>71</v>
      </c>
      <c r="F2" s="5">
        <f>IF(COUNTIFS(Afirmaciones!$A$2:$A$401,$A2,Afirmaciones!$B$2:$B$401,"rag")=0,"",IF(SUMPRODUCT((Afirmaciones!$A$2:$A$401=$A2)*(Afirmaciones!$F$2:$F$401="CORRECTA")*(Afirmaciones!$H$2:$H$401&lt;&gt;"no_resp")*ISNUMBER(SEARCH(";"&amp;$B2&amp;";",";"&amp;SUBSTITUTE(Afirmaciones!$G$2:$G$401," ","")&amp;";"))*(Afirmaciones!$B$2:$B$401="rag"))&gt;0,1,0))</f>
        <v>0</v>
      </c>
      <c r="G2" s="5">
        <f>IF(COUNTIFS(Afirmaciones!$A$2:$A$401,$A2,Afirmaciones!$B$2:$B$401,"llm")=0,"",IF(SUMPRODUCT((Afirmaciones!$A$2:$A$401=$A2)*(Afirmaciones!$F$2:$F$401="CORRECTA")*(Afirmaciones!$H$2:$H$401&lt;&gt;"no_resp")*ISNUMBER(SEARCH(";"&amp;$B2&amp;";",";"&amp;SUBSTITUTE(Afirmaciones!$G$2:$G$401," ","")&amp;";"))*(Afirmaciones!$B$2:$B$401="llm"))&gt;0,1,0))</f>
        <v>0</v>
      </c>
      <c r="H2" s="5">
        <f>IF(COUNTIFS(Afirmaciones!$A$2:$A$401,$A2,Afirmaciones!$B$2:$B$401,"rag")=0,"",IF(SUMPRODUCT((Afirmaciones!$A$2:$A$401=$A2)*(Afirmaciones!$F$2:$F$401="CORRECTA")*(Afirmaciones!$H$2:$H$401&lt;&gt;"no_resp")*ISNUMBER(SEARCH(";"&amp;$B2&amp;";",";"&amp;SUBSTITUTE(Afirmaciones!$G$2:$G$401," ","")&amp;";"))*(Afirmaciones!$B$2:$B$401="rag")*(Afirmaciones!$I$2:$I$401="SOSTENIDA"))&gt;0,1,0))</f>
        <v>0</v>
      </c>
    </row>
    <row r="3" spans="1:8" x14ac:dyDescent="0.25">
      <c r="A3" s="4" t="s">
        <v>64</v>
      </c>
      <c r="B3" s="4" t="s">
        <v>173</v>
      </c>
      <c r="C3" s="4" t="s">
        <v>174</v>
      </c>
      <c r="D3" s="4">
        <v>1</v>
      </c>
      <c r="E3" s="6" t="s">
        <v>71</v>
      </c>
      <c r="F3" s="5">
        <f>IF(COUNTIFS(Afirmaciones!$A$2:$A$401,$A3,Afirmaciones!$B$2:$B$401,"rag")=0,"",IF(SUMPRODUCT((Afirmaciones!$A$2:$A$401=$A3)*(Afirmaciones!$F$2:$F$401="CORRECTA")*(Afirmaciones!$H$2:$H$401&lt;&gt;"no_resp")*ISNUMBER(SEARCH(";"&amp;$B3&amp;";",";"&amp;SUBSTITUTE(Afirmaciones!$G$2:$G$401," ","")&amp;";"))*(Afirmaciones!$B$2:$B$401="rag"))&gt;0,1,0))</f>
        <v>0</v>
      </c>
      <c r="G3" s="5">
        <f>IF(COUNTIFS(Afirmaciones!$A$2:$A$401,$A3,Afirmaciones!$B$2:$B$401,"llm")=0,"",IF(SUMPRODUCT((Afirmaciones!$A$2:$A$401=$A3)*(Afirmaciones!$F$2:$F$401="CORRECTA")*(Afirmaciones!$H$2:$H$401&lt;&gt;"no_resp")*ISNUMBER(SEARCH(";"&amp;$B3&amp;";",";"&amp;SUBSTITUTE(Afirmaciones!$G$2:$G$401," ","")&amp;";"))*(Afirmaciones!$B$2:$B$401="llm"))&gt;0,1,0))</f>
        <v>1</v>
      </c>
      <c r="H3" s="5">
        <f>IF(COUNTIFS(Afirmaciones!$A$2:$A$401,$A3,Afirmaciones!$B$2:$B$401,"rag")=0,"",IF(SUMPRODUCT((Afirmaciones!$A$2:$A$401=$A3)*(Afirmaciones!$F$2:$F$401="CORRECTA")*(Afirmaciones!$H$2:$H$401&lt;&gt;"no_resp")*ISNUMBER(SEARCH(";"&amp;$B3&amp;";",";"&amp;SUBSTITUTE(Afirmaciones!$G$2:$G$401," ","")&amp;";"))*(Afirmaciones!$B$2:$B$401="rag")*(Afirmaciones!$I$2:$I$401="SOSTENIDA"))&gt;0,1,0))</f>
        <v>0</v>
      </c>
    </row>
    <row r="4" spans="1:8" x14ac:dyDescent="0.25">
      <c r="A4" s="4" t="s">
        <v>64</v>
      </c>
      <c r="B4" s="4" t="s">
        <v>175</v>
      </c>
      <c r="C4" s="4" t="s">
        <v>176</v>
      </c>
      <c r="D4" s="4">
        <v>1</v>
      </c>
      <c r="E4" s="6" t="s">
        <v>71</v>
      </c>
      <c r="F4" s="5">
        <f>IF(COUNTIFS(Afirmaciones!$A$2:$A$401,$A4,Afirmaciones!$B$2:$B$401,"rag")=0,"",IF(SUMPRODUCT((Afirmaciones!$A$2:$A$401=$A4)*(Afirmaciones!$F$2:$F$401="CORRECTA")*(Afirmaciones!$H$2:$H$401&lt;&gt;"no_resp")*ISNUMBER(SEARCH(";"&amp;$B4&amp;";",";"&amp;SUBSTITUTE(Afirmaciones!$G$2:$G$401," ","")&amp;";"))*(Afirmaciones!$B$2:$B$401="rag"))&gt;0,1,0))</f>
        <v>0</v>
      </c>
      <c r="G4" s="5">
        <f>IF(COUNTIFS(Afirmaciones!$A$2:$A$401,$A4,Afirmaciones!$B$2:$B$401,"llm")=0,"",IF(SUMPRODUCT((Afirmaciones!$A$2:$A$401=$A4)*(Afirmaciones!$F$2:$F$401="CORRECTA")*(Afirmaciones!$H$2:$H$401&lt;&gt;"no_resp")*ISNUMBER(SEARCH(";"&amp;$B4&amp;";",";"&amp;SUBSTITUTE(Afirmaciones!$G$2:$G$401," ","")&amp;";"))*(Afirmaciones!$B$2:$B$401="llm"))&gt;0,1,0))</f>
        <v>1</v>
      </c>
      <c r="H4" s="5">
        <f>IF(COUNTIFS(Afirmaciones!$A$2:$A$401,$A4,Afirmaciones!$B$2:$B$401,"rag")=0,"",IF(SUMPRODUCT((Afirmaciones!$A$2:$A$401=$A4)*(Afirmaciones!$F$2:$F$401="CORRECTA")*(Afirmaciones!$H$2:$H$401&lt;&gt;"no_resp")*ISNUMBER(SEARCH(";"&amp;$B4&amp;";",";"&amp;SUBSTITUTE(Afirmaciones!$G$2:$G$401," ","")&amp;";"))*(Afirmaciones!$B$2:$B$401="rag")*(Afirmaciones!$I$2:$I$401="SOSTENIDA"))&gt;0,1,0))</f>
        <v>0</v>
      </c>
    </row>
    <row r="5" spans="1:8" x14ac:dyDescent="0.25">
      <c r="A5" s="4" t="s">
        <v>64</v>
      </c>
      <c r="B5" s="4" t="s">
        <v>177</v>
      </c>
      <c r="C5" s="4" t="s">
        <v>178</v>
      </c>
      <c r="D5" s="4">
        <v>1</v>
      </c>
      <c r="E5" s="6" t="s">
        <v>71</v>
      </c>
      <c r="F5" s="5">
        <f>IF(COUNTIFS(Afirmaciones!$A$2:$A$401,$A5,Afirmaciones!$B$2:$B$401,"rag")=0,"",IF(SUMPRODUCT((Afirmaciones!$A$2:$A$401=$A5)*(Afirmaciones!$F$2:$F$401="CORRECTA")*(Afirmaciones!$H$2:$H$401&lt;&gt;"no_resp")*ISNUMBER(SEARCH(";"&amp;$B5&amp;";",";"&amp;SUBSTITUTE(Afirmaciones!$G$2:$G$401," ","")&amp;";"))*(Afirmaciones!$B$2:$B$401="rag"))&gt;0,1,0))</f>
        <v>0</v>
      </c>
      <c r="G5" s="5">
        <f>IF(COUNTIFS(Afirmaciones!$A$2:$A$401,$A5,Afirmaciones!$B$2:$B$401,"llm")=0,"",IF(SUMPRODUCT((Afirmaciones!$A$2:$A$401=$A5)*(Afirmaciones!$F$2:$F$401="CORRECTA")*(Afirmaciones!$H$2:$H$401&lt;&gt;"no_resp")*ISNUMBER(SEARCH(";"&amp;$B5&amp;";",";"&amp;SUBSTITUTE(Afirmaciones!$G$2:$G$401," ","")&amp;";"))*(Afirmaciones!$B$2:$B$401="llm"))&gt;0,1,0))</f>
        <v>0</v>
      </c>
      <c r="H5" s="5">
        <f>IF(COUNTIFS(Afirmaciones!$A$2:$A$401,$A5,Afirmaciones!$B$2:$B$401,"rag")=0,"",IF(SUMPRODUCT((Afirmaciones!$A$2:$A$401=$A5)*(Afirmaciones!$F$2:$F$401="CORRECTA")*(Afirmaciones!$H$2:$H$401&lt;&gt;"no_resp")*ISNUMBER(SEARCH(";"&amp;$B5&amp;";",";"&amp;SUBSTITUTE(Afirmaciones!$G$2:$G$401," ","")&amp;";"))*(Afirmaciones!$B$2:$B$401="rag")*(Afirmaciones!$I$2:$I$401="SOSTENIDA"))&gt;0,1,0))</f>
        <v>0</v>
      </c>
    </row>
    <row r="6" spans="1:8" x14ac:dyDescent="0.25">
      <c r="A6" s="4" t="s">
        <v>64</v>
      </c>
      <c r="B6" s="4" t="s">
        <v>179</v>
      </c>
      <c r="C6" s="4" t="s">
        <v>180</v>
      </c>
      <c r="D6" s="4">
        <v>3</v>
      </c>
      <c r="E6" s="6" t="s">
        <v>181</v>
      </c>
      <c r="F6" s="5">
        <f>IF(COUNTIFS(Afirmaciones!$A$2:$A$401,$A6,Afirmaciones!$B$2:$B$401,"rag")=0,"",IF(SUMPRODUCT((Afirmaciones!$A$2:$A$401=$A6)*(Afirmaciones!$F$2:$F$401="CORRECTA")*(Afirmaciones!$H$2:$H$401&lt;&gt;"no_resp")*ISNUMBER(SEARCH(";"&amp;$B6&amp;";",";"&amp;SUBSTITUTE(Afirmaciones!$G$2:$G$401," ","")&amp;";"))*(Afirmaciones!$B$2:$B$401="rag"))&gt;0,1,0))</f>
        <v>0</v>
      </c>
      <c r="G6" s="5">
        <f>IF(COUNTIFS(Afirmaciones!$A$2:$A$401,$A6,Afirmaciones!$B$2:$B$401,"llm")=0,"",IF(SUMPRODUCT((Afirmaciones!$A$2:$A$401=$A6)*(Afirmaciones!$F$2:$F$401="CORRECTA")*(Afirmaciones!$H$2:$H$401&lt;&gt;"no_resp")*ISNUMBER(SEARCH(";"&amp;$B6&amp;";",";"&amp;SUBSTITUTE(Afirmaciones!$G$2:$G$401," ","")&amp;";"))*(Afirmaciones!$B$2:$B$401="llm"))&gt;0,1,0))</f>
        <v>0</v>
      </c>
      <c r="H6" s="5">
        <f>IF(COUNTIFS(Afirmaciones!$A$2:$A$401,$A6,Afirmaciones!$B$2:$B$401,"rag")=0,"",IF(SUMPRODUCT((Afirmaciones!$A$2:$A$401=$A6)*(Afirmaciones!$F$2:$F$401="CORRECTA")*(Afirmaciones!$H$2:$H$401&lt;&gt;"no_resp")*ISNUMBER(SEARCH(";"&amp;$B6&amp;";",";"&amp;SUBSTITUTE(Afirmaciones!$G$2:$G$401," ","")&amp;";"))*(Afirmaciones!$B$2:$B$401="rag")*(Afirmaciones!$I$2:$I$401="SOSTENIDA"))&gt;0,1,0))</f>
        <v>0</v>
      </c>
    </row>
    <row r="7" spans="1:8" x14ac:dyDescent="0.25">
      <c r="A7" s="4" t="s">
        <v>77</v>
      </c>
      <c r="B7" s="4" t="s">
        <v>171</v>
      </c>
      <c r="C7" s="4" t="s">
        <v>182</v>
      </c>
      <c r="D7" s="4">
        <v>1</v>
      </c>
      <c r="E7" s="6" t="s">
        <v>76</v>
      </c>
      <c r="F7" s="5" t="str">
        <f>IF(COUNTIFS(Afirmaciones!$A$2:$A$401,$A7,Afirmaciones!$B$2:$B$401,"rag")=0,"",IF(SUMPRODUCT((Afirmaciones!$A$2:$A$401=$A7)*(Afirmaciones!$F$2:$F$401="CORRECTA")*(Afirmaciones!$H$2:$H$401&lt;&gt;"no_resp")*ISNUMBER(SEARCH(";"&amp;$B7&amp;";",";"&amp;SUBSTITUTE(Afirmaciones!$G$2:$G$401," ","")&amp;";"))*(Afirmaciones!$B$2:$B$401="rag"))&gt;0,1,0))</f>
        <v/>
      </c>
      <c r="G7" s="5" t="str">
        <f>IF(COUNTIFS(Afirmaciones!$A$2:$A$401,$A7,Afirmaciones!$B$2:$B$401,"llm")=0,"",IF(SUMPRODUCT((Afirmaciones!$A$2:$A$401=$A7)*(Afirmaciones!$F$2:$F$401="CORRECTA")*(Afirmaciones!$H$2:$H$401&lt;&gt;"no_resp")*ISNUMBER(SEARCH(";"&amp;$B7&amp;";",";"&amp;SUBSTITUTE(Afirmaciones!$G$2:$G$401," ","")&amp;";"))*(Afirmaciones!$B$2:$B$401="llm"))&gt;0,1,0))</f>
        <v/>
      </c>
      <c r="H7" s="5" t="str">
        <f>IF(COUNTIFS(Afirmaciones!$A$2:$A$401,$A7,Afirmaciones!$B$2:$B$401,"rag")=0,"",IF(SUMPRODUCT((Afirmaciones!$A$2:$A$401=$A7)*(Afirmaciones!$F$2:$F$401="CORRECTA")*(Afirmaciones!$H$2:$H$401&lt;&gt;"no_resp")*ISNUMBER(SEARCH(";"&amp;$B7&amp;";",";"&amp;SUBSTITUTE(Afirmaciones!$G$2:$G$401," ","")&amp;";"))*(Afirmaciones!$B$2:$B$401="rag")*(Afirmaciones!$I$2:$I$401="SOSTENIDA"))&gt;0,1,0))</f>
        <v/>
      </c>
    </row>
    <row r="8" spans="1:8" x14ac:dyDescent="0.25">
      <c r="A8" s="4" t="s">
        <v>77</v>
      </c>
      <c r="B8" s="4" t="s">
        <v>173</v>
      </c>
      <c r="C8" s="4" t="s">
        <v>183</v>
      </c>
      <c r="D8" s="4">
        <v>1</v>
      </c>
      <c r="E8" s="6" t="s">
        <v>71</v>
      </c>
      <c r="F8" s="5" t="str">
        <f>IF(COUNTIFS(Afirmaciones!$A$2:$A$401,$A8,Afirmaciones!$B$2:$B$401,"rag")=0,"",IF(SUMPRODUCT((Afirmaciones!$A$2:$A$401=$A8)*(Afirmaciones!$F$2:$F$401="CORRECTA")*(Afirmaciones!$H$2:$H$401&lt;&gt;"no_resp")*ISNUMBER(SEARCH(";"&amp;$B8&amp;";",";"&amp;SUBSTITUTE(Afirmaciones!$G$2:$G$401," ","")&amp;";"))*(Afirmaciones!$B$2:$B$401="rag"))&gt;0,1,0))</f>
        <v/>
      </c>
      <c r="G8" s="5" t="str">
        <f>IF(COUNTIFS(Afirmaciones!$A$2:$A$401,$A8,Afirmaciones!$B$2:$B$401,"llm")=0,"",IF(SUMPRODUCT((Afirmaciones!$A$2:$A$401=$A8)*(Afirmaciones!$F$2:$F$401="CORRECTA")*(Afirmaciones!$H$2:$H$401&lt;&gt;"no_resp")*ISNUMBER(SEARCH(";"&amp;$B8&amp;";",";"&amp;SUBSTITUTE(Afirmaciones!$G$2:$G$401," ","")&amp;";"))*(Afirmaciones!$B$2:$B$401="llm"))&gt;0,1,0))</f>
        <v/>
      </c>
      <c r="H8" s="5" t="str">
        <f>IF(COUNTIFS(Afirmaciones!$A$2:$A$401,$A8,Afirmaciones!$B$2:$B$401,"rag")=0,"",IF(SUMPRODUCT((Afirmaciones!$A$2:$A$401=$A8)*(Afirmaciones!$F$2:$F$401="CORRECTA")*(Afirmaciones!$H$2:$H$401&lt;&gt;"no_resp")*ISNUMBER(SEARCH(";"&amp;$B8&amp;";",";"&amp;SUBSTITUTE(Afirmaciones!$G$2:$G$401," ","")&amp;";"))*(Afirmaciones!$B$2:$B$401="rag")*(Afirmaciones!$I$2:$I$401="SOSTENIDA"))&gt;0,1,0))</f>
        <v/>
      </c>
    </row>
    <row r="9" spans="1:8" x14ac:dyDescent="0.25">
      <c r="A9" s="4" t="s">
        <v>77</v>
      </c>
      <c r="B9" s="4" t="s">
        <v>175</v>
      </c>
      <c r="C9" s="4" t="s">
        <v>184</v>
      </c>
      <c r="D9" s="4">
        <v>1</v>
      </c>
      <c r="E9" s="6" t="s">
        <v>71</v>
      </c>
      <c r="F9" s="5" t="str">
        <f>IF(COUNTIFS(Afirmaciones!$A$2:$A$401,$A9,Afirmaciones!$B$2:$B$401,"rag")=0,"",IF(SUMPRODUCT((Afirmaciones!$A$2:$A$401=$A9)*(Afirmaciones!$F$2:$F$401="CORRECTA")*(Afirmaciones!$H$2:$H$401&lt;&gt;"no_resp")*ISNUMBER(SEARCH(";"&amp;$B9&amp;";",";"&amp;SUBSTITUTE(Afirmaciones!$G$2:$G$401," ","")&amp;";"))*(Afirmaciones!$B$2:$B$401="rag"))&gt;0,1,0))</f>
        <v/>
      </c>
      <c r="G9" s="5" t="str">
        <f>IF(COUNTIFS(Afirmaciones!$A$2:$A$401,$A9,Afirmaciones!$B$2:$B$401,"llm")=0,"",IF(SUMPRODUCT((Afirmaciones!$A$2:$A$401=$A9)*(Afirmaciones!$F$2:$F$401="CORRECTA")*(Afirmaciones!$H$2:$H$401&lt;&gt;"no_resp")*ISNUMBER(SEARCH(";"&amp;$B9&amp;";",";"&amp;SUBSTITUTE(Afirmaciones!$G$2:$G$401," ","")&amp;";"))*(Afirmaciones!$B$2:$B$401="llm"))&gt;0,1,0))</f>
        <v/>
      </c>
      <c r="H9" s="5" t="str">
        <f>IF(COUNTIFS(Afirmaciones!$A$2:$A$401,$A9,Afirmaciones!$B$2:$B$401,"rag")=0,"",IF(SUMPRODUCT((Afirmaciones!$A$2:$A$401=$A9)*(Afirmaciones!$F$2:$F$401="CORRECTA")*(Afirmaciones!$H$2:$H$401&lt;&gt;"no_resp")*ISNUMBER(SEARCH(";"&amp;$B9&amp;";",";"&amp;SUBSTITUTE(Afirmaciones!$G$2:$G$401," ","")&amp;";"))*(Afirmaciones!$B$2:$B$401="rag")*(Afirmaciones!$I$2:$I$401="SOSTENIDA"))&gt;0,1,0))</f>
        <v/>
      </c>
    </row>
    <row r="10" spans="1:8" x14ac:dyDescent="0.25">
      <c r="A10" s="4" t="s">
        <v>77</v>
      </c>
      <c r="B10" s="4" t="s">
        <v>177</v>
      </c>
      <c r="C10" s="4" t="s">
        <v>185</v>
      </c>
      <c r="D10" s="4">
        <v>1</v>
      </c>
      <c r="E10" s="6" t="s">
        <v>71</v>
      </c>
      <c r="F10" s="5" t="str">
        <f>IF(COUNTIFS(Afirmaciones!$A$2:$A$401,$A10,Afirmaciones!$B$2:$B$401,"rag")=0,"",IF(SUMPRODUCT((Afirmaciones!$A$2:$A$401=$A10)*(Afirmaciones!$F$2:$F$401="CORRECTA")*(Afirmaciones!$H$2:$H$401&lt;&gt;"no_resp")*ISNUMBER(SEARCH(";"&amp;$B10&amp;";",";"&amp;SUBSTITUTE(Afirmaciones!$G$2:$G$401," ","")&amp;";"))*(Afirmaciones!$B$2:$B$401="rag"))&gt;0,1,0))</f>
        <v/>
      </c>
      <c r="G10" s="5" t="str">
        <f>IF(COUNTIFS(Afirmaciones!$A$2:$A$401,$A10,Afirmaciones!$B$2:$B$401,"llm")=0,"",IF(SUMPRODUCT((Afirmaciones!$A$2:$A$401=$A10)*(Afirmaciones!$F$2:$F$401="CORRECTA")*(Afirmaciones!$H$2:$H$401&lt;&gt;"no_resp")*ISNUMBER(SEARCH(";"&amp;$B10&amp;";",";"&amp;SUBSTITUTE(Afirmaciones!$G$2:$G$401," ","")&amp;";"))*(Afirmaciones!$B$2:$B$401="llm"))&gt;0,1,0))</f>
        <v/>
      </c>
      <c r="H10" s="5" t="str">
        <f>IF(COUNTIFS(Afirmaciones!$A$2:$A$401,$A10,Afirmaciones!$B$2:$B$401,"rag")=0,"",IF(SUMPRODUCT((Afirmaciones!$A$2:$A$401=$A10)*(Afirmaciones!$F$2:$F$401="CORRECTA")*(Afirmaciones!$H$2:$H$401&lt;&gt;"no_resp")*ISNUMBER(SEARCH(";"&amp;$B10&amp;";",";"&amp;SUBSTITUTE(Afirmaciones!$G$2:$G$401," ","")&amp;";"))*(Afirmaciones!$B$2:$B$401="rag")*(Afirmaciones!$I$2:$I$401="SOSTENIDA"))&gt;0,1,0))</f>
        <v/>
      </c>
    </row>
    <row r="11" spans="1:8" x14ac:dyDescent="0.25">
      <c r="A11" s="4" t="s">
        <v>77</v>
      </c>
      <c r="B11" s="4" t="s">
        <v>179</v>
      </c>
      <c r="C11" s="4" t="s">
        <v>186</v>
      </c>
      <c r="D11" s="4">
        <v>1</v>
      </c>
      <c r="E11" s="6" t="s">
        <v>193</v>
      </c>
      <c r="F11" s="5" t="str">
        <f>IF(COUNTIFS(Afirmaciones!$A$2:$A$401,$A11,Afirmaciones!$B$2:$B$401,"rag")=0,"",IF(SUMPRODUCT((Afirmaciones!$A$2:$A$401=$A11)*(Afirmaciones!$F$2:$F$401="CORRECTA")*(Afirmaciones!$H$2:$H$401&lt;&gt;"no_resp")*ISNUMBER(SEARCH(";"&amp;$B11&amp;";",";"&amp;SUBSTITUTE(Afirmaciones!$G$2:$G$401," ","")&amp;";"))*(Afirmaciones!$B$2:$B$401="rag"))&gt;0,1,0))</f>
        <v/>
      </c>
      <c r="G11" s="5" t="str">
        <f>IF(COUNTIFS(Afirmaciones!$A$2:$A$401,$A11,Afirmaciones!$B$2:$B$401,"llm")=0,"",IF(SUMPRODUCT((Afirmaciones!$A$2:$A$401=$A11)*(Afirmaciones!$F$2:$F$401="CORRECTA")*(Afirmaciones!$H$2:$H$401&lt;&gt;"no_resp")*ISNUMBER(SEARCH(";"&amp;$B11&amp;";",";"&amp;SUBSTITUTE(Afirmaciones!$G$2:$G$401," ","")&amp;";"))*(Afirmaciones!$B$2:$B$401="llm"))&gt;0,1,0))</f>
        <v/>
      </c>
      <c r="H11" s="5" t="str">
        <f>IF(COUNTIFS(Afirmaciones!$A$2:$A$401,$A11,Afirmaciones!$B$2:$B$401,"rag")=0,"",IF(SUMPRODUCT((Afirmaciones!$A$2:$A$401=$A11)*(Afirmaciones!$F$2:$F$401="CORRECTA")*(Afirmaciones!$H$2:$H$401&lt;&gt;"no_resp")*ISNUMBER(SEARCH(";"&amp;$B11&amp;";",";"&amp;SUBSTITUTE(Afirmaciones!$G$2:$G$401," ","")&amp;";"))*(Afirmaciones!$B$2:$B$401="rag")*(Afirmaciones!$I$2:$I$401="SOSTENIDA"))&gt;0,1,0))</f>
        <v/>
      </c>
    </row>
    <row r="12" spans="1:8" x14ac:dyDescent="0.25">
      <c r="A12" s="4" t="s">
        <v>85</v>
      </c>
      <c r="B12" s="4" t="s">
        <v>171</v>
      </c>
      <c r="C12" s="4" t="s">
        <v>187</v>
      </c>
      <c r="D12" s="4">
        <v>2</v>
      </c>
      <c r="E12" s="6" t="s">
        <v>76</v>
      </c>
      <c r="F12" s="5" t="str">
        <f>IF(COUNTIFS(Afirmaciones!$A$2:$A$401,$A12,Afirmaciones!$B$2:$B$401,"rag")=0,"",IF(SUMPRODUCT((Afirmaciones!$A$2:$A$401=$A12)*(Afirmaciones!$F$2:$F$401="CORRECTA")*(Afirmaciones!$H$2:$H$401&lt;&gt;"no_resp")*ISNUMBER(SEARCH(";"&amp;$B12&amp;";",";"&amp;SUBSTITUTE(Afirmaciones!$G$2:$G$401," ","")&amp;";"))*(Afirmaciones!$B$2:$B$401="rag"))&gt;0,1,0))</f>
        <v/>
      </c>
      <c r="G12" s="5" t="str">
        <f>IF(COUNTIFS(Afirmaciones!$A$2:$A$401,$A12,Afirmaciones!$B$2:$B$401,"llm")=0,"",IF(SUMPRODUCT((Afirmaciones!$A$2:$A$401=$A12)*(Afirmaciones!$F$2:$F$401="CORRECTA")*(Afirmaciones!$H$2:$H$401&lt;&gt;"no_resp")*ISNUMBER(SEARCH(";"&amp;$B12&amp;";",";"&amp;SUBSTITUTE(Afirmaciones!$G$2:$G$401," ","")&amp;";"))*(Afirmaciones!$B$2:$B$401="llm"))&gt;0,1,0))</f>
        <v/>
      </c>
      <c r="H12" s="5" t="str">
        <f>IF(COUNTIFS(Afirmaciones!$A$2:$A$401,$A12,Afirmaciones!$B$2:$B$401,"rag")=0,"",IF(SUMPRODUCT((Afirmaciones!$A$2:$A$401=$A12)*(Afirmaciones!$F$2:$F$401="CORRECTA")*(Afirmaciones!$H$2:$H$401&lt;&gt;"no_resp")*ISNUMBER(SEARCH(";"&amp;$B12&amp;";",";"&amp;SUBSTITUTE(Afirmaciones!$G$2:$G$401," ","")&amp;";"))*(Afirmaciones!$B$2:$B$401="rag")*(Afirmaciones!$I$2:$I$401="SOSTENIDA"))&gt;0,1,0))</f>
        <v/>
      </c>
    </row>
    <row r="13" spans="1:8" ht="25.5" x14ac:dyDescent="0.25">
      <c r="A13" s="4" t="s">
        <v>85</v>
      </c>
      <c r="B13" s="4" t="s">
        <v>173</v>
      </c>
      <c r="C13" s="4" t="s">
        <v>188</v>
      </c>
      <c r="D13" s="4">
        <v>1</v>
      </c>
      <c r="E13" s="6" t="s">
        <v>76</v>
      </c>
      <c r="F13" s="5" t="str">
        <f>IF(COUNTIFS(Afirmaciones!$A$2:$A$401,$A13,Afirmaciones!$B$2:$B$401,"rag")=0,"",IF(SUMPRODUCT((Afirmaciones!$A$2:$A$401=$A13)*(Afirmaciones!$F$2:$F$401="CORRECTA")*(Afirmaciones!$H$2:$H$401&lt;&gt;"no_resp")*ISNUMBER(SEARCH(";"&amp;$B13&amp;";",";"&amp;SUBSTITUTE(Afirmaciones!$G$2:$G$401," ","")&amp;";"))*(Afirmaciones!$B$2:$B$401="rag"))&gt;0,1,0))</f>
        <v/>
      </c>
      <c r="G13" s="5" t="str">
        <f>IF(COUNTIFS(Afirmaciones!$A$2:$A$401,$A13,Afirmaciones!$B$2:$B$401,"llm")=0,"",IF(SUMPRODUCT((Afirmaciones!$A$2:$A$401=$A13)*(Afirmaciones!$F$2:$F$401="CORRECTA")*(Afirmaciones!$H$2:$H$401&lt;&gt;"no_resp")*ISNUMBER(SEARCH(";"&amp;$B13&amp;";",";"&amp;SUBSTITUTE(Afirmaciones!$G$2:$G$401," ","")&amp;";"))*(Afirmaciones!$B$2:$B$401="llm"))&gt;0,1,0))</f>
        <v/>
      </c>
      <c r="H13" s="5" t="str">
        <f>IF(COUNTIFS(Afirmaciones!$A$2:$A$401,$A13,Afirmaciones!$B$2:$B$401,"rag")=0,"",IF(SUMPRODUCT((Afirmaciones!$A$2:$A$401=$A13)*(Afirmaciones!$F$2:$F$401="CORRECTA")*(Afirmaciones!$H$2:$H$401&lt;&gt;"no_resp")*ISNUMBER(SEARCH(";"&amp;$B13&amp;";",";"&amp;SUBSTITUTE(Afirmaciones!$G$2:$G$401," ","")&amp;";"))*(Afirmaciones!$B$2:$B$401="rag")*(Afirmaciones!$I$2:$I$401="SOSTENIDA"))&gt;0,1,0))</f>
        <v/>
      </c>
    </row>
    <row r="14" spans="1:8" ht="25.5" x14ac:dyDescent="0.25">
      <c r="A14" s="4" t="s">
        <v>92</v>
      </c>
      <c r="B14" s="4" t="s">
        <v>171</v>
      </c>
      <c r="C14" s="4" t="s">
        <v>189</v>
      </c>
      <c r="D14" s="4">
        <v>1</v>
      </c>
      <c r="E14" s="6" t="s">
        <v>76</v>
      </c>
      <c r="F14" s="5" t="str">
        <f>IF(COUNTIFS(Afirmaciones!$A$2:$A$401,$A14,Afirmaciones!$B$2:$B$401,"rag")=0,"",IF(SUMPRODUCT((Afirmaciones!$A$2:$A$401=$A14)*(Afirmaciones!$F$2:$F$401="CORRECTA")*(Afirmaciones!$H$2:$H$401&lt;&gt;"no_resp")*ISNUMBER(SEARCH(";"&amp;$B14&amp;";",";"&amp;SUBSTITUTE(Afirmaciones!$G$2:$G$401," ","")&amp;";"))*(Afirmaciones!$B$2:$B$401="rag"))&gt;0,1,0))</f>
        <v/>
      </c>
      <c r="G14" s="5" t="str">
        <f>IF(COUNTIFS(Afirmaciones!$A$2:$A$401,$A14,Afirmaciones!$B$2:$B$401,"llm")=0,"",IF(SUMPRODUCT((Afirmaciones!$A$2:$A$401=$A14)*(Afirmaciones!$F$2:$F$401="CORRECTA")*(Afirmaciones!$H$2:$H$401&lt;&gt;"no_resp")*ISNUMBER(SEARCH(";"&amp;$B14&amp;";",";"&amp;SUBSTITUTE(Afirmaciones!$G$2:$G$401," ","")&amp;";"))*(Afirmaciones!$B$2:$B$401="llm"))&gt;0,1,0))</f>
        <v/>
      </c>
      <c r="H14" s="5" t="str">
        <f>IF(COUNTIFS(Afirmaciones!$A$2:$A$401,$A14,Afirmaciones!$B$2:$B$401,"rag")=0,"",IF(SUMPRODUCT((Afirmaciones!$A$2:$A$401=$A14)*(Afirmaciones!$F$2:$F$401="CORRECTA")*(Afirmaciones!$H$2:$H$401&lt;&gt;"no_resp")*ISNUMBER(SEARCH(";"&amp;$B14&amp;";",";"&amp;SUBSTITUTE(Afirmaciones!$G$2:$G$401," ","")&amp;";"))*(Afirmaciones!$B$2:$B$401="rag")*(Afirmaciones!$I$2:$I$401="SOSTENIDA"))&gt;0,1,0))</f>
        <v/>
      </c>
    </row>
    <row r="15" spans="1:8" x14ac:dyDescent="0.25">
      <c r="A15" s="4" t="s">
        <v>92</v>
      </c>
      <c r="B15" s="4" t="s">
        <v>173</v>
      </c>
      <c r="C15" s="4" t="s">
        <v>190</v>
      </c>
      <c r="D15" s="4">
        <v>2</v>
      </c>
      <c r="E15" s="6" t="s">
        <v>76</v>
      </c>
      <c r="F15" s="5" t="str">
        <f>IF(COUNTIFS(Afirmaciones!$A$2:$A$401,$A15,Afirmaciones!$B$2:$B$401,"rag")=0,"",IF(SUMPRODUCT((Afirmaciones!$A$2:$A$401=$A15)*(Afirmaciones!$F$2:$F$401="CORRECTA")*(Afirmaciones!$H$2:$H$401&lt;&gt;"no_resp")*ISNUMBER(SEARCH(";"&amp;$B15&amp;";",";"&amp;SUBSTITUTE(Afirmaciones!$G$2:$G$401," ","")&amp;";"))*(Afirmaciones!$B$2:$B$401="rag"))&gt;0,1,0))</f>
        <v/>
      </c>
      <c r="G15" s="5" t="str">
        <f>IF(COUNTIFS(Afirmaciones!$A$2:$A$401,$A15,Afirmaciones!$B$2:$B$401,"llm")=0,"",IF(SUMPRODUCT((Afirmaciones!$A$2:$A$401=$A15)*(Afirmaciones!$F$2:$F$401="CORRECTA")*(Afirmaciones!$H$2:$H$401&lt;&gt;"no_resp")*ISNUMBER(SEARCH(";"&amp;$B15&amp;";",";"&amp;SUBSTITUTE(Afirmaciones!$G$2:$G$401," ","")&amp;";"))*(Afirmaciones!$B$2:$B$401="llm"))&gt;0,1,0))</f>
        <v/>
      </c>
      <c r="H15" s="5" t="str">
        <f>IF(COUNTIFS(Afirmaciones!$A$2:$A$401,$A15,Afirmaciones!$B$2:$B$401,"rag")=0,"",IF(SUMPRODUCT((Afirmaciones!$A$2:$A$401=$A15)*(Afirmaciones!$F$2:$F$401="CORRECTA")*(Afirmaciones!$H$2:$H$401&lt;&gt;"no_resp")*ISNUMBER(SEARCH(";"&amp;$B15&amp;";",";"&amp;SUBSTITUTE(Afirmaciones!$G$2:$G$401," ","")&amp;";"))*(Afirmaciones!$B$2:$B$401="rag")*(Afirmaciones!$I$2:$I$401="SOSTENIDA"))&gt;0,1,0))</f>
        <v/>
      </c>
    </row>
    <row r="16" spans="1:8" x14ac:dyDescent="0.25">
      <c r="A16" s="4" t="s">
        <v>99</v>
      </c>
      <c r="B16" s="4" t="s">
        <v>171</v>
      </c>
      <c r="C16" s="4" t="s">
        <v>191</v>
      </c>
      <c r="D16" s="4">
        <v>2</v>
      </c>
      <c r="E16" s="6" t="s">
        <v>71</v>
      </c>
      <c r="F16" s="5">
        <f>IF(COUNTIFS(Afirmaciones!$A$2:$A$401,$A16,Afirmaciones!$B$2:$B$401,"rag")=0,"",IF(SUMPRODUCT((Afirmaciones!$A$2:$A$401=$A16)*(Afirmaciones!$F$2:$F$401="CORRECTA")*(Afirmaciones!$H$2:$H$401&lt;&gt;"no_resp")*ISNUMBER(SEARCH(";"&amp;$B16&amp;";",";"&amp;SUBSTITUTE(Afirmaciones!$G$2:$G$401," ","")&amp;";"))*(Afirmaciones!$B$2:$B$401="rag"))&gt;0,1,0))</f>
        <v>1</v>
      </c>
      <c r="G16" s="5">
        <f>IF(COUNTIFS(Afirmaciones!$A$2:$A$401,$A16,Afirmaciones!$B$2:$B$401,"llm")=0,"",IF(SUMPRODUCT((Afirmaciones!$A$2:$A$401=$A16)*(Afirmaciones!$F$2:$F$401="CORRECTA")*(Afirmaciones!$H$2:$H$401&lt;&gt;"no_resp")*ISNUMBER(SEARCH(";"&amp;$B16&amp;";",";"&amp;SUBSTITUTE(Afirmaciones!$G$2:$G$401," ","")&amp;";"))*(Afirmaciones!$B$2:$B$401="llm"))&gt;0,1,0))</f>
        <v>0</v>
      </c>
      <c r="H16" s="5">
        <f>IF(COUNTIFS(Afirmaciones!$A$2:$A$401,$A16,Afirmaciones!$B$2:$B$401,"rag")=0,"",IF(SUMPRODUCT((Afirmaciones!$A$2:$A$401=$A16)*(Afirmaciones!$F$2:$F$401="CORRECTA")*(Afirmaciones!$H$2:$H$401&lt;&gt;"no_resp")*ISNUMBER(SEARCH(";"&amp;$B16&amp;";",";"&amp;SUBSTITUTE(Afirmaciones!$G$2:$G$401," ","")&amp;";"))*(Afirmaciones!$B$2:$B$401="rag")*(Afirmaciones!$I$2:$I$401="SOSTENIDA"))&gt;0,1,0))</f>
        <v>0</v>
      </c>
    </row>
    <row r="17" spans="1:8" x14ac:dyDescent="0.25">
      <c r="A17" s="4" t="s">
        <v>99</v>
      </c>
      <c r="B17" s="4" t="s">
        <v>173</v>
      </c>
      <c r="C17" s="4" t="s">
        <v>192</v>
      </c>
      <c r="D17" s="4">
        <v>2</v>
      </c>
      <c r="E17" s="6" t="s">
        <v>193</v>
      </c>
      <c r="F17" s="5">
        <f>IF(COUNTIFS(Afirmaciones!$A$2:$A$401,$A17,Afirmaciones!$B$2:$B$401,"rag")=0,"",IF(SUMPRODUCT((Afirmaciones!$A$2:$A$401=$A17)*(Afirmaciones!$F$2:$F$401="CORRECTA")*(Afirmaciones!$H$2:$H$401&lt;&gt;"no_resp")*ISNUMBER(SEARCH(";"&amp;$B17&amp;";",";"&amp;SUBSTITUTE(Afirmaciones!$G$2:$G$401," ","")&amp;";"))*(Afirmaciones!$B$2:$B$401="rag"))&gt;0,1,0))</f>
        <v>1</v>
      </c>
      <c r="G17" s="5">
        <f>IF(COUNTIFS(Afirmaciones!$A$2:$A$401,$A17,Afirmaciones!$B$2:$B$401,"llm")=0,"",IF(SUMPRODUCT((Afirmaciones!$A$2:$A$401=$A17)*(Afirmaciones!$F$2:$F$401="CORRECTA")*(Afirmaciones!$H$2:$H$401&lt;&gt;"no_resp")*ISNUMBER(SEARCH(";"&amp;$B17&amp;";",";"&amp;SUBSTITUTE(Afirmaciones!$G$2:$G$401," ","")&amp;";"))*(Afirmaciones!$B$2:$B$401="llm"))&gt;0,1,0))</f>
        <v>0</v>
      </c>
      <c r="H17" s="5">
        <f>IF(COUNTIFS(Afirmaciones!$A$2:$A$401,$A17,Afirmaciones!$B$2:$B$401,"rag")=0,"",IF(SUMPRODUCT((Afirmaciones!$A$2:$A$401=$A17)*(Afirmaciones!$F$2:$F$401="CORRECTA")*(Afirmaciones!$H$2:$H$401&lt;&gt;"no_resp")*ISNUMBER(SEARCH(";"&amp;$B17&amp;";",";"&amp;SUBSTITUTE(Afirmaciones!$G$2:$G$401," ","")&amp;";"))*(Afirmaciones!$B$2:$B$401="rag")*(Afirmaciones!$I$2:$I$401="SOSTENIDA"))&gt;0,1,0))</f>
        <v>1</v>
      </c>
    </row>
    <row r="18" spans="1:8" x14ac:dyDescent="0.25">
      <c r="A18" s="4" t="s">
        <v>99</v>
      </c>
      <c r="B18" s="4" t="s">
        <v>175</v>
      </c>
      <c r="C18" s="4" t="s">
        <v>194</v>
      </c>
      <c r="D18" s="4">
        <v>3</v>
      </c>
      <c r="E18" s="6" t="s">
        <v>193</v>
      </c>
      <c r="F18" s="5">
        <f>IF(COUNTIFS(Afirmaciones!$A$2:$A$401,$A18,Afirmaciones!$B$2:$B$401,"rag")=0,"",IF(SUMPRODUCT((Afirmaciones!$A$2:$A$401=$A18)*(Afirmaciones!$F$2:$F$401="CORRECTA")*(Afirmaciones!$H$2:$H$401&lt;&gt;"no_resp")*ISNUMBER(SEARCH(";"&amp;$B18&amp;";",";"&amp;SUBSTITUTE(Afirmaciones!$G$2:$G$401," ","")&amp;";"))*(Afirmaciones!$B$2:$B$401="rag"))&gt;0,1,0))</f>
        <v>0</v>
      </c>
      <c r="G18" s="5">
        <f>IF(COUNTIFS(Afirmaciones!$A$2:$A$401,$A18,Afirmaciones!$B$2:$B$401,"llm")=0,"",IF(SUMPRODUCT((Afirmaciones!$A$2:$A$401=$A18)*(Afirmaciones!$F$2:$F$401="CORRECTA")*(Afirmaciones!$H$2:$H$401&lt;&gt;"no_resp")*ISNUMBER(SEARCH(";"&amp;$B18&amp;";",";"&amp;SUBSTITUTE(Afirmaciones!$G$2:$G$401," ","")&amp;";"))*(Afirmaciones!$B$2:$B$401="llm"))&gt;0,1,0))</f>
        <v>0</v>
      </c>
      <c r="H18" s="5">
        <f>IF(COUNTIFS(Afirmaciones!$A$2:$A$401,$A18,Afirmaciones!$B$2:$B$401,"rag")=0,"",IF(SUMPRODUCT((Afirmaciones!$A$2:$A$401=$A18)*(Afirmaciones!$F$2:$F$401="CORRECTA")*(Afirmaciones!$H$2:$H$401&lt;&gt;"no_resp")*ISNUMBER(SEARCH(";"&amp;$B18&amp;";",";"&amp;SUBSTITUTE(Afirmaciones!$G$2:$G$401," ","")&amp;";"))*(Afirmaciones!$B$2:$B$401="rag")*(Afirmaciones!$I$2:$I$401="SOSTENIDA"))&gt;0,1,0))</f>
        <v>0</v>
      </c>
    </row>
    <row r="19" spans="1:8" x14ac:dyDescent="0.25">
      <c r="A19" s="4" t="s">
        <v>99</v>
      </c>
      <c r="B19" s="4" t="s">
        <v>177</v>
      </c>
      <c r="C19" s="4" t="s">
        <v>195</v>
      </c>
      <c r="D19" s="4">
        <v>3</v>
      </c>
      <c r="E19" s="6" t="s">
        <v>71</v>
      </c>
      <c r="F19" s="5">
        <f>IF(COUNTIFS(Afirmaciones!$A$2:$A$401,$A19,Afirmaciones!$B$2:$B$401,"rag")=0,"",IF(SUMPRODUCT((Afirmaciones!$A$2:$A$401=$A19)*(Afirmaciones!$F$2:$F$401="CORRECTA")*(Afirmaciones!$H$2:$H$401&lt;&gt;"no_resp")*ISNUMBER(SEARCH(";"&amp;$B19&amp;";",";"&amp;SUBSTITUTE(Afirmaciones!$G$2:$G$401," ","")&amp;";"))*(Afirmaciones!$B$2:$B$401="rag"))&gt;0,1,0))</f>
        <v>0</v>
      </c>
      <c r="G19" s="5">
        <f>IF(COUNTIFS(Afirmaciones!$A$2:$A$401,$A19,Afirmaciones!$B$2:$B$401,"llm")=0,"",IF(SUMPRODUCT((Afirmaciones!$A$2:$A$401=$A19)*(Afirmaciones!$F$2:$F$401="CORRECTA")*(Afirmaciones!$H$2:$H$401&lt;&gt;"no_resp")*ISNUMBER(SEARCH(";"&amp;$B19&amp;";",";"&amp;SUBSTITUTE(Afirmaciones!$G$2:$G$401," ","")&amp;";"))*(Afirmaciones!$B$2:$B$401="llm"))&gt;0,1,0))</f>
        <v>0</v>
      </c>
      <c r="H19" s="5">
        <f>IF(COUNTIFS(Afirmaciones!$A$2:$A$401,$A19,Afirmaciones!$B$2:$B$401,"rag")=0,"",IF(SUMPRODUCT((Afirmaciones!$A$2:$A$401=$A19)*(Afirmaciones!$F$2:$F$401="CORRECTA")*(Afirmaciones!$H$2:$H$401&lt;&gt;"no_resp")*ISNUMBER(SEARCH(";"&amp;$B19&amp;";",";"&amp;SUBSTITUTE(Afirmaciones!$G$2:$G$401," ","")&amp;";"))*(Afirmaciones!$B$2:$B$401="rag")*(Afirmaciones!$I$2:$I$401="SOSTENIDA"))&gt;0,1,0))</f>
        <v>0</v>
      </c>
    </row>
    <row r="20" spans="1:8" x14ac:dyDescent="0.25">
      <c r="A20" s="4" t="s">
        <v>105</v>
      </c>
      <c r="B20" s="4" t="s">
        <v>171</v>
      </c>
      <c r="C20" s="4" t="s">
        <v>196</v>
      </c>
      <c r="D20" s="4">
        <v>7</v>
      </c>
      <c r="E20" s="6" t="s">
        <v>76</v>
      </c>
      <c r="F20" s="5">
        <f>IF(COUNTIFS(Afirmaciones!$A$2:$A$401,$A20,Afirmaciones!$B$2:$B$401,"rag")=0,"",IF(SUMPRODUCT((Afirmaciones!$A$2:$A$401=$A20)*(Afirmaciones!$F$2:$F$401="CORRECTA")*(Afirmaciones!$H$2:$H$401&lt;&gt;"no_resp")*ISNUMBER(SEARCH(";"&amp;$B20&amp;";",";"&amp;SUBSTITUTE(Afirmaciones!$G$2:$G$401," ","")&amp;";"))*(Afirmaciones!$B$2:$B$401="rag"))&gt;0,1,0))</f>
        <v>0</v>
      </c>
      <c r="G20" s="5">
        <f>IF(COUNTIFS(Afirmaciones!$A$2:$A$401,$A20,Afirmaciones!$B$2:$B$401,"llm")=0,"",IF(SUMPRODUCT((Afirmaciones!$A$2:$A$401=$A20)*(Afirmaciones!$F$2:$F$401="CORRECTA")*(Afirmaciones!$H$2:$H$401&lt;&gt;"no_resp")*ISNUMBER(SEARCH(";"&amp;$B20&amp;";",";"&amp;SUBSTITUTE(Afirmaciones!$G$2:$G$401," ","")&amp;";"))*(Afirmaciones!$B$2:$B$401="llm"))&gt;0,1,0))</f>
        <v>0</v>
      </c>
      <c r="H20" s="5">
        <f>IF(COUNTIFS(Afirmaciones!$A$2:$A$401,$A20,Afirmaciones!$B$2:$B$401,"rag")=0,"",IF(SUMPRODUCT((Afirmaciones!$A$2:$A$401=$A20)*(Afirmaciones!$F$2:$F$401="CORRECTA")*(Afirmaciones!$H$2:$H$401&lt;&gt;"no_resp")*ISNUMBER(SEARCH(";"&amp;$B20&amp;";",";"&amp;SUBSTITUTE(Afirmaciones!$G$2:$G$401," ","")&amp;";"))*(Afirmaciones!$B$2:$B$401="rag")*(Afirmaciones!$I$2:$I$401="SOSTENIDA"))&gt;0,1,0))</f>
        <v>0</v>
      </c>
    </row>
    <row r="21" spans="1:8" x14ac:dyDescent="0.25">
      <c r="A21" s="4" t="s">
        <v>105</v>
      </c>
      <c r="B21" s="4" t="s">
        <v>173</v>
      </c>
      <c r="C21" s="4" t="s">
        <v>197</v>
      </c>
      <c r="D21" s="4">
        <v>20</v>
      </c>
      <c r="E21" s="6" t="s">
        <v>76</v>
      </c>
      <c r="F21" s="5">
        <f>IF(COUNTIFS(Afirmaciones!$A$2:$A$401,$A21,Afirmaciones!$B$2:$B$401,"rag")=0,"",IF(SUMPRODUCT((Afirmaciones!$A$2:$A$401=$A21)*(Afirmaciones!$F$2:$F$401="CORRECTA")*(Afirmaciones!$H$2:$H$401&lt;&gt;"no_resp")*ISNUMBER(SEARCH(";"&amp;$B21&amp;";",";"&amp;SUBSTITUTE(Afirmaciones!$G$2:$G$401," ","")&amp;";"))*(Afirmaciones!$B$2:$B$401="rag"))&gt;0,1,0))</f>
        <v>1</v>
      </c>
      <c r="G21" s="5">
        <f>IF(COUNTIFS(Afirmaciones!$A$2:$A$401,$A21,Afirmaciones!$B$2:$B$401,"llm")=0,"",IF(SUMPRODUCT((Afirmaciones!$A$2:$A$401=$A21)*(Afirmaciones!$F$2:$F$401="CORRECTA")*(Afirmaciones!$H$2:$H$401&lt;&gt;"no_resp")*ISNUMBER(SEARCH(";"&amp;$B21&amp;";",";"&amp;SUBSTITUTE(Afirmaciones!$G$2:$G$401," ","")&amp;";"))*(Afirmaciones!$B$2:$B$401="llm"))&gt;0,1,0))</f>
        <v>0</v>
      </c>
      <c r="H21" s="5">
        <f>IF(COUNTIFS(Afirmaciones!$A$2:$A$401,$A21,Afirmaciones!$B$2:$B$401,"rag")=0,"",IF(SUMPRODUCT((Afirmaciones!$A$2:$A$401=$A21)*(Afirmaciones!$F$2:$F$401="CORRECTA")*(Afirmaciones!$H$2:$H$401&lt;&gt;"no_resp")*ISNUMBER(SEARCH(";"&amp;$B21&amp;";",";"&amp;SUBSTITUTE(Afirmaciones!$G$2:$G$401," ","")&amp;";"))*(Afirmaciones!$B$2:$B$401="rag")*(Afirmaciones!$I$2:$I$401="SOSTENIDA"))&gt;0,1,0))</f>
        <v>1</v>
      </c>
    </row>
    <row r="22" spans="1:8" x14ac:dyDescent="0.25">
      <c r="A22" s="4" t="s">
        <v>105</v>
      </c>
      <c r="B22" s="4" t="s">
        <v>175</v>
      </c>
      <c r="C22" s="4" t="s">
        <v>198</v>
      </c>
      <c r="D22" s="4">
        <v>8</v>
      </c>
      <c r="E22" s="6" t="s">
        <v>76</v>
      </c>
      <c r="F22" s="5">
        <f>IF(COUNTIFS(Afirmaciones!$A$2:$A$401,$A22,Afirmaciones!$B$2:$B$401,"rag")=0,"",IF(SUMPRODUCT((Afirmaciones!$A$2:$A$401=$A22)*(Afirmaciones!$F$2:$F$401="CORRECTA")*(Afirmaciones!$H$2:$H$401&lt;&gt;"no_resp")*ISNUMBER(SEARCH(";"&amp;$B22&amp;";",";"&amp;SUBSTITUTE(Afirmaciones!$G$2:$G$401," ","")&amp;";"))*(Afirmaciones!$B$2:$B$401="rag"))&gt;0,1,0))</f>
        <v>1</v>
      </c>
      <c r="G22" s="5">
        <f>IF(COUNTIFS(Afirmaciones!$A$2:$A$401,$A22,Afirmaciones!$B$2:$B$401,"llm")=0,"",IF(SUMPRODUCT((Afirmaciones!$A$2:$A$401=$A22)*(Afirmaciones!$F$2:$F$401="CORRECTA")*(Afirmaciones!$H$2:$H$401&lt;&gt;"no_resp")*ISNUMBER(SEARCH(";"&amp;$B22&amp;";",";"&amp;SUBSTITUTE(Afirmaciones!$G$2:$G$401," ","")&amp;";"))*(Afirmaciones!$B$2:$B$401="llm"))&gt;0,1,0))</f>
        <v>0</v>
      </c>
      <c r="H22" s="5">
        <f>IF(COUNTIFS(Afirmaciones!$A$2:$A$401,$A22,Afirmaciones!$B$2:$B$401,"rag")=0,"",IF(SUMPRODUCT((Afirmaciones!$A$2:$A$401=$A22)*(Afirmaciones!$F$2:$F$401="CORRECTA")*(Afirmaciones!$H$2:$H$401&lt;&gt;"no_resp")*ISNUMBER(SEARCH(";"&amp;$B22&amp;";",";"&amp;SUBSTITUTE(Afirmaciones!$G$2:$G$401," ","")&amp;";"))*(Afirmaciones!$B$2:$B$401="rag")*(Afirmaciones!$I$2:$I$401="SOSTENIDA"))&gt;0,1,0))</f>
        <v>1</v>
      </c>
    </row>
    <row r="23" spans="1:8" ht="25.5" x14ac:dyDescent="0.25">
      <c r="A23" s="4" t="s">
        <v>112</v>
      </c>
      <c r="B23" s="4" t="s">
        <v>171</v>
      </c>
      <c r="C23" s="4" t="s">
        <v>199</v>
      </c>
      <c r="D23" s="4">
        <v>4</v>
      </c>
      <c r="E23" s="6" t="s">
        <v>76</v>
      </c>
      <c r="F23" s="5" t="str">
        <f>IF(COUNTIFS(Afirmaciones!$A$2:$A$401,$A23,Afirmaciones!$B$2:$B$401,"rag")=0,"",IF(SUMPRODUCT((Afirmaciones!$A$2:$A$401=$A23)*(Afirmaciones!$F$2:$F$401="CORRECTA")*(Afirmaciones!$H$2:$H$401&lt;&gt;"no_resp")*ISNUMBER(SEARCH(";"&amp;$B23&amp;";",";"&amp;SUBSTITUTE(Afirmaciones!$G$2:$G$401," ","")&amp;";"))*(Afirmaciones!$B$2:$B$401="rag"))&gt;0,1,0))</f>
        <v/>
      </c>
      <c r="G23" s="5" t="str">
        <f>IF(COUNTIFS(Afirmaciones!$A$2:$A$401,$A23,Afirmaciones!$B$2:$B$401,"llm")=0,"",IF(SUMPRODUCT((Afirmaciones!$A$2:$A$401=$A23)*(Afirmaciones!$F$2:$F$401="CORRECTA")*(Afirmaciones!$H$2:$H$401&lt;&gt;"no_resp")*ISNUMBER(SEARCH(";"&amp;$B23&amp;";",";"&amp;SUBSTITUTE(Afirmaciones!$G$2:$G$401," ","")&amp;";"))*(Afirmaciones!$B$2:$B$401="llm"))&gt;0,1,0))</f>
        <v/>
      </c>
      <c r="H23" s="5" t="str">
        <f>IF(COUNTIFS(Afirmaciones!$A$2:$A$401,$A23,Afirmaciones!$B$2:$B$401,"rag")=0,"",IF(SUMPRODUCT((Afirmaciones!$A$2:$A$401=$A23)*(Afirmaciones!$F$2:$F$401="CORRECTA")*(Afirmaciones!$H$2:$H$401&lt;&gt;"no_resp")*ISNUMBER(SEARCH(";"&amp;$B23&amp;";",";"&amp;SUBSTITUTE(Afirmaciones!$G$2:$G$401," ","")&amp;";"))*(Afirmaciones!$B$2:$B$401="rag")*(Afirmaciones!$I$2:$I$401="SOSTENIDA"))&gt;0,1,0))</f>
        <v/>
      </c>
    </row>
    <row r="24" spans="1:8" x14ac:dyDescent="0.25">
      <c r="A24" s="4" t="s">
        <v>112</v>
      </c>
      <c r="B24" s="4" t="s">
        <v>173</v>
      </c>
      <c r="C24" s="4" t="s">
        <v>200</v>
      </c>
      <c r="D24" s="4">
        <v>1</v>
      </c>
      <c r="E24" s="6" t="s">
        <v>76</v>
      </c>
      <c r="F24" s="5" t="str">
        <f>IF(COUNTIFS(Afirmaciones!$A$2:$A$401,$A24,Afirmaciones!$B$2:$B$401,"rag")=0,"",IF(SUMPRODUCT((Afirmaciones!$A$2:$A$401=$A24)*(Afirmaciones!$F$2:$F$401="CORRECTA")*(Afirmaciones!$H$2:$H$401&lt;&gt;"no_resp")*ISNUMBER(SEARCH(";"&amp;$B24&amp;";",";"&amp;SUBSTITUTE(Afirmaciones!$G$2:$G$401," ","")&amp;";"))*(Afirmaciones!$B$2:$B$401="rag"))&gt;0,1,0))</f>
        <v/>
      </c>
      <c r="G24" s="5" t="str">
        <f>IF(COUNTIFS(Afirmaciones!$A$2:$A$401,$A24,Afirmaciones!$B$2:$B$401,"llm")=0,"",IF(SUMPRODUCT((Afirmaciones!$A$2:$A$401=$A24)*(Afirmaciones!$F$2:$F$401="CORRECTA")*(Afirmaciones!$H$2:$H$401&lt;&gt;"no_resp")*ISNUMBER(SEARCH(";"&amp;$B24&amp;";",";"&amp;SUBSTITUTE(Afirmaciones!$G$2:$G$401," ","")&amp;";"))*(Afirmaciones!$B$2:$B$401="llm"))&gt;0,1,0))</f>
        <v/>
      </c>
      <c r="H24" s="5" t="str">
        <f>IF(COUNTIFS(Afirmaciones!$A$2:$A$401,$A24,Afirmaciones!$B$2:$B$401,"rag")=0,"",IF(SUMPRODUCT((Afirmaciones!$A$2:$A$401=$A24)*(Afirmaciones!$F$2:$F$401="CORRECTA")*(Afirmaciones!$H$2:$H$401&lt;&gt;"no_resp")*ISNUMBER(SEARCH(";"&amp;$B24&amp;";",";"&amp;SUBSTITUTE(Afirmaciones!$G$2:$G$401," ","")&amp;";"))*(Afirmaciones!$B$2:$B$401="rag")*(Afirmaciones!$I$2:$I$401="SOSTENIDA"))&gt;0,1,0))</f>
        <v/>
      </c>
    </row>
    <row r="25" spans="1:8" x14ac:dyDescent="0.25">
      <c r="A25" s="4" t="s">
        <v>112</v>
      </c>
      <c r="B25" s="4" t="s">
        <v>175</v>
      </c>
      <c r="C25" s="4" t="s">
        <v>201</v>
      </c>
      <c r="D25" s="4">
        <v>1</v>
      </c>
      <c r="E25" s="6" t="s">
        <v>76</v>
      </c>
      <c r="F25" s="5" t="str">
        <f>IF(COUNTIFS(Afirmaciones!$A$2:$A$401,$A25,Afirmaciones!$B$2:$B$401,"rag")=0,"",IF(SUMPRODUCT((Afirmaciones!$A$2:$A$401=$A25)*(Afirmaciones!$F$2:$F$401="CORRECTA")*(Afirmaciones!$H$2:$H$401&lt;&gt;"no_resp")*ISNUMBER(SEARCH(";"&amp;$B25&amp;";",";"&amp;SUBSTITUTE(Afirmaciones!$G$2:$G$401," ","")&amp;";"))*(Afirmaciones!$B$2:$B$401="rag"))&gt;0,1,0))</f>
        <v/>
      </c>
      <c r="G25" s="5" t="str">
        <f>IF(COUNTIFS(Afirmaciones!$A$2:$A$401,$A25,Afirmaciones!$B$2:$B$401,"llm")=0,"",IF(SUMPRODUCT((Afirmaciones!$A$2:$A$401=$A25)*(Afirmaciones!$F$2:$F$401="CORRECTA")*(Afirmaciones!$H$2:$H$401&lt;&gt;"no_resp")*ISNUMBER(SEARCH(";"&amp;$B25&amp;";",";"&amp;SUBSTITUTE(Afirmaciones!$G$2:$G$401," ","")&amp;";"))*(Afirmaciones!$B$2:$B$401="llm"))&gt;0,1,0))</f>
        <v/>
      </c>
      <c r="H25" s="5" t="str">
        <f>IF(COUNTIFS(Afirmaciones!$A$2:$A$401,$A25,Afirmaciones!$B$2:$B$401,"rag")=0,"",IF(SUMPRODUCT((Afirmaciones!$A$2:$A$401=$A25)*(Afirmaciones!$F$2:$F$401="CORRECTA")*(Afirmaciones!$H$2:$H$401&lt;&gt;"no_resp")*ISNUMBER(SEARCH(";"&amp;$B25&amp;";",";"&amp;SUBSTITUTE(Afirmaciones!$G$2:$G$401," ","")&amp;";"))*(Afirmaciones!$B$2:$B$401="rag")*(Afirmaciones!$I$2:$I$401="SOSTENIDA"))&gt;0,1,0))</f>
        <v/>
      </c>
    </row>
    <row r="26" spans="1:8" x14ac:dyDescent="0.25">
      <c r="A26" s="4" t="s">
        <v>117</v>
      </c>
      <c r="B26" s="4" t="s">
        <v>171</v>
      </c>
      <c r="C26" s="4" t="s">
        <v>202</v>
      </c>
      <c r="D26" s="4">
        <v>1</v>
      </c>
      <c r="E26" s="6" t="s">
        <v>71</v>
      </c>
      <c r="F26" s="5" t="str">
        <f>IF(COUNTIFS(Afirmaciones!$A$2:$A$401,$A26,Afirmaciones!$B$2:$B$401,"rag")=0,"",IF(SUMPRODUCT((Afirmaciones!$A$2:$A$401=$A26)*(Afirmaciones!$F$2:$F$401="CORRECTA")*(Afirmaciones!$H$2:$H$401&lt;&gt;"no_resp")*ISNUMBER(SEARCH(";"&amp;$B26&amp;";",";"&amp;SUBSTITUTE(Afirmaciones!$G$2:$G$401," ","")&amp;";"))*(Afirmaciones!$B$2:$B$401="rag"))&gt;0,1,0))</f>
        <v/>
      </c>
      <c r="G26" s="5" t="str">
        <f>IF(COUNTIFS(Afirmaciones!$A$2:$A$401,$A26,Afirmaciones!$B$2:$B$401,"llm")=0,"",IF(SUMPRODUCT((Afirmaciones!$A$2:$A$401=$A26)*(Afirmaciones!$F$2:$F$401="CORRECTA")*(Afirmaciones!$H$2:$H$401&lt;&gt;"no_resp")*ISNUMBER(SEARCH(";"&amp;$B26&amp;";",";"&amp;SUBSTITUTE(Afirmaciones!$G$2:$G$401," ","")&amp;";"))*(Afirmaciones!$B$2:$B$401="llm"))&gt;0,1,0))</f>
        <v/>
      </c>
      <c r="H26" s="5" t="str">
        <f>IF(COUNTIFS(Afirmaciones!$A$2:$A$401,$A26,Afirmaciones!$B$2:$B$401,"rag")=0,"",IF(SUMPRODUCT((Afirmaciones!$A$2:$A$401=$A26)*(Afirmaciones!$F$2:$F$401="CORRECTA")*(Afirmaciones!$H$2:$H$401&lt;&gt;"no_resp")*ISNUMBER(SEARCH(";"&amp;$B26&amp;";",";"&amp;SUBSTITUTE(Afirmaciones!$G$2:$G$401," ","")&amp;";"))*(Afirmaciones!$B$2:$B$401="rag")*(Afirmaciones!$I$2:$I$401="SOSTENIDA"))&gt;0,1,0))</f>
        <v/>
      </c>
    </row>
    <row r="27" spans="1:8" x14ac:dyDescent="0.25">
      <c r="A27" s="4" t="s">
        <v>117</v>
      </c>
      <c r="B27" s="4" t="s">
        <v>173</v>
      </c>
      <c r="C27" s="4" t="s">
        <v>203</v>
      </c>
      <c r="D27" s="4">
        <v>1</v>
      </c>
      <c r="E27" s="6" t="s">
        <v>71</v>
      </c>
      <c r="F27" s="5" t="str">
        <f>IF(COUNTIFS(Afirmaciones!$A$2:$A$401,$A27,Afirmaciones!$B$2:$B$401,"rag")=0,"",IF(SUMPRODUCT((Afirmaciones!$A$2:$A$401=$A27)*(Afirmaciones!$F$2:$F$401="CORRECTA")*(Afirmaciones!$H$2:$H$401&lt;&gt;"no_resp")*ISNUMBER(SEARCH(";"&amp;$B27&amp;";",";"&amp;SUBSTITUTE(Afirmaciones!$G$2:$G$401," ","")&amp;";"))*(Afirmaciones!$B$2:$B$401="rag"))&gt;0,1,0))</f>
        <v/>
      </c>
      <c r="G27" s="5" t="str">
        <f>IF(COUNTIFS(Afirmaciones!$A$2:$A$401,$A27,Afirmaciones!$B$2:$B$401,"llm")=0,"",IF(SUMPRODUCT((Afirmaciones!$A$2:$A$401=$A27)*(Afirmaciones!$F$2:$F$401="CORRECTA")*(Afirmaciones!$H$2:$H$401&lt;&gt;"no_resp")*ISNUMBER(SEARCH(";"&amp;$B27&amp;";",";"&amp;SUBSTITUTE(Afirmaciones!$G$2:$G$401," ","")&amp;";"))*(Afirmaciones!$B$2:$B$401="llm"))&gt;0,1,0))</f>
        <v/>
      </c>
      <c r="H27" s="5" t="str">
        <f>IF(COUNTIFS(Afirmaciones!$A$2:$A$401,$A27,Afirmaciones!$B$2:$B$401,"rag")=0,"",IF(SUMPRODUCT((Afirmaciones!$A$2:$A$401=$A27)*(Afirmaciones!$F$2:$F$401="CORRECTA")*(Afirmaciones!$H$2:$H$401&lt;&gt;"no_resp")*ISNUMBER(SEARCH(";"&amp;$B27&amp;";",";"&amp;SUBSTITUTE(Afirmaciones!$G$2:$G$401," ","")&amp;";"))*(Afirmaciones!$B$2:$B$401="rag")*(Afirmaciones!$I$2:$I$401="SOSTENIDA"))&gt;0,1,0))</f>
        <v/>
      </c>
    </row>
    <row r="28" spans="1:8" x14ac:dyDescent="0.25">
      <c r="A28" s="4" t="s">
        <v>117</v>
      </c>
      <c r="B28" s="4" t="s">
        <v>175</v>
      </c>
      <c r="C28" s="4" t="s">
        <v>204</v>
      </c>
      <c r="D28" s="4">
        <v>1</v>
      </c>
      <c r="E28" s="6" t="s">
        <v>71</v>
      </c>
      <c r="F28" s="5" t="str">
        <f>IF(COUNTIFS(Afirmaciones!$A$2:$A$401,$A28,Afirmaciones!$B$2:$B$401,"rag")=0,"",IF(SUMPRODUCT((Afirmaciones!$A$2:$A$401=$A28)*(Afirmaciones!$F$2:$F$401="CORRECTA")*(Afirmaciones!$H$2:$H$401&lt;&gt;"no_resp")*ISNUMBER(SEARCH(";"&amp;$B28&amp;";",";"&amp;SUBSTITUTE(Afirmaciones!$G$2:$G$401," ","")&amp;";"))*(Afirmaciones!$B$2:$B$401="rag"))&gt;0,1,0))</f>
        <v/>
      </c>
      <c r="G28" s="5" t="str">
        <f>IF(COUNTIFS(Afirmaciones!$A$2:$A$401,$A28,Afirmaciones!$B$2:$B$401,"llm")=0,"",IF(SUMPRODUCT((Afirmaciones!$A$2:$A$401=$A28)*(Afirmaciones!$F$2:$F$401="CORRECTA")*(Afirmaciones!$H$2:$H$401&lt;&gt;"no_resp")*ISNUMBER(SEARCH(";"&amp;$B28&amp;";",";"&amp;SUBSTITUTE(Afirmaciones!$G$2:$G$401," ","")&amp;";"))*(Afirmaciones!$B$2:$B$401="llm"))&gt;0,1,0))</f>
        <v/>
      </c>
      <c r="H28" s="5" t="str">
        <f>IF(COUNTIFS(Afirmaciones!$A$2:$A$401,$A28,Afirmaciones!$B$2:$B$401,"rag")=0,"",IF(SUMPRODUCT((Afirmaciones!$A$2:$A$401=$A28)*(Afirmaciones!$F$2:$F$401="CORRECTA")*(Afirmaciones!$H$2:$H$401&lt;&gt;"no_resp")*ISNUMBER(SEARCH(";"&amp;$B28&amp;";",";"&amp;SUBSTITUTE(Afirmaciones!$G$2:$G$401," ","")&amp;";"))*(Afirmaciones!$B$2:$B$401="rag")*(Afirmaciones!$I$2:$I$401="SOSTENIDA"))&gt;0,1,0))</f>
        <v/>
      </c>
    </row>
    <row r="29" spans="1:8" x14ac:dyDescent="0.25">
      <c r="A29" s="4" t="s">
        <v>124</v>
      </c>
      <c r="B29" s="4" t="s">
        <v>171</v>
      </c>
      <c r="C29" s="4" t="s">
        <v>205</v>
      </c>
      <c r="D29" s="4">
        <v>1</v>
      </c>
      <c r="E29" s="6" t="s">
        <v>71</v>
      </c>
      <c r="F29" s="5">
        <f>IF(COUNTIFS(Afirmaciones!$A$2:$A$401,$A29,Afirmaciones!$B$2:$B$401,"rag")=0,"",IF(SUMPRODUCT((Afirmaciones!$A$2:$A$401=$A29)*(Afirmaciones!$F$2:$F$401="CORRECTA")*(Afirmaciones!$H$2:$H$401&lt;&gt;"no_resp")*ISNUMBER(SEARCH(";"&amp;$B29&amp;";",";"&amp;SUBSTITUTE(Afirmaciones!$G$2:$G$401," ","")&amp;";"))*(Afirmaciones!$B$2:$B$401="rag"))&gt;0,1,0))</f>
        <v>0</v>
      </c>
      <c r="G29" s="5">
        <f>IF(COUNTIFS(Afirmaciones!$A$2:$A$401,$A29,Afirmaciones!$B$2:$B$401,"llm")=0,"",IF(SUMPRODUCT((Afirmaciones!$A$2:$A$401=$A29)*(Afirmaciones!$F$2:$F$401="CORRECTA")*(Afirmaciones!$H$2:$H$401&lt;&gt;"no_resp")*ISNUMBER(SEARCH(";"&amp;$B29&amp;";",";"&amp;SUBSTITUTE(Afirmaciones!$G$2:$G$401," ","")&amp;";"))*(Afirmaciones!$B$2:$B$401="llm"))&gt;0,1,0))</f>
        <v>0</v>
      </c>
      <c r="H29" s="5">
        <f>IF(COUNTIFS(Afirmaciones!$A$2:$A$401,$A29,Afirmaciones!$B$2:$B$401,"rag")=0,"",IF(SUMPRODUCT((Afirmaciones!$A$2:$A$401=$A29)*(Afirmaciones!$F$2:$F$401="CORRECTA")*(Afirmaciones!$H$2:$H$401&lt;&gt;"no_resp")*ISNUMBER(SEARCH(";"&amp;$B29&amp;";",";"&amp;SUBSTITUTE(Afirmaciones!$G$2:$G$401," ","")&amp;";"))*(Afirmaciones!$B$2:$B$401="rag")*(Afirmaciones!$I$2:$I$401="SOSTENIDA"))&gt;0,1,0))</f>
        <v>0</v>
      </c>
    </row>
    <row r="30" spans="1:8" x14ac:dyDescent="0.25">
      <c r="A30" s="4" t="s">
        <v>124</v>
      </c>
      <c r="B30" s="4" t="s">
        <v>173</v>
      </c>
      <c r="C30" s="4" t="s">
        <v>206</v>
      </c>
      <c r="D30" s="4">
        <v>1</v>
      </c>
      <c r="E30" s="6" t="s">
        <v>71</v>
      </c>
      <c r="F30" s="5">
        <f>IF(COUNTIFS(Afirmaciones!$A$2:$A$401,$A30,Afirmaciones!$B$2:$B$401,"rag")=0,"",IF(SUMPRODUCT((Afirmaciones!$A$2:$A$401=$A30)*(Afirmaciones!$F$2:$F$401="CORRECTA")*(Afirmaciones!$H$2:$H$401&lt;&gt;"no_resp")*ISNUMBER(SEARCH(";"&amp;$B30&amp;";",";"&amp;SUBSTITUTE(Afirmaciones!$G$2:$G$401," ","")&amp;";"))*(Afirmaciones!$B$2:$B$401="rag"))&gt;0,1,0))</f>
        <v>0</v>
      </c>
      <c r="G30" s="5">
        <f>IF(COUNTIFS(Afirmaciones!$A$2:$A$401,$A30,Afirmaciones!$B$2:$B$401,"llm")=0,"",IF(SUMPRODUCT((Afirmaciones!$A$2:$A$401=$A30)*(Afirmaciones!$F$2:$F$401="CORRECTA")*(Afirmaciones!$H$2:$H$401&lt;&gt;"no_resp")*ISNUMBER(SEARCH(";"&amp;$B30&amp;";",";"&amp;SUBSTITUTE(Afirmaciones!$G$2:$G$401," ","")&amp;";"))*(Afirmaciones!$B$2:$B$401="llm"))&gt;0,1,0))</f>
        <v>0</v>
      </c>
      <c r="H30" s="5">
        <f>IF(COUNTIFS(Afirmaciones!$A$2:$A$401,$A30,Afirmaciones!$B$2:$B$401,"rag")=0,"",IF(SUMPRODUCT((Afirmaciones!$A$2:$A$401=$A30)*(Afirmaciones!$F$2:$F$401="CORRECTA")*(Afirmaciones!$H$2:$H$401&lt;&gt;"no_resp")*ISNUMBER(SEARCH(";"&amp;$B30&amp;";",";"&amp;SUBSTITUTE(Afirmaciones!$G$2:$G$401," ","")&amp;";"))*(Afirmaciones!$B$2:$B$401="rag")*(Afirmaciones!$I$2:$I$401="SOSTENIDA"))&gt;0,1,0))</f>
        <v>0</v>
      </c>
    </row>
    <row r="31" spans="1:8" x14ac:dyDescent="0.25">
      <c r="A31" s="4" t="s">
        <v>124</v>
      </c>
      <c r="B31" s="4" t="s">
        <v>175</v>
      </c>
      <c r="C31" s="4" t="s">
        <v>207</v>
      </c>
      <c r="D31" s="4">
        <v>1</v>
      </c>
      <c r="E31" s="6" t="s">
        <v>71</v>
      </c>
      <c r="F31" s="5">
        <f>IF(COUNTIFS(Afirmaciones!$A$2:$A$401,$A31,Afirmaciones!$B$2:$B$401,"rag")=0,"",IF(SUMPRODUCT((Afirmaciones!$A$2:$A$401=$A31)*(Afirmaciones!$F$2:$F$401="CORRECTA")*(Afirmaciones!$H$2:$H$401&lt;&gt;"no_resp")*ISNUMBER(SEARCH(";"&amp;$B31&amp;";",";"&amp;SUBSTITUTE(Afirmaciones!$G$2:$G$401," ","")&amp;";"))*(Afirmaciones!$B$2:$B$401="rag"))&gt;0,1,0))</f>
        <v>0</v>
      </c>
      <c r="G31" s="5">
        <f>IF(COUNTIFS(Afirmaciones!$A$2:$A$401,$A31,Afirmaciones!$B$2:$B$401,"llm")=0,"",IF(SUMPRODUCT((Afirmaciones!$A$2:$A$401=$A31)*(Afirmaciones!$F$2:$F$401="CORRECTA")*(Afirmaciones!$H$2:$H$401&lt;&gt;"no_resp")*ISNUMBER(SEARCH(";"&amp;$B31&amp;";",";"&amp;SUBSTITUTE(Afirmaciones!$G$2:$G$401," ","")&amp;";"))*(Afirmaciones!$B$2:$B$401="llm"))&gt;0,1,0))</f>
        <v>1</v>
      </c>
      <c r="H31" s="5">
        <f>IF(COUNTIFS(Afirmaciones!$A$2:$A$401,$A31,Afirmaciones!$B$2:$B$401,"rag")=0,"",IF(SUMPRODUCT((Afirmaciones!$A$2:$A$401=$A31)*(Afirmaciones!$F$2:$F$401="CORRECTA")*(Afirmaciones!$H$2:$H$401&lt;&gt;"no_resp")*ISNUMBER(SEARCH(";"&amp;$B31&amp;";",";"&amp;SUBSTITUTE(Afirmaciones!$G$2:$G$401," ","")&amp;";"))*(Afirmaciones!$B$2:$B$401="rag")*(Afirmaciones!$I$2:$I$401="SOSTENIDA"))&gt;0,1,0))</f>
        <v>0</v>
      </c>
    </row>
    <row r="32" spans="1:8" x14ac:dyDescent="0.25">
      <c r="A32" s="4" t="s">
        <v>124</v>
      </c>
      <c r="B32" s="4" t="s">
        <v>177</v>
      </c>
      <c r="C32" s="4" t="s">
        <v>178</v>
      </c>
      <c r="D32" s="4">
        <v>1</v>
      </c>
      <c r="E32" s="6" t="s">
        <v>71</v>
      </c>
      <c r="F32" s="5">
        <f>IF(COUNTIFS(Afirmaciones!$A$2:$A$401,$A32,Afirmaciones!$B$2:$B$401,"rag")=0,"",IF(SUMPRODUCT((Afirmaciones!$A$2:$A$401=$A32)*(Afirmaciones!$F$2:$F$401="CORRECTA")*(Afirmaciones!$H$2:$H$401&lt;&gt;"no_resp")*ISNUMBER(SEARCH(";"&amp;$B32&amp;";",";"&amp;SUBSTITUTE(Afirmaciones!$G$2:$G$401," ","")&amp;";"))*(Afirmaciones!$B$2:$B$401="rag"))&gt;0,1,0))</f>
        <v>0</v>
      </c>
      <c r="G32" s="5">
        <f>IF(COUNTIFS(Afirmaciones!$A$2:$A$401,$A32,Afirmaciones!$B$2:$B$401,"llm")=0,"",IF(SUMPRODUCT((Afirmaciones!$A$2:$A$401=$A32)*(Afirmaciones!$F$2:$F$401="CORRECTA")*(Afirmaciones!$H$2:$H$401&lt;&gt;"no_resp")*ISNUMBER(SEARCH(";"&amp;$B32&amp;";",";"&amp;SUBSTITUTE(Afirmaciones!$G$2:$G$401," ","")&amp;";"))*(Afirmaciones!$B$2:$B$401="llm"))&gt;0,1,0))</f>
        <v>0</v>
      </c>
      <c r="H32" s="5">
        <f>IF(COUNTIFS(Afirmaciones!$A$2:$A$401,$A32,Afirmaciones!$B$2:$B$401,"rag")=0,"",IF(SUMPRODUCT((Afirmaciones!$A$2:$A$401=$A32)*(Afirmaciones!$F$2:$F$401="CORRECTA")*(Afirmaciones!$H$2:$H$401&lt;&gt;"no_resp")*ISNUMBER(SEARCH(";"&amp;$B32&amp;";",";"&amp;SUBSTITUTE(Afirmaciones!$G$2:$G$401," ","")&amp;";"))*(Afirmaciones!$B$2:$B$401="rag")*(Afirmaciones!$I$2:$I$401="SOSTENIDA"))&gt;0,1,0))</f>
        <v>0</v>
      </c>
    </row>
    <row r="33" spans="1:8" x14ac:dyDescent="0.25">
      <c r="A33" s="4" t="s">
        <v>124</v>
      </c>
      <c r="B33" s="4" t="s">
        <v>179</v>
      </c>
      <c r="C33" s="4" t="s">
        <v>208</v>
      </c>
      <c r="D33" s="4">
        <v>2</v>
      </c>
      <c r="E33" s="6" t="s">
        <v>76</v>
      </c>
      <c r="F33" s="5">
        <f>IF(COUNTIFS(Afirmaciones!$A$2:$A$401,$A33,Afirmaciones!$B$2:$B$401,"rag")=0,"",IF(SUMPRODUCT((Afirmaciones!$A$2:$A$401=$A33)*(Afirmaciones!$F$2:$F$401="CORRECTA")*(Afirmaciones!$H$2:$H$401&lt;&gt;"no_resp")*ISNUMBER(SEARCH(";"&amp;$B33&amp;";",";"&amp;SUBSTITUTE(Afirmaciones!$G$2:$G$401," ","")&amp;";"))*(Afirmaciones!$B$2:$B$401="rag"))&gt;0,1,0))</f>
        <v>0</v>
      </c>
      <c r="G33" s="5">
        <f>IF(COUNTIFS(Afirmaciones!$A$2:$A$401,$A33,Afirmaciones!$B$2:$B$401,"llm")=0,"",IF(SUMPRODUCT((Afirmaciones!$A$2:$A$401=$A33)*(Afirmaciones!$F$2:$F$401="CORRECTA")*(Afirmaciones!$H$2:$H$401&lt;&gt;"no_resp")*ISNUMBER(SEARCH(";"&amp;$B33&amp;";",";"&amp;SUBSTITUTE(Afirmaciones!$G$2:$G$401," ","")&amp;";"))*(Afirmaciones!$B$2:$B$401="llm"))&gt;0,1,0))</f>
        <v>1</v>
      </c>
      <c r="H33" s="5">
        <f>IF(COUNTIFS(Afirmaciones!$A$2:$A$401,$A33,Afirmaciones!$B$2:$B$401,"rag")=0,"",IF(SUMPRODUCT((Afirmaciones!$A$2:$A$401=$A33)*(Afirmaciones!$F$2:$F$401="CORRECTA")*(Afirmaciones!$H$2:$H$401&lt;&gt;"no_resp")*ISNUMBER(SEARCH(";"&amp;$B33&amp;";",";"&amp;SUBSTITUTE(Afirmaciones!$G$2:$G$401," ","")&amp;";"))*(Afirmaciones!$B$2:$B$401="rag")*(Afirmaciones!$I$2:$I$401="SOSTENIDA"))&gt;0,1,0))</f>
        <v>0</v>
      </c>
    </row>
    <row r="34" spans="1:8" x14ac:dyDescent="0.25">
      <c r="A34" s="4" t="s">
        <v>124</v>
      </c>
      <c r="B34" s="4" t="s">
        <v>209</v>
      </c>
      <c r="C34" s="4" t="s">
        <v>210</v>
      </c>
      <c r="D34" s="4">
        <v>1</v>
      </c>
      <c r="E34" s="6" t="s">
        <v>76</v>
      </c>
      <c r="F34" s="5">
        <f>IF(COUNTIFS(Afirmaciones!$A$2:$A$401,$A34,Afirmaciones!$B$2:$B$401,"rag")=0,"",IF(SUMPRODUCT((Afirmaciones!$A$2:$A$401=$A34)*(Afirmaciones!$F$2:$F$401="CORRECTA")*(Afirmaciones!$H$2:$H$401&lt;&gt;"no_resp")*ISNUMBER(SEARCH(";"&amp;$B34&amp;";",";"&amp;SUBSTITUTE(Afirmaciones!$G$2:$G$401," ","")&amp;";"))*(Afirmaciones!$B$2:$B$401="rag"))&gt;0,1,0))</f>
        <v>0</v>
      </c>
      <c r="G34" s="5">
        <f>IF(COUNTIFS(Afirmaciones!$A$2:$A$401,$A34,Afirmaciones!$B$2:$B$401,"llm")=0,"",IF(SUMPRODUCT((Afirmaciones!$A$2:$A$401=$A34)*(Afirmaciones!$F$2:$F$401="CORRECTA")*(Afirmaciones!$H$2:$H$401&lt;&gt;"no_resp")*ISNUMBER(SEARCH(";"&amp;$B34&amp;";",";"&amp;SUBSTITUTE(Afirmaciones!$G$2:$G$401," ","")&amp;";"))*(Afirmaciones!$B$2:$B$401="llm"))&gt;0,1,0))</f>
        <v>0</v>
      </c>
      <c r="H34" s="5">
        <f>IF(COUNTIFS(Afirmaciones!$A$2:$A$401,$A34,Afirmaciones!$B$2:$B$401,"rag")=0,"",IF(SUMPRODUCT((Afirmaciones!$A$2:$A$401=$A34)*(Afirmaciones!$F$2:$F$401="CORRECTA")*(Afirmaciones!$H$2:$H$401&lt;&gt;"no_resp")*ISNUMBER(SEARCH(";"&amp;$B34&amp;";",";"&amp;SUBSTITUTE(Afirmaciones!$G$2:$G$401," ","")&amp;";"))*(Afirmaciones!$B$2:$B$401="rag")*(Afirmaciones!$I$2:$I$401="SOSTENIDA"))&gt;0,1,0))</f>
        <v>0</v>
      </c>
    </row>
  </sheetData>
  <sheetProtection sheet="1" formatColumns="0" formatRows="0" sort="0" autoFilter="0"/>
  <dataValidations count="1">
    <dataValidation type="list" allowBlank="1" sqref="E2:E201" xr:uid="{00000000-0002-0000-0300-000000000000}">
      <formula1>"SI,ALT,ALT-P,NO"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6"/>
  <sheetViews>
    <sheetView workbookViewId="0">
      <pane ySplit="1" topLeftCell="A2" activePane="bottomLeft" state="frozen"/>
      <selection pane="bottomLeft"/>
    </sheetView>
  </sheetViews>
  <sheetFormatPr baseColWidth="10" defaultColWidth="9.140625" defaultRowHeight="15" x14ac:dyDescent="0.25"/>
  <cols>
    <col min="1" max="1" width="7" customWidth="1"/>
    <col min="2" max="2" width="6" customWidth="1"/>
    <col min="3" max="3" width="38" customWidth="1"/>
    <col min="4" max="4" width="11" customWidth="1"/>
    <col min="5" max="6" width="8" customWidth="1"/>
    <col min="7" max="7" width="110" customWidth="1"/>
  </cols>
  <sheetData>
    <row r="1" spans="1:7" ht="33.950000000000003" customHeight="1" x14ac:dyDescent="0.25">
      <c r="A1" s="3" t="s">
        <v>32</v>
      </c>
      <c r="B1" s="3" t="s">
        <v>211</v>
      </c>
      <c r="C1" s="3" t="s">
        <v>212</v>
      </c>
      <c r="D1" s="3" t="s">
        <v>213</v>
      </c>
      <c r="E1" s="3" t="s">
        <v>214</v>
      </c>
      <c r="F1" s="3" t="s">
        <v>215</v>
      </c>
      <c r="G1" s="3" t="s">
        <v>216</v>
      </c>
    </row>
    <row r="2" spans="1:7" ht="120" customHeight="1" x14ac:dyDescent="0.25">
      <c r="A2" s="2" t="s">
        <v>64</v>
      </c>
      <c r="B2" s="2">
        <v>1</v>
      </c>
      <c r="C2" s="2" t="s">
        <v>217</v>
      </c>
      <c r="D2" s="2" t="s">
        <v>218</v>
      </c>
      <c r="E2" s="2" t="s">
        <v>219</v>
      </c>
      <c r="F2" s="2">
        <v>1</v>
      </c>
      <c r="G2" s="2" t="s">
        <v>220</v>
      </c>
    </row>
    <row r="3" spans="1:7" ht="120" customHeight="1" x14ac:dyDescent="0.25">
      <c r="A3" s="2" t="s">
        <v>64</v>
      </c>
      <c r="B3" s="2">
        <v>2</v>
      </c>
      <c r="C3" s="2" t="s">
        <v>221</v>
      </c>
      <c r="D3" s="2" t="s">
        <v>222</v>
      </c>
      <c r="E3" s="2" t="s">
        <v>223</v>
      </c>
      <c r="F3" s="2">
        <v>0.39219999999999999</v>
      </c>
      <c r="G3" s="2" t="s">
        <v>224</v>
      </c>
    </row>
    <row r="4" spans="1:7" ht="120" customHeight="1" x14ac:dyDescent="0.25">
      <c r="A4" s="2" t="s">
        <v>64</v>
      </c>
      <c r="B4" s="2">
        <v>3</v>
      </c>
      <c r="C4" s="2" t="s">
        <v>225</v>
      </c>
      <c r="D4" s="2" t="s">
        <v>226</v>
      </c>
      <c r="E4" s="2" t="s">
        <v>227</v>
      </c>
      <c r="F4" s="2">
        <v>0.33329999999999999</v>
      </c>
      <c r="G4" s="2" t="s">
        <v>228</v>
      </c>
    </row>
    <row r="5" spans="1:7" ht="120" customHeight="1" x14ac:dyDescent="0.25">
      <c r="A5" s="2" t="s">
        <v>64</v>
      </c>
      <c r="B5" s="2">
        <v>4</v>
      </c>
      <c r="C5" s="2" t="s">
        <v>229</v>
      </c>
      <c r="D5" s="2" t="s">
        <v>230</v>
      </c>
      <c r="E5" s="2" t="s">
        <v>231</v>
      </c>
      <c r="F5" s="2">
        <v>0.25559999999999999</v>
      </c>
      <c r="G5" s="2" t="s">
        <v>232</v>
      </c>
    </row>
    <row r="6" spans="1:7" ht="120" customHeight="1" x14ac:dyDescent="0.25">
      <c r="A6" s="2" t="s">
        <v>64</v>
      </c>
      <c r="B6" s="2">
        <v>5</v>
      </c>
      <c r="C6" s="2" t="s">
        <v>233</v>
      </c>
      <c r="D6" s="2" t="s">
        <v>234</v>
      </c>
      <c r="E6" s="2" t="s">
        <v>223</v>
      </c>
      <c r="F6" s="2">
        <v>0.25</v>
      </c>
      <c r="G6" s="2" t="s">
        <v>235</v>
      </c>
    </row>
    <row r="7" spans="1:7" ht="120" customHeight="1" x14ac:dyDescent="0.25">
      <c r="A7" s="2" t="s">
        <v>77</v>
      </c>
      <c r="B7" s="2">
        <v>1</v>
      </c>
      <c r="C7" s="2" t="s">
        <v>236</v>
      </c>
      <c r="D7" s="2" t="s">
        <v>237</v>
      </c>
      <c r="E7" s="2" t="s">
        <v>238</v>
      </c>
      <c r="F7" s="2">
        <v>0.5</v>
      </c>
      <c r="G7" s="2" t="s">
        <v>239</v>
      </c>
    </row>
    <row r="8" spans="1:7" ht="120" customHeight="1" x14ac:dyDescent="0.25">
      <c r="A8" s="2" t="s">
        <v>77</v>
      </c>
      <c r="B8" s="2">
        <v>2</v>
      </c>
      <c r="C8" s="2" t="s">
        <v>240</v>
      </c>
      <c r="D8" s="2" t="s">
        <v>241</v>
      </c>
      <c r="E8" s="2" t="s">
        <v>242</v>
      </c>
      <c r="F8" s="2">
        <v>0.5</v>
      </c>
      <c r="G8" s="2" t="s">
        <v>243</v>
      </c>
    </row>
    <row r="9" spans="1:7" ht="120" customHeight="1" x14ac:dyDescent="0.25">
      <c r="A9" s="2" t="s">
        <v>77</v>
      </c>
      <c r="B9" s="2">
        <v>3</v>
      </c>
      <c r="C9" s="2" t="s">
        <v>244</v>
      </c>
      <c r="D9" s="2" t="s">
        <v>245</v>
      </c>
      <c r="E9" s="2" t="s">
        <v>246</v>
      </c>
      <c r="F9" s="2">
        <v>0.36109999999999998</v>
      </c>
      <c r="G9" s="2" t="s">
        <v>247</v>
      </c>
    </row>
    <row r="10" spans="1:7" ht="120" customHeight="1" x14ac:dyDescent="0.25">
      <c r="A10" s="2" t="s">
        <v>77</v>
      </c>
      <c r="B10" s="2">
        <v>4</v>
      </c>
      <c r="C10" s="2" t="s">
        <v>248</v>
      </c>
      <c r="D10" s="2" t="s">
        <v>249</v>
      </c>
      <c r="E10" s="2" t="s">
        <v>223</v>
      </c>
      <c r="F10" s="2">
        <v>0.33329999999999999</v>
      </c>
      <c r="G10" s="2" t="s">
        <v>250</v>
      </c>
    </row>
    <row r="11" spans="1:7" ht="120" customHeight="1" x14ac:dyDescent="0.25">
      <c r="A11" s="2" t="s">
        <v>77</v>
      </c>
      <c r="B11" s="2">
        <v>5</v>
      </c>
      <c r="C11" s="2" t="s">
        <v>251</v>
      </c>
      <c r="D11" s="2" t="s">
        <v>252</v>
      </c>
      <c r="E11" s="2" t="s">
        <v>253</v>
      </c>
      <c r="F11" s="2">
        <v>0.33329999999999999</v>
      </c>
      <c r="G11" s="2" t="s">
        <v>254</v>
      </c>
    </row>
    <row r="12" spans="1:7" ht="120" customHeight="1" x14ac:dyDescent="0.25">
      <c r="A12" s="2" t="s">
        <v>85</v>
      </c>
      <c r="B12" s="2">
        <v>1</v>
      </c>
      <c r="C12" s="2" t="s">
        <v>255</v>
      </c>
      <c r="D12" s="2" t="s">
        <v>256</v>
      </c>
      <c r="E12" s="2" t="s">
        <v>257</v>
      </c>
      <c r="F12" s="2">
        <v>1</v>
      </c>
      <c r="G12" s="2" t="s">
        <v>258</v>
      </c>
    </row>
    <row r="13" spans="1:7" ht="120" customHeight="1" x14ac:dyDescent="0.25">
      <c r="A13" s="2" t="s">
        <v>85</v>
      </c>
      <c r="B13" s="2">
        <v>2</v>
      </c>
      <c r="C13" s="2" t="s">
        <v>259</v>
      </c>
      <c r="D13" s="2" t="s">
        <v>260</v>
      </c>
      <c r="E13" s="2" t="s">
        <v>246</v>
      </c>
      <c r="F13" s="2">
        <v>0.33329999999999999</v>
      </c>
      <c r="G13" s="2" t="s">
        <v>261</v>
      </c>
    </row>
    <row r="14" spans="1:7" ht="120" customHeight="1" x14ac:dyDescent="0.25">
      <c r="A14" s="2" t="s">
        <v>85</v>
      </c>
      <c r="B14" s="2">
        <v>3</v>
      </c>
      <c r="C14" s="2" t="s">
        <v>262</v>
      </c>
      <c r="D14" s="2" t="s">
        <v>263</v>
      </c>
      <c r="E14" s="2" t="s">
        <v>122</v>
      </c>
      <c r="F14" s="2">
        <v>0.33329999999999999</v>
      </c>
      <c r="G14" s="2" t="s">
        <v>264</v>
      </c>
    </row>
    <row r="15" spans="1:7" ht="120" customHeight="1" x14ac:dyDescent="0.25">
      <c r="A15" s="2" t="s">
        <v>85</v>
      </c>
      <c r="B15" s="2">
        <v>4</v>
      </c>
      <c r="C15" s="2" t="s">
        <v>265</v>
      </c>
      <c r="D15" s="2" t="s">
        <v>266</v>
      </c>
      <c r="E15" s="2" t="s">
        <v>122</v>
      </c>
      <c r="F15" s="2">
        <v>0.25</v>
      </c>
      <c r="G15" s="2" t="s">
        <v>267</v>
      </c>
    </row>
    <row r="16" spans="1:7" ht="120" customHeight="1" x14ac:dyDescent="0.25">
      <c r="A16" s="2" t="s">
        <v>85</v>
      </c>
      <c r="B16" s="2">
        <v>5</v>
      </c>
      <c r="C16" s="2" t="s">
        <v>268</v>
      </c>
      <c r="D16" s="2" t="s">
        <v>269</v>
      </c>
      <c r="E16" s="2" t="s">
        <v>257</v>
      </c>
      <c r="F16" s="2">
        <v>0.25</v>
      </c>
      <c r="G16" s="2" t="s">
        <v>270</v>
      </c>
    </row>
    <row r="17" spans="1:7" ht="120" customHeight="1" x14ac:dyDescent="0.25">
      <c r="A17" s="2" t="s">
        <v>92</v>
      </c>
      <c r="B17" s="2">
        <v>1</v>
      </c>
      <c r="C17" s="2" t="s">
        <v>271</v>
      </c>
      <c r="D17" s="2" t="s">
        <v>272</v>
      </c>
      <c r="E17" s="2" t="s">
        <v>246</v>
      </c>
      <c r="F17" s="2">
        <v>1</v>
      </c>
      <c r="G17" s="2" t="s">
        <v>273</v>
      </c>
    </row>
    <row r="18" spans="1:7" ht="120" customHeight="1" x14ac:dyDescent="0.25">
      <c r="A18" s="2" t="s">
        <v>92</v>
      </c>
      <c r="B18" s="2">
        <v>2</v>
      </c>
      <c r="C18" s="2" t="s">
        <v>274</v>
      </c>
      <c r="D18" s="2" t="s">
        <v>275</v>
      </c>
      <c r="E18" s="2" t="s">
        <v>276</v>
      </c>
      <c r="F18" s="2">
        <v>0.66669999999999996</v>
      </c>
      <c r="G18" s="2" t="s">
        <v>277</v>
      </c>
    </row>
    <row r="19" spans="1:7" ht="120" customHeight="1" x14ac:dyDescent="0.25">
      <c r="A19" s="2" t="s">
        <v>92</v>
      </c>
      <c r="B19" s="2">
        <v>3</v>
      </c>
      <c r="C19" s="2" t="s">
        <v>278</v>
      </c>
      <c r="D19" s="2" t="s">
        <v>279</v>
      </c>
      <c r="E19" s="2" t="s">
        <v>238</v>
      </c>
      <c r="F19" s="2">
        <v>0.3</v>
      </c>
      <c r="G19" s="2" t="s">
        <v>280</v>
      </c>
    </row>
    <row r="20" spans="1:7" ht="120" customHeight="1" x14ac:dyDescent="0.25">
      <c r="A20" s="2" t="s">
        <v>92</v>
      </c>
      <c r="B20" s="2">
        <v>4</v>
      </c>
      <c r="C20" s="2" t="s">
        <v>281</v>
      </c>
      <c r="D20" s="2" t="s">
        <v>282</v>
      </c>
      <c r="E20" s="2" t="s">
        <v>223</v>
      </c>
      <c r="F20" s="2">
        <v>0.2576</v>
      </c>
      <c r="G20" s="2" t="s">
        <v>283</v>
      </c>
    </row>
    <row r="21" spans="1:7" ht="120" customHeight="1" x14ac:dyDescent="0.25">
      <c r="A21" s="2" t="s">
        <v>92</v>
      </c>
      <c r="B21" s="2">
        <v>5</v>
      </c>
      <c r="C21" s="2" t="s">
        <v>284</v>
      </c>
      <c r="D21" s="2" t="s">
        <v>285</v>
      </c>
      <c r="E21" s="2" t="s">
        <v>286</v>
      </c>
      <c r="F21" s="2">
        <v>0.25</v>
      </c>
      <c r="G21" s="2" t="s">
        <v>287</v>
      </c>
    </row>
    <row r="22" spans="1:7" ht="120" customHeight="1" x14ac:dyDescent="0.25">
      <c r="A22" s="2" t="s">
        <v>99</v>
      </c>
      <c r="B22" s="2">
        <v>1</v>
      </c>
      <c r="C22" s="2" t="s">
        <v>288</v>
      </c>
      <c r="D22" s="2" t="s">
        <v>289</v>
      </c>
      <c r="E22" s="2" t="s">
        <v>290</v>
      </c>
      <c r="F22" s="2">
        <v>0.75</v>
      </c>
      <c r="G22" s="2" t="s">
        <v>291</v>
      </c>
    </row>
    <row r="23" spans="1:7" ht="120" customHeight="1" x14ac:dyDescent="0.25">
      <c r="A23" s="2" t="s">
        <v>99</v>
      </c>
      <c r="B23" s="2">
        <v>2</v>
      </c>
      <c r="C23" s="2" t="s">
        <v>292</v>
      </c>
      <c r="D23" s="2" t="s">
        <v>289</v>
      </c>
      <c r="E23" s="2" t="s">
        <v>73</v>
      </c>
      <c r="F23" s="2">
        <v>0.55559999999999998</v>
      </c>
      <c r="G23" s="2" t="s">
        <v>293</v>
      </c>
    </row>
    <row r="24" spans="1:7" ht="120" customHeight="1" x14ac:dyDescent="0.25">
      <c r="A24" s="2" t="s">
        <v>99</v>
      </c>
      <c r="B24" s="2">
        <v>3</v>
      </c>
      <c r="C24" s="2" t="s">
        <v>294</v>
      </c>
      <c r="D24" s="2" t="s">
        <v>295</v>
      </c>
      <c r="E24" s="2" t="s">
        <v>296</v>
      </c>
      <c r="F24" s="2">
        <v>0.44440000000000002</v>
      </c>
      <c r="G24" s="2" t="s">
        <v>297</v>
      </c>
    </row>
    <row r="25" spans="1:7" ht="120" customHeight="1" x14ac:dyDescent="0.25">
      <c r="A25" s="2" t="s">
        <v>99</v>
      </c>
      <c r="B25" s="2">
        <v>4</v>
      </c>
      <c r="C25" s="2" t="s">
        <v>298</v>
      </c>
      <c r="D25" s="2" t="s">
        <v>299</v>
      </c>
      <c r="E25" s="2" t="s">
        <v>223</v>
      </c>
      <c r="F25" s="2">
        <v>0.33329999999999999</v>
      </c>
      <c r="G25" s="2" t="s">
        <v>300</v>
      </c>
    </row>
    <row r="26" spans="1:7" ht="120" customHeight="1" x14ac:dyDescent="0.25">
      <c r="A26" s="2" t="s">
        <v>99</v>
      </c>
      <c r="B26" s="2">
        <v>5</v>
      </c>
      <c r="C26" s="2" t="s">
        <v>301</v>
      </c>
      <c r="D26" s="2" t="s">
        <v>302</v>
      </c>
      <c r="E26" s="2" t="s">
        <v>303</v>
      </c>
      <c r="F26" s="2">
        <v>0.30259999999999998</v>
      </c>
      <c r="G26" s="2" t="s">
        <v>304</v>
      </c>
    </row>
    <row r="27" spans="1:7" ht="120" customHeight="1" x14ac:dyDescent="0.25">
      <c r="A27" s="2" t="s">
        <v>105</v>
      </c>
      <c r="B27" s="2">
        <v>1</v>
      </c>
      <c r="C27" s="2" t="s">
        <v>305</v>
      </c>
      <c r="D27" s="2" t="s">
        <v>306</v>
      </c>
      <c r="E27" s="2" t="s">
        <v>223</v>
      </c>
      <c r="F27" s="2">
        <v>0.5</v>
      </c>
      <c r="G27" s="2" t="s">
        <v>307</v>
      </c>
    </row>
    <row r="28" spans="1:7" ht="120" customHeight="1" x14ac:dyDescent="0.25">
      <c r="A28" s="2" t="s">
        <v>105</v>
      </c>
      <c r="B28" s="2">
        <v>2</v>
      </c>
      <c r="C28" s="2" t="s">
        <v>308</v>
      </c>
      <c r="D28" s="2" t="s">
        <v>226</v>
      </c>
      <c r="E28" s="2" t="s">
        <v>122</v>
      </c>
      <c r="F28" s="2">
        <v>0.5</v>
      </c>
      <c r="G28" s="2" t="s">
        <v>309</v>
      </c>
    </row>
    <row r="29" spans="1:7" ht="120" customHeight="1" x14ac:dyDescent="0.25">
      <c r="A29" s="2" t="s">
        <v>105</v>
      </c>
      <c r="B29" s="2">
        <v>3</v>
      </c>
      <c r="C29" s="2" t="s">
        <v>310</v>
      </c>
      <c r="D29" s="2" t="s">
        <v>311</v>
      </c>
      <c r="E29" s="2" t="s">
        <v>223</v>
      </c>
      <c r="F29" s="2">
        <v>0.38600000000000001</v>
      </c>
      <c r="G29" s="2" t="s">
        <v>312</v>
      </c>
    </row>
    <row r="30" spans="1:7" ht="120" customHeight="1" x14ac:dyDescent="0.25">
      <c r="A30" s="2" t="s">
        <v>105</v>
      </c>
      <c r="B30" s="2">
        <v>4</v>
      </c>
      <c r="C30" s="2" t="s">
        <v>313</v>
      </c>
      <c r="D30" s="2" t="s">
        <v>314</v>
      </c>
      <c r="E30" s="2" t="s">
        <v>253</v>
      </c>
      <c r="F30" s="2">
        <v>0.36670000000000003</v>
      </c>
      <c r="G30" s="2" t="s">
        <v>315</v>
      </c>
    </row>
    <row r="31" spans="1:7" ht="120" customHeight="1" x14ac:dyDescent="0.25">
      <c r="A31" s="2" t="s">
        <v>105</v>
      </c>
      <c r="B31" s="2">
        <v>5</v>
      </c>
      <c r="C31" s="2" t="s">
        <v>316</v>
      </c>
      <c r="D31" s="2" t="s">
        <v>314</v>
      </c>
      <c r="E31" s="2" t="s">
        <v>129</v>
      </c>
      <c r="F31" s="2">
        <v>0.33329999999999999</v>
      </c>
      <c r="G31" s="2" t="s">
        <v>317</v>
      </c>
    </row>
    <row r="32" spans="1:7" ht="120" customHeight="1" x14ac:dyDescent="0.25">
      <c r="A32" s="2" t="s">
        <v>112</v>
      </c>
      <c r="B32" s="2">
        <v>1</v>
      </c>
      <c r="C32" s="2" t="s">
        <v>318</v>
      </c>
      <c r="D32" s="2" t="s">
        <v>319</v>
      </c>
      <c r="E32" s="2" t="s">
        <v>320</v>
      </c>
      <c r="F32" s="2">
        <v>1</v>
      </c>
      <c r="G32" s="2" t="s">
        <v>321</v>
      </c>
    </row>
    <row r="33" spans="1:7" ht="120" customHeight="1" x14ac:dyDescent="0.25">
      <c r="A33" s="2" t="s">
        <v>112</v>
      </c>
      <c r="B33" s="2">
        <v>2</v>
      </c>
      <c r="C33" s="2" t="s">
        <v>322</v>
      </c>
      <c r="D33" s="2" t="s">
        <v>319</v>
      </c>
      <c r="E33" s="2" t="s">
        <v>323</v>
      </c>
      <c r="F33" s="2">
        <v>0.5</v>
      </c>
      <c r="G33" s="2" t="s">
        <v>324</v>
      </c>
    </row>
    <row r="34" spans="1:7" ht="120" customHeight="1" x14ac:dyDescent="0.25">
      <c r="A34" s="2" t="s">
        <v>112</v>
      </c>
      <c r="B34" s="2">
        <v>3</v>
      </c>
      <c r="C34" s="2" t="s">
        <v>325</v>
      </c>
      <c r="D34" s="2" t="s">
        <v>319</v>
      </c>
      <c r="E34" s="2" t="s">
        <v>326</v>
      </c>
      <c r="F34" s="2">
        <v>0.47620000000000001</v>
      </c>
      <c r="G34" s="2" t="s">
        <v>327</v>
      </c>
    </row>
    <row r="35" spans="1:7" ht="120" customHeight="1" x14ac:dyDescent="0.25">
      <c r="A35" s="2" t="s">
        <v>112</v>
      </c>
      <c r="B35" s="2">
        <v>4</v>
      </c>
      <c r="C35" s="2" t="s">
        <v>328</v>
      </c>
      <c r="D35" s="2" t="s">
        <v>329</v>
      </c>
      <c r="E35" s="2" t="s">
        <v>246</v>
      </c>
      <c r="F35" s="2">
        <v>0.41670000000000001</v>
      </c>
      <c r="G35" s="2" t="s">
        <v>330</v>
      </c>
    </row>
    <row r="36" spans="1:7" ht="120" customHeight="1" x14ac:dyDescent="0.25">
      <c r="A36" s="2" t="s">
        <v>112</v>
      </c>
      <c r="B36" s="2">
        <v>5</v>
      </c>
      <c r="C36" s="2" t="s">
        <v>331</v>
      </c>
      <c r="D36" s="2" t="s">
        <v>332</v>
      </c>
      <c r="E36" s="2" t="s">
        <v>333</v>
      </c>
      <c r="F36" s="2">
        <v>0.39290000000000003</v>
      </c>
      <c r="G36" s="2" t="s">
        <v>334</v>
      </c>
    </row>
    <row r="37" spans="1:7" ht="120" customHeight="1" x14ac:dyDescent="0.25">
      <c r="A37" s="2" t="s">
        <v>117</v>
      </c>
      <c r="B37" s="2">
        <v>1</v>
      </c>
      <c r="C37" s="2" t="s">
        <v>325</v>
      </c>
      <c r="D37" s="2" t="s">
        <v>319</v>
      </c>
      <c r="E37" s="2" t="s">
        <v>326</v>
      </c>
      <c r="F37" s="2">
        <v>0.83330000000000004</v>
      </c>
      <c r="G37" s="2" t="s">
        <v>327</v>
      </c>
    </row>
    <row r="38" spans="1:7" ht="120" customHeight="1" x14ac:dyDescent="0.25">
      <c r="A38" s="2" t="s">
        <v>117</v>
      </c>
      <c r="B38" s="2">
        <v>2</v>
      </c>
      <c r="C38" s="2" t="s">
        <v>328</v>
      </c>
      <c r="D38" s="2" t="s">
        <v>329</v>
      </c>
      <c r="E38" s="2" t="s">
        <v>246</v>
      </c>
      <c r="F38" s="2">
        <v>0.83330000000000004</v>
      </c>
      <c r="G38" s="2" t="s">
        <v>330</v>
      </c>
    </row>
    <row r="39" spans="1:7" ht="120" customHeight="1" x14ac:dyDescent="0.25">
      <c r="A39" s="2" t="s">
        <v>117</v>
      </c>
      <c r="B39" s="2">
        <v>3</v>
      </c>
      <c r="C39" s="2" t="s">
        <v>335</v>
      </c>
      <c r="D39" s="2" t="s">
        <v>319</v>
      </c>
      <c r="E39" s="2" t="s">
        <v>336</v>
      </c>
      <c r="F39" s="2">
        <v>0.29089999999999999</v>
      </c>
      <c r="G39" s="2" t="s">
        <v>337</v>
      </c>
    </row>
    <row r="40" spans="1:7" ht="120" customHeight="1" x14ac:dyDescent="0.25">
      <c r="A40" s="2" t="s">
        <v>117</v>
      </c>
      <c r="B40" s="2">
        <v>4</v>
      </c>
      <c r="C40" s="2" t="s">
        <v>338</v>
      </c>
      <c r="D40" s="2" t="s">
        <v>339</v>
      </c>
      <c r="E40" s="2" t="s">
        <v>238</v>
      </c>
      <c r="F40" s="2">
        <v>0.25</v>
      </c>
      <c r="G40" s="2" t="s">
        <v>340</v>
      </c>
    </row>
    <row r="41" spans="1:7" ht="120" customHeight="1" x14ac:dyDescent="0.25">
      <c r="A41" s="2" t="s">
        <v>117</v>
      </c>
      <c r="B41" s="2">
        <v>5</v>
      </c>
      <c r="C41" s="2" t="s">
        <v>341</v>
      </c>
      <c r="D41" s="2" t="s">
        <v>342</v>
      </c>
      <c r="E41" s="2" t="s">
        <v>73</v>
      </c>
      <c r="F41" s="2">
        <v>0.25</v>
      </c>
      <c r="G41" s="2" t="s">
        <v>343</v>
      </c>
    </row>
    <row r="42" spans="1:7" ht="120" customHeight="1" x14ac:dyDescent="0.25">
      <c r="A42" s="2" t="s">
        <v>124</v>
      </c>
      <c r="B42" s="2">
        <v>1</v>
      </c>
      <c r="C42" s="2" t="s">
        <v>344</v>
      </c>
      <c r="D42" s="2" t="s">
        <v>345</v>
      </c>
      <c r="E42" s="2" t="s">
        <v>253</v>
      </c>
      <c r="F42" s="2">
        <v>0.57689999999999997</v>
      </c>
      <c r="G42" s="2" t="s">
        <v>346</v>
      </c>
    </row>
    <row r="43" spans="1:7" ht="120" customHeight="1" x14ac:dyDescent="0.25">
      <c r="A43" s="2" t="s">
        <v>124</v>
      </c>
      <c r="B43" s="2">
        <v>2</v>
      </c>
      <c r="C43" s="2" t="s">
        <v>240</v>
      </c>
      <c r="D43" s="2" t="s">
        <v>241</v>
      </c>
      <c r="E43" s="2" t="s">
        <v>242</v>
      </c>
      <c r="F43" s="2">
        <v>0.5</v>
      </c>
      <c r="G43" s="2" t="s">
        <v>243</v>
      </c>
    </row>
    <row r="44" spans="1:7" ht="120" customHeight="1" x14ac:dyDescent="0.25">
      <c r="A44" s="2" t="s">
        <v>124</v>
      </c>
      <c r="B44" s="2">
        <v>3</v>
      </c>
      <c r="C44" s="2" t="s">
        <v>347</v>
      </c>
      <c r="D44" s="2" t="s">
        <v>241</v>
      </c>
      <c r="E44" s="2" t="s">
        <v>348</v>
      </c>
      <c r="F44" s="2">
        <v>0.35</v>
      </c>
      <c r="G44" s="2" t="s">
        <v>349</v>
      </c>
    </row>
    <row r="45" spans="1:7" ht="120" customHeight="1" x14ac:dyDescent="0.25">
      <c r="A45" s="2" t="s">
        <v>124</v>
      </c>
      <c r="B45" s="2">
        <v>4</v>
      </c>
      <c r="C45" s="2" t="s">
        <v>350</v>
      </c>
      <c r="D45" s="2" t="s">
        <v>351</v>
      </c>
      <c r="E45" s="2" t="s">
        <v>242</v>
      </c>
      <c r="F45" s="2">
        <v>0.33329999999999999</v>
      </c>
      <c r="G45" s="2" t="s">
        <v>352</v>
      </c>
    </row>
    <row r="46" spans="1:7" ht="120" customHeight="1" x14ac:dyDescent="0.25">
      <c r="A46" s="2" t="s">
        <v>124</v>
      </c>
      <c r="B46" s="2">
        <v>5</v>
      </c>
      <c r="C46" s="2" t="s">
        <v>353</v>
      </c>
      <c r="D46" s="2" t="s">
        <v>241</v>
      </c>
      <c r="E46" s="2" t="s">
        <v>286</v>
      </c>
      <c r="F46" s="2">
        <v>0.33329999999999999</v>
      </c>
      <c r="G46" s="2" t="s">
        <v>354</v>
      </c>
    </row>
    <row r="47" spans="1:7" ht="120" customHeight="1" x14ac:dyDescent="0.25">
      <c r="A47" s="2" t="s">
        <v>131</v>
      </c>
      <c r="B47" s="2">
        <v>1</v>
      </c>
      <c r="C47" s="2" t="s">
        <v>355</v>
      </c>
      <c r="D47" s="2" t="s">
        <v>356</v>
      </c>
      <c r="E47" s="2" t="s">
        <v>73</v>
      </c>
      <c r="F47" s="2">
        <v>1</v>
      </c>
      <c r="G47" s="2" t="s">
        <v>357</v>
      </c>
    </row>
    <row r="48" spans="1:7" ht="120" customHeight="1" x14ac:dyDescent="0.25">
      <c r="A48" s="2" t="s">
        <v>131</v>
      </c>
      <c r="B48" s="2">
        <v>2</v>
      </c>
      <c r="C48" s="2" t="s">
        <v>358</v>
      </c>
      <c r="D48" s="2" t="s">
        <v>359</v>
      </c>
      <c r="E48" s="2" t="s">
        <v>246</v>
      </c>
      <c r="F48" s="2">
        <v>0.41670000000000001</v>
      </c>
      <c r="G48" s="2" t="s">
        <v>360</v>
      </c>
    </row>
    <row r="49" spans="1:7" ht="120" customHeight="1" x14ac:dyDescent="0.25">
      <c r="A49" s="2" t="s">
        <v>131</v>
      </c>
      <c r="B49" s="2">
        <v>3</v>
      </c>
      <c r="C49" s="2" t="s">
        <v>361</v>
      </c>
      <c r="D49" s="2" t="s">
        <v>362</v>
      </c>
      <c r="E49" s="2" t="s">
        <v>363</v>
      </c>
      <c r="F49" s="2">
        <v>0.39290000000000003</v>
      </c>
      <c r="G49" s="2" t="s">
        <v>364</v>
      </c>
    </row>
    <row r="50" spans="1:7" ht="120" customHeight="1" x14ac:dyDescent="0.25">
      <c r="A50" s="2" t="s">
        <v>131</v>
      </c>
      <c r="B50" s="2">
        <v>4</v>
      </c>
      <c r="C50" s="2" t="s">
        <v>365</v>
      </c>
      <c r="D50" s="2" t="s">
        <v>366</v>
      </c>
      <c r="E50" s="2" t="s">
        <v>257</v>
      </c>
      <c r="F50" s="2">
        <v>0.38329999999999997</v>
      </c>
      <c r="G50" s="2" t="s">
        <v>367</v>
      </c>
    </row>
    <row r="51" spans="1:7" ht="120" customHeight="1" x14ac:dyDescent="0.25">
      <c r="A51" s="2" t="s">
        <v>131</v>
      </c>
      <c r="B51" s="2">
        <v>5</v>
      </c>
      <c r="C51" s="2" t="s">
        <v>368</v>
      </c>
      <c r="D51" s="2" t="s">
        <v>362</v>
      </c>
      <c r="E51" s="2" t="s">
        <v>369</v>
      </c>
      <c r="F51" s="2">
        <v>0.33329999999999999</v>
      </c>
      <c r="G51" s="2" t="s">
        <v>370</v>
      </c>
    </row>
    <row r="52" spans="1:7" ht="120" customHeight="1" x14ac:dyDescent="0.25">
      <c r="A52" s="2" t="s">
        <v>140</v>
      </c>
      <c r="B52" s="2">
        <v>1</v>
      </c>
      <c r="C52" s="2" t="s">
        <v>371</v>
      </c>
      <c r="D52" s="2" t="s">
        <v>372</v>
      </c>
      <c r="E52" s="2" t="s">
        <v>333</v>
      </c>
      <c r="F52" s="2">
        <v>0.5</v>
      </c>
      <c r="G52" s="2" t="s">
        <v>373</v>
      </c>
    </row>
    <row r="53" spans="1:7" ht="120" customHeight="1" x14ac:dyDescent="0.25">
      <c r="A53" s="2" t="s">
        <v>140</v>
      </c>
      <c r="B53" s="2">
        <v>2</v>
      </c>
      <c r="C53" s="2" t="s">
        <v>374</v>
      </c>
      <c r="D53" s="2" t="s">
        <v>375</v>
      </c>
      <c r="E53" s="2" t="s">
        <v>238</v>
      </c>
      <c r="F53" s="2">
        <v>0.5</v>
      </c>
      <c r="G53" s="2" t="s">
        <v>376</v>
      </c>
    </row>
    <row r="54" spans="1:7" ht="120" customHeight="1" x14ac:dyDescent="0.25">
      <c r="A54" s="2" t="s">
        <v>140</v>
      </c>
      <c r="B54" s="2">
        <v>3</v>
      </c>
      <c r="C54" s="2" t="s">
        <v>377</v>
      </c>
      <c r="D54" s="2" t="s">
        <v>378</v>
      </c>
      <c r="E54" s="2" t="s">
        <v>379</v>
      </c>
      <c r="F54" s="2">
        <v>0.33329999999999999</v>
      </c>
      <c r="G54" s="2" t="s">
        <v>380</v>
      </c>
    </row>
    <row r="55" spans="1:7" ht="120" customHeight="1" x14ac:dyDescent="0.25">
      <c r="A55" s="2" t="s">
        <v>140</v>
      </c>
      <c r="B55" s="2">
        <v>4</v>
      </c>
      <c r="C55" s="2" t="s">
        <v>381</v>
      </c>
      <c r="D55" s="2" t="s">
        <v>382</v>
      </c>
      <c r="E55" s="2" t="s">
        <v>246</v>
      </c>
      <c r="F55" s="2">
        <v>0.33329999999999999</v>
      </c>
      <c r="G55" s="2" t="s">
        <v>383</v>
      </c>
    </row>
    <row r="56" spans="1:7" ht="120" customHeight="1" x14ac:dyDescent="0.25">
      <c r="A56" s="2" t="s">
        <v>140</v>
      </c>
      <c r="B56" s="2">
        <v>5</v>
      </c>
      <c r="C56" s="2" t="s">
        <v>384</v>
      </c>
      <c r="D56" s="2" t="s">
        <v>385</v>
      </c>
      <c r="E56" s="2" t="s">
        <v>223</v>
      </c>
      <c r="F56" s="2">
        <v>0.27139999999999997</v>
      </c>
      <c r="G56" s="2" t="s">
        <v>386</v>
      </c>
    </row>
    <row r="57" spans="1:7" ht="120" customHeight="1" x14ac:dyDescent="0.25">
      <c r="A57" s="2" t="s">
        <v>146</v>
      </c>
      <c r="B57" s="2">
        <v>1</v>
      </c>
      <c r="C57" s="2" t="s">
        <v>387</v>
      </c>
      <c r="D57" s="2" t="s">
        <v>388</v>
      </c>
      <c r="E57" s="2" t="s">
        <v>223</v>
      </c>
      <c r="F57" s="2">
        <v>0.5</v>
      </c>
      <c r="G57" s="2" t="s">
        <v>389</v>
      </c>
    </row>
    <row r="58" spans="1:7" ht="120" customHeight="1" x14ac:dyDescent="0.25">
      <c r="A58" s="2" t="s">
        <v>146</v>
      </c>
      <c r="B58" s="2">
        <v>2</v>
      </c>
      <c r="C58" s="2" t="s">
        <v>390</v>
      </c>
      <c r="D58" s="2" t="s">
        <v>391</v>
      </c>
      <c r="E58" s="2" t="s">
        <v>257</v>
      </c>
      <c r="F58" s="2">
        <v>0.5</v>
      </c>
      <c r="G58" s="2" t="s">
        <v>392</v>
      </c>
    </row>
    <row r="59" spans="1:7" ht="120" customHeight="1" x14ac:dyDescent="0.25">
      <c r="A59" s="2" t="s">
        <v>146</v>
      </c>
      <c r="B59" s="2">
        <v>3</v>
      </c>
      <c r="C59" s="2" t="s">
        <v>393</v>
      </c>
      <c r="D59" s="2" t="s">
        <v>394</v>
      </c>
      <c r="E59" s="2" t="s">
        <v>122</v>
      </c>
      <c r="F59" s="2">
        <v>0.33329999999999999</v>
      </c>
      <c r="G59" s="2" t="s">
        <v>395</v>
      </c>
    </row>
    <row r="60" spans="1:7" ht="120" customHeight="1" x14ac:dyDescent="0.25">
      <c r="A60" s="2" t="s">
        <v>146</v>
      </c>
      <c r="B60" s="2">
        <v>4</v>
      </c>
      <c r="C60" s="2" t="s">
        <v>396</v>
      </c>
      <c r="D60" s="2" t="s">
        <v>397</v>
      </c>
      <c r="E60" s="2" t="s">
        <v>242</v>
      </c>
      <c r="F60" s="2">
        <v>0.33329999999999999</v>
      </c>
      <c r="G60" s="2" t="s">
        <v>398</v>
      </c>
    </row>
    <row r="61" spans="1:7" ht="120" customHeight="1" x14ac:dyDescent="0.25">
      <c r="A61" s="2" t="s">
        <v>146</v>
      </c>
      <c r="B61" s="2">
        <v>5</v>
      </c>
      <c r="C61" s="2" t="s">
        <v>399</v>
      </c>
      <c r="D61" s="2" t="s">
        <v>400</v>
      </c>
      <c r="E61" s="2" t="s">
        <v>122</v>
      </c>
      <c r="F61" s="2">
        <v>0.25</v>
      </c>
      <c r="G61" s="2" t="s">
        <v>401</v>
      </c>
    </row>
    <row r="62" spans="1:7" ht="120" customHeight="1" x14ac:dyDescent="0.25">
      <c r="A62" s="2" t="s">
        <v>151</v>
      </c>
      <c r="B62" s="2">
        <v>1</v>
      </c>
      <c r="C62" s="2" t="s">
        <v>402</v>
      </c>
      <c r="D62" s="2" t="s">
        <v>403</v>
      </c>
      <c r="E62" s="2" t="s">
        <v>227</v>
      </c>
      <c r="F62" s="2">
        <v>0.5</v>
      </c>
      <c r="G62" s="2" t="s">
        <v>404</v>
      </c>
    </row>
    <row r="63" spans="1:7" ht="120" customHeight="1" x14ac:dyDescent="0.25">
      <c r="A63" s="2" t="s">
        <v>151</v>
      </c>
      <c r="B63" s="2">
        <v>2</v>
      </c>
      <c r="C63" s="2" t="s">
        <v>405</v>
      </c>
      <c r="D63" s="2" t="s">
        <v>406</v>
      </c>
      <c r="E63" s="2" t="s">
        <v>73</v>
      </c>
      <c r="F63" s="2">
        <v>0.5</v>
      </c>
      <c r="G63" s="2" t="s">
        <v>407</v>
      </c>
    </row>
    <row r="64" spans="1:7" ht="120" customHeight="1" x14ac:dyDescent="0.25">
      <c r="A64" s="2" t="s">
        <v>151</v>
      </c>
      <c r="B64" s="2">
        <v>3</v>
      </c>
      <c r="C64" s="2" t="s">
        <v>408</v>
      </c>
      <c r="D64" s="2" t="s">
        <v>409</v>
      </c>
      <c r="E64" s="2" t="s">
        <v>122</v>
      </c>
      <c r="F64" s="2">
        <v>0.38329999999999997</v>
      </c>
      <c r="G64" s="2" t="s">
        <v>410</v>
      </c>
    </row>
    <row r="65" spans="1:7" ht="120" customHeight="1" x14ac:dyDescent="0.25">
      <c r="A65" s="2" t="s">
        <v>151</v>
      </c>
      <c r="B65" s="2">
        <v>4</v>
      </c>
      <c r="C65" s="2" t="s">
        <v>411</v>
      </c>
      <c r="D65" s="2" t="s">
        <v>412</v>
      </c>
      <c r="E65" s="2" t="s">
        <v>223</v>
      </c>
      <c r="F65" s="2">
        <v>0.33329999999999999</v>
      </c>
      <c r="G65" s="2" t="s">
        <v>413</v>
      </c>
    </row>
    <row r="66" spans="1:7" ht="120" customHeight="1" x14ac:dyDescent="0.25">
      <c r="A66" s="2" t="s">
        <v>151</v>
      </c>
      <c r="B66" s="2">
        <v>5</v>
      </c>
      <c r="C66" s="2" t="s">
        <v>414</v>
      </c>
      <c r="D66" s="2" t="s">
        <v>415</v>
      </c>
      <c r="E66" s="2" t="s">
        <v>246</v>
      </c>
      <c r="F66" s="2">
        <v>0.29170000000000001</v>
      </c>
      <c r="G66" s="2" t="s">
        <v>416</v>
      </c>
    </row>
  </sheetData>
  <sheetProtection sheet="1" formatColumns="0" formatRows="0" sort="0" autoFilter="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9"/>
  <sheetViews>
    <sheetView workbookViewId="0"/>
  </sheetViews>
  <sheetFormatPr baseColWidth="10" defaultColWidth="9.140625" defaultRowHeight="15" x14ac:dyDescent="0.25"/>
  <cols>
    <col min="1" max="1" width="58" customWidth="1"/>
    <col min="2" max="3" width="16" customWidth="1"/>
  </cols>
  <sheetData>
    <row r="1" spans="1:3" x14ac:dyDescent="0.25">
      <c r="A1" s="7" t="s">
        <v>417</v>
      </c>
      <c r="B1" s="7" t="s">
        <v>418</v>
      </c>
      <c r="C1" s="7" t="s">
        <v>419</v>
      </c>
    </row>
    <row r="2" spans="1:3" x14ac:dyDescent="0.25">
      <c r="A2" s="8" t="s">
        <v>420</v>
      </c>
      <c r="B2" s="8">
        <f>COUNTIFS(Respuestas!$B$2:$B$200,"rag",Respuestas!$L$2:$L$200,"&gt;0")</f>
        <v>4</v>
      </c>
      <c r="C2" s="8">
        <f>COUNTIFS(Respuestas!$B$2:$B$200,"llm",Respuestas!$L$2:$L$200,"&gt;0")</f>
        <v>4</v>
      </c>
    </row>
    <row r="3" spans="1:3" x14ac:dyDescent="0.25">
      <c r="A3" s="8" t="s">
        <v>421</v>
      </c>
      <c r="B3" s="9">
        <f>IF(SUMIFS(Respuestas!$M$2:$M$200,Respuestas!$B$2:$B$200,"rag",Respuestas!$L$2:$L$200,"&gt;0")=0,"-",SUMIFS(Respuestas!$N$2:$N$200,Respuestas!$B$2:$B$200,"rag",Respuestas!$L$2:$L$200,"&gt;0")/SUMIFS(Respuestas!$M$2:$M$200,Respuestas!$B$2:$B$200,"rag",Respuestas!$L$2:$L$200,"&gt;0"))</f>
        <v>0.22222222222222221</v>
      </c>
      <c r="C3" s="9">
        <f>IF(SUMIFS(Respuestas!$M$2:$M$200,Respuestas!$B$2:$B$200,"llm",Respuestas!$L$2:$L$200,"&gt;0")=0,"-",SUMIFS(Respuestas!$N$2:$N$200,Respuestas!$B$2:$B$200,"llm",Respuestas!$L$2:$L$200,"&gt;0")/SUMIFS(Respuestas!$M$2:$M$200,Respuestas!$B$2:$B$200,"llm",Respuestas!$L$2:$L$200,"&gt;0"))</f>
        <v>0.22222222222222221</v>
      </c>
    </row>
    <row r="4" spans="1:3" x14ac:dyDescent="0.25">
      <c r="A4" s="8" t="s">
        <v>422</v>
      </c>
      <c r="B4" s="9">
        <f>IF(SUMIFS(Respuestas!$W$2:$W$200,Respuestas!$B$2:$B$200,"rag",Respuestas!$L$2:$L$200,"&gt;0")=0,"-",SUMIFS(Respuestas!$P$2:$P$200,Respuestas!$B$2:$B$200,"rag",Respuestas!$L$2:$L$200,"&gt;0")/SUMIFS(Respuestas!$W$2:$W$200,Respuestas!$B$2:$B$200,"rag",Respuestas!$L$2:$L$200,"&gt;0"))</f>
        <v>0</v>
      </c>
      <c r="C4" s="9">
        <f>IF(SUMIFS(Respuestas!$W$2:$W$200,Respuestas!$B$2:$B$200,"llm",Respuestas!$L$2:$L$200,"&gt;0")=0,"-",SUMIFS(Respuestas!$P$2:$P$200,Respuestas!$B$2:$B$200,"llm",Respuestas!$L$2:$L$200,"&gt;0")/SUMIFS(Respuestas!$W$2:$W$200,Respuestas!$B$2:$B$200,"llm",Respuestas!$L$2:$L$200,"&gt;0"))</f>
        <v>0.25</v>
      </c>
    </row>
    <row r="5" spans="1:3" x14ac:dyDescent="0.25">
      <c r="A5" s="8" t="s">
        <v>423</v>
      </c>
      <c r="B5" s="8">
        <f>COUNTIFS(Respuestas!$B$2:$B$200,"rag",Respuestas!$Q$2:$Q$200,"&gt;0")</f>
        <v>3</v>
      </c>
      <c r="C5" s="8">
        <f>COUNTIFS(Respuestas!$B$2:$B$200,"llm",Respuestas!$Q$2:$Q$200,"&gt;0")</f>
        <v>1</v>
      </c>
    </row>
    <row r="6" spans="1:3" x14ac:dyDescent="0.25">
      <c r="A6" s="8" t="s">
        <v>424</v>
      </c>
      <c r="B6" s="8">
        <f>COUNTIFS(Respuestas!$B$2:$B$200,"rag",Respuestas!$R$2:$R$200,"&gt;0")</f>
        <v>0</v>
      </c>
      <c r="C6" s="8">
        <f>COUNTIFS(Respuestas!$B$2:$B$200,"llm",Respuestas!$R$2:$R$200,"&gt;0")</f>
        <v>1</v>
      </c>
    </row>
    <row r="7" spans="1:3" x14ac:dyDescent="0.25">
      <c r="A7" s="8" t="s">
        <v>425</v>
      </c>
      <c r="B7" s="9">
        <f>IF(SUMIFS(Respuestas!$W$2:$W$200,Respuestas!$B$2:$B$200,"rag",Respuestas!$L$2:$L$200,"&gt;0")=0,"-",SUMIFS(Respuestas!$X$2:$X$200,Respuestas!$B$2:$B$200,"rag",Respuestas!$L$2:$L$200,"&gt;0")/SUMIFS(Respuestas!$W$2:$W$200,Respuestas!$B$2:$B$200,"rag",Respuestas!$L$2:$L$200,"&gt;0"))</f>
        <v>0.6</v>
      </c>
      <c r="C7" s="9" t="str">
        <f>"N/A"</f>
        <v>N/A</v>
      </c>
    </row>
    <row r="8" spans="1:3" x14ac:dyDescent="0.25">
      <c r="A8" s="8" t="s">
        <v>426</v>
      </c>
      <c r="B8" s="9">
        <f>IF(SUMIFS(Respuestas!$M$2:$M$200,Respuestas!$B$2:$B$200,"rag",Respuestas!$L$2:$L$200,"&gt;0")=0,"-",SUM(Hechos!$H$2:$H$201)/SUMIFS(Respuestas!$M$2:$M$200,Respuestas!$B$2:$B$200,"rag",Respuestas!$L$2:$L$200,"&gt;0"))</f>
        <v>0.16666666666666666</v>
      </c>
      <c r="C8" s="9" t="str">
        <f>"N/A"</f>
        <v>N/A</v>
      </c>
    </row>
    <row r="9" spans="1:3" x14ac:dyDescent="0.25">
      <c r="A9" s="8" t="s">
        <v>427</v>
      </c>
      <c r="B9" s="8">
        <f>SUMIFS(Respuestas!$T$2:$T$200,Respuestas!$B$2:$B$200,"rag")</f>
        <v>1</v>
      </c>
      <c r="C9" s="8" t="str">
        <f>"N/A"</f>
        <v>N/A</v>
      </c>
    </row>
    <row r="10" spans="1:3" x14ac:dyDescent="0.25">
      <c r="A10" s="8" t="s">
        <v>428</v>
      </c>
      <c r="B10" s="8">
        <f>SUMIFS(Respuestas!$U$2:$U$200,Respuestas!$B$2:$B$200,"rag")</f>
        <v>1</v>
      </c>
      <c r="C10" s="8" t="str">
        <f>"N/A"</f>
        <v>N/A</v>
      </c>
    </row>
    <row r="11" spans="1:3" x14ac:dyDescent="0.25">
      <c r="A11" s="8" t="s">
        <v>429</v>
      </c>
      <c r="B11" s="8">
        <f>SUMIFS(Respuestas!$V$2:$V$200,Respuestas!$B$2:$B$200,"rag")</f>
        <v>0</v>
      </c>
      <c r="C11" s="8" t="str">
        <f>"N/A"</f>
        <v>N/A</v>
      </c>
    </row>
    <row r="12" spans="1:3" x14ac:dyDescent="0.25">
      <c r="A12" s="8" t="s">
        <v>430</v>
      </c>
      <c r="B12" s="8">
        <f>SUMIFS(Respuestas!$S$2:$S$200,Respuestas!$B$2:$B$200,"rag")</f>
        <v>1</v>
      </c>
      <c r="C12" s="8">
        <f>SUMIFS(Respuestas!$S$2:$S$200,Respuestas!$B$2:$B$200,"llm")</f>
        <v>6</v>
      </c>
    </row>
    <row r="13" spans="1:3" x14ac:dyDescent="0.25">
      <c r="A13" s="8" t="s">
        <v>431</v>
      </c>
      <c r="B13" s="9">
        <f>IFERROR(AVERAGEIFS(Respuestas!$Y$2:$Y$200,Respuestas!$B$2:$B$200,"rag"),"-")</f>
        <v>0.5</v>
      </c>
      <c r="C13" s="9">
        <f>IFERROR(AVERAGEIFS(Respuestas!$Y$2:$Y$200,Respuestas!$B$2:$B$200,"llm"),"-")</f>
        <v>0.5</v>
      </c>
    </row>
    <row r="14" spans="1:3" x14ac:dyDescent="0.25">
      <c r="A14" s="8" t="s">
        <v>432</v>
      </c>
      <c r="B14" s="9">
        <f>IFERROR(AVERAGEIFS(Respuestas!$Z$2:$Z$200,Respuestas!$B$2:$B$200,"rag"),"-")</f>
        <v>1.6666666666666667</v>
      </c>
      <c r="C14" s="9" t="str">
        <f>"N/A"</f>
        <v>N/A</v>
      </c>
    </row>
    <row r="15" spans="1:3" x14ac:dyDescent="0.25">
      <c r="A15" s="8" t="s">
        <v>433</v>
      </c>
      <c r="B15" s="8">
        <f>COUNTIFS(Respuestas!$B$2:$B$200,"rag",Respuestas!$AA$2:$AA$200,"*CRITICA*")</f>
        <v>3</v>
      </c>
      <c r="C15" s="8">
        <f>COUNTIFS(Respuestas!$B$2:$B$200,"llm",Respuestas!$AA$2:$AA$200,"*CRITICA*")</f>
        <v>4</v>
      </c>
    </row>
    <row r="16" spans="1:3" x14ac:dyDescent="0.25">
      <c r="A16" s="8" t="s">
        <v>434</v>
      </c>
      <c r="B16" s="8">
        <f>COUNTIFS(Respuestas!$B$2:$B$200,"rag",Respuestas!$AA$2:$AA$200,"*RESPALDO*")</f>
        <v>1</v>
      </c>
      <c r="C16" s="8">
        <f>COUNTIFS(Respuestas!$B$2:$B$200,"llm",Respuestas!$AA$2:$AA$200,"*RESPALDO*")</f>
        <v>0</v>
      </c>
    </row>
    <row r="17" spans="1:3" x14ac:dyDescent="0.25">
      <c r="A17" s="8" t="s">
        <v>435</v>
      </c>
      <c r="B17" s="8">
        <f>COUNTIFS(Respuestas!$B$2:$B$200,"rag",Respuestas!$AA$2:$AA$200,"*TRUNC*")</f>
        <v>0</v>
      </c>
      <c r="C17" s="8">
        <f>COUNTIFS(Respuestas!$B$2:$B$200,"llm",Respuestas!$AA$2:$AA$200,"*TRUNC*")</f>
        <v>1</v>
      </c>
    </row>
    <row r="19" spans="1:3" ht="45" customHeight="1" x14ac:dyDescent="0.25">
      <c r="A19" s="2" t="s">
        <v>436</v>
      </c>
    </row>
  </sheetData>
  <sheetProtection sheet="1" formatColumns="0" formatRows="0" sort="0" autoFilter="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3"/>
  <sheetViews>
    <sheetView tabSelected="1" workbookViewId="0">
      <selection activeCell="B6" sqref="B6"/>
    </sheetView>
  </sheetViews>
  <sheetFormatPr baseColWidth="10" defaultColWidth="9.140625" defaultRowHeight="15" x14ac:dyDescent="0.25"/>
  <cols>
    <col min="1" max="1" width="34" customWidth="1"/>
    <col min="2" max="2" width="80" customWidth="1"/>
  </cols>
  <sheetData>
    <row r="1" spans="1:2" x14ac:dyDescent="0.25">
      <c r="A1" s="8" t="s">
        <v>437</v>
      </c>
      <c r="B1" s="8" t="s">
        <v>438</v>
      </c>
    </row>
    <row r="2" spans="1:2" x14ac:dyDescent="0.25">
      <c r="A2" s="8" t="s">
        <v>439</v>
      </c>
      <c r="B2" s="8" t="s">
        <v>440</v>
      </c>
    </row>
    <row r="3" spans="1:2" x14ac:dyDescent="0.25">
      <c r="A3" s="8" t="s">
        <v>441</v>
      </c>
      <c r="B3" s="8" t="s">
        <v>442</v>
      </c>
    </row>
    <row r="4" spans="1:2" x14ac:dyDescent="0.25">
      <c r="A4" s="10" t="s">
        <v>443</v>
      </c>
      <c r="B4" s="11" t="s">
        <v>528</v>
      </c>
    </row>
    <row r="5" spans="1:2" x14ac:dyDescent="0.25">
      <c r="A5" s="10" t="s">
        <v>444</v>
      </c>
      <c r="B5" s="12">
        <v>46317</v>
      </c>
    </row>
    <row r="6" spans="1:2" x14ac:dyDescent="0.25">
      <c r="A6" s="10"/>
      <c r="B6" s="8"/>
    </row>
    <row r="7" spans="1:2" x14ac:dyDescent="0.25">
      <c r="A7" s="10" t="s">
        <v>445</v>
      </c>
      <c r="B7" s="8"/>
    </row>
    <row r="8" spans="1:2" x14ac:dyDescent="0.25">
      <c r="A8" s="8" t="s">
        <v>446</v>
      </c>
      <c r="B8" s="8" t="s">
        <v>447</v>
      </c>
    </row>
    <row r="9" spans="1:2" x14ac:dyDescent="0.25">
      <c r="A9" s="8" t="s">
        <v>448</v>
      </c>
      <c r="B9" s="8" t="s">
        <v>449</v>
      </c>
    </row>
    <row r="10" spans="1:2" x14ac:dyDescent="0.25">
      <c r="A10" s="8" t="s">
        <v>450</v>
      </c>
      <c r="B10" s="8" t="s">
        <v>451</v>
      </c>
    </row>
    <row r="11" spans="1:2" x14ac:dyDescent="0.25">
      <c r="A11" s="8" t="s">
        <v>452</v>
      </c>
      <c r="B11" s="8" t="s">
        <v>453</v>
      </c>
    </row>
    <row r="12" spans="1:2" x14ac:dyDescent="0.25">
      <c r="A12" s="8" t="s">
        <v>454</v>
      </c>
      <c r="B12" s="8" t="s">
        <v>455</v>
      </c>
    </row>
    <row r="13" spans="1:2" x14ac:dyDescent="0.25">
      <c r="A13" s="8" t="s">
        <v>456</v>
      </c>
      <c r="B13" s="8" t="s">
        <v>457</v>
      </c>
    </row>
    <row r="14" spans="1:2" x14ac:dyDescent="0.25">
      <c r="A14" s="8" t="s">
        <v>458</v>
      </c>
      <c r="B14" s="8" t="s">
        <v>459</v>
      </c>
    </row>
    <row r="15" spans="1:2" x14ac:dyDescent="0.25">
      <c r="A15" s="8" t="s">
        <v>460</v>
      </c>
      <c r="B15" s="8" t="s">
        <v>461</v>
      </c>
    </row>
    <row r="16" spans="1:2" x14ac:dyDescent="0.25">
      <c r="A16" s="8" t="s">
        <v>462</v>
      </c>
      <c r="B16" s="8" t="s">
        <v>463</v>
      </c>
    </row>
    <row r="17" spans="1:2" x14ac:dyDescent="0.25">
      <c r="A17" s="8" t="s">
        <v>464</v>
      </c>
      <c r="B17" s="8" t="s">
        <v>465</v>
      </c>
    </row>
    <row r="18" spans="1:2" x14ac:dyDescent="0.25">
      <c r="A18" s="10"/>
      <c r="B18" s="8"/>
    </row>
    <row r="19" spans="1:2" x14ac:dyDescent="0.25">
      <c r="A19" s="10" t="s">
        <v>466</v>
      </c>
      <c r="B19" s="8"/>
    </row>
    <row r="20" spans="1:2" x14ac:dyDescent="0.25">
      <c r="A20" s="8" t="s">
        <v>467</v>
      </c>
      <c r="B20" s="8" t="s">
        <v>468</v>
      </c>
    </row>
    <row r="21" spans="1:2" x14ac:dyDescent="0.25">
      <c r="A21" s="8" t="s">
        <v>469</v>
      </c>
      <c r="B21" s="8" t="s">
        <v>470</v>
      </c>
    </row>
    <row r="22" spans="1:2" x14ac:dyDescent="0.25">
      <c r="A22" s="8" t="s">
        <v>450</v>
      </c>
      <c r="B22" s="8" t="s">
        <v>451</v>
      </c>
    </row>
    <row r="23" spans="1:2" x14ac:dyDescent="0.25">
      <c r="A23" s="8" t="s">
        <v>471</v>
      </c>
      <c r="B23" s="8" t="s">
        <v>472</v>
      </c>
    </row>
    <row r="24" spans="1:2" x14ac:dyDescent="0.25">
      <c r="A24" s="10" t="s">
        <v>473</v>
      </c>
      <c r="B24" s="8"/>
    </row>
    <row r="25" spans="1:2" x14ac:dyDescent="0.25">
      <c r="A25" s="10" t="s">
        <v>474</v>
      </c>
      <c r="B25" s="8"/>
    </row>
    <row r="26" spans="1:2" x14ac:dyDescent="0.25">
      <c r="A26" s="8" t="s">
        <v>475</v>
      </c>
      <c r="B26" s="8" t="s">
        <v>476</v>
      </c>
    </row>
    <row r="27" spans="1:2" x14ac:dyDescent="0.25">
      <c r="A27" s="8" t="s">
        <v>477</v>
      </c>
      <c r="B27" s="8" t="s">
        <v>478</v>
      </c>
    </row>
    <row r="28" spans="1:2" x14ac:dyDescent="0.25">
      <c r="A28" s="8" t="s">
        <v>479</v>
      </c>
      <c r="B28" s="8" t="s">
        <v>480</v>
      </c>
    </row>
    <row r="29" spans="1:2" x14ac:dyDescent="0.25">
      <c r="A29" s="8" t="s">
        <v>481</v>
      </c>
      <c r="B29" s="8" t="s">
        <v>482</v>
      </c>
    </row>
    <row r="30" spans="1:2" x14ac:dyDescent="0.25">
      <c r="A30" s="8" t="s">
        <v>483</v>
      </c>
      <c r="B30" s="8" t="s">
        <v>484</v>
      </c>
    </row>
    <row r="31" spans="1:2" x14ac:dyDescent="0.25">
      <c r="A31" s="8" t="s">
        <v>485</v>
      </c>
      <c r="B31" s="8" t="s">
        <v>463</v>
      </c>
    </row>
    <row r="32" spans="1:2" x14ac:dyDescent="0.25">
      <c r="A32" s="8" t="s">
        <v>486</v>
      </c>
      <c r="B32" s="8" t="s">
        <v>463</v>
      </c>
    </row>
    <row r="33" spans="1:2" x14ac:dyDescent="0.25">
      <c r="A33" s="8" t="s">
        <v>487</v>
      </c>
      <c r="B33" s="8" t="s">
        <v>488</v>
      </c>
    </row>
  </sheetData>
  <sheetProtection sheet="1" formatColumns="0" formatRows="0" sort="0" autoFilter="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Guia</vt:lpstr>
      <vt:lpstr>Respuestas</vt:lpstr>
      <vt:lpstr>Afirmaciones</vt:lpstr>
      <vt:lpstr>Hechos</vt:lpstr>
      <vt:lpstr>Contextos</vt:lpstr>
      <vt:lpstr>Resumen</vt: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Helpdesk csoc4</cp:lastModifiedBy>
  <dcterms:created xsi:type="dcterms:W3CDTF">2026-10-12T17:45:07Z</dcterms:created>
  <dcterms:modified xsi:type="dcterms:W3CDTF">2026-10-23T04:12:07Z</dcterms:modified>
</cp:coreProperties>
</file>